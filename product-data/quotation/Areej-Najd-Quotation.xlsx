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'Quotation'!$A$1:$H$56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0" fillId="4" borderId="9" applyAlignment="1" pivotButton="0" quotePrefix="0" xfId="0">
      <alignment horizontal="center" vertical="center" wrapText="1"/>
    </xf>
    <xf numFmtId="164" fontId="12" fillId="2" borderId="9" applyAlignment="1" pivotButton="0" quotePrefix="0" xfId="1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A21" authorId="0" shapeId="0">
      <text>
        <t>Rows 1-4: internal item codes from the invoice (no EAN barcode in the files).</t>
      </text>
    </comment>
    <comment ref="G21" authorId="0" shapeId="0">
      <text>
        <t>Invoice prices (SAR, excl. VAT) taken from Areej Najd tax invoice No. 54 dated 2026-10-01.</t>
      </text>
    </comment>
    <comment ref="A26" authorId="0" shapeId="0">
      <text>
        <t>Barcode from the SFDA food-product registration record (00762497361537). Invoice internal code: 10108.</t>
      </text>
    </comment>
    <comment ref="B26" authorId="0" shapeId="0">
      <text>
        <t>No final SFDA product number in the files received (registration request view 1039643). Fill in before sending.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239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</row>
      <rowOff>0</rowOff>
    </from>
    <ext cx="1133475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22</row>
      <rowOff>0</rowOff>
    </from>
    <ext cx="1381125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23</row>
      <rowOff>0</rowOff>
    </from>
    <ext cx="923925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24</row>
      <rowOff>0</rowOff>
    </from>
    <ext cx="10096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25</row>
      <rowOff>0</rowOff>
    </from>
    <ext cx="923925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1.77734375" bestFit="1" customWidth="1" style="7" min="7" max="7"/>
    <col width="24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inlineStr">
        <is>
          <t>Mobile: 0504152111</t>
        </is>
      </c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 xml:space="preserve">Invoice Price سعر التوريد </t>
        </is>
      </c>
      <c r="H20" s="24" t="inlineStr">
        <is>
          <t>Product Image
صورة المنتج</t>
        </is>
      </c>
    </row>
    <row r="21" ht="95" customFormat="1" customHeight="1" s="19">
      <c r="A21" s="62" t="inlineStr">
        <is>
          <t>10044</t>
        </is>
      </c>
      <c r="B21" s="63" t="inlineStr">
        <is>
          <t>CN-2023-36519</t>
        </is>
      </c>
      <c r="C21" s="64" t="inlineStr">
        <is>
          <t>Femina Vaginal Foam – Feminine Hygiene Foaming Cleanser 200 ml</t>
        </is>
      </c>
      <c r="D21" s="65">
        <f>IF(F21="","",F21*(1+E21))</f>
        <v/>
      </c>
      <c r="E21" s="66" t="n">
        <v>0.15</v>
      </c>
      <c r="F21" s="67" t="n"/>
      <c r="G21" s="68" t="n">
        <v>11</v>
      </c>
      <c r="H21" s="64" t="n"/>
    </row>
    <row r="22" ht="95" customFormat="1" customHeight="1" s="19">
      <c r="A22" s="62" t="inlineStr">
        <is>
          <t>10063</t>
        </is>
      </c>
      <c r="B22" s="63" t="inlineStr">
        <is>
          <t>CN-2023-84129</t>
        </is>
      </c>
      <c r="C22" s="64" t="inlineStr">
        <is>
          <t>Aviance Octo Anti-Dandruff Shampoo 200 ml</t>
        </is>
      </c>
      <c r="D22" s="65">
        <f>IF(F22="","",F22*(1+E22))</f>
        <v/>
      </c>
      <c r="E22" s="66" t="n">
        <v>0.15</v>
      </c>
      <c r="F22" s="67" t="n"/>
      <c r="G22" s="68" t="n">
        <v>8</v>
      </c>
      <c r="H22" s="64" t="n"/>
    </row>
    <row r="23" ht="95" customFormat="1" customHeight="1" s="19">
      <c r="A23" s="62" t="inlineStr">
        <is>
          <t>10001</t>
        </is>
      </c>
      <c r="B23" s="63" t="inlineStr">
        <is>
          <t>CN-2026-65086</t>
        </is>
      </c>
      <c r="C23" s="64" t="inlineStr">
        <is>
          <t>E-Panthen Moisturizing Cream (5% D-Panthenol + Vit E)</t>
        </is>
      </c>
      <c r="D23" s="65">
        <f>IF(F23="","",F23*(1+E23))</f>
        <v/>
      </c>
      <c r="E23" s="66" t="n">
        <v>0.15</v>
      </c>
      <c r="F23" s="67" t="n"/>
      <c r="G23" s="68" t="n">
        <v>6</v>
      </c>
      <c r="H23" s="64" t="n"/>
    </row>
    <row r="24" ht="95" customFormat="1" customHeight="1" s="19">
      <c r="A24" s="62" t="inlineStr">
        <is>
          <t>10000</t>
        </is>
      </c>
      <c r="B24" s="63" t="inlineStr">
        <is>
          <t>CN-2026-65103</t>
        </is>
      </c>
      <c r="C24" s="64" t="inlineStr">
        <is>
          <t>Mebonol Healing Cream</t>
        </is>
      </c>
      <c r="D24" s="65">
        <f>IF(F24="","",F24*(1+E24))</f>
        <v/>
      </c>
      <c r="E24" s="66" t="n">
        <v>0.15</v>
      </c>
      <c r="F24" s="67" t="n"/>
      <c r="G24" s="68" t="n">
        <v>7</v>
      </c>
      <c r="H24" s="64" t="n"/>
    </row>
    <row r="25" ht="95" customFormat="1" customHeight="1" s="19">
      <c r="A25" s="62" t="inlineStr">
        <is>
          <t>762497361506</t>
        </is>
      </c>
      <c r="B25" s="63" t="inlineStr">
        <is>
          <t>FOP-251125-1028812</t>
        </is>
      </c>
      <c r="C25" s="64" t="inlineStr">
        <is>
          <t>Dr. Organic Memory Boost Syrup 120 ml</t>
        </is>
      </c>
      <c r="D25" s="65">
        <f>IF(F25="","",F25*(1+E25))</f>
        <v/>
      </c>
      <c r="E25" s="66" t="n">
        <v>0.15</v>
      </c>
      <c r="F25" s="67" t="n"/>
      <c r="G25" s="68" t="n">
        <v>15</v>
      </c>
      <c r="H25" s="64" t="n"/>
    </row>
    <row r="26" ht="95" customFormat="1" customHeight="1" s="19">
      <c r="A26" s="62" t="inlineStr">
        <is>
          <t>762497361537</t>
        </is>
      </c>
      <c r="B26" s="69" t="inlineStr"/>
      <c r="C26" s="64" t="inlineStr">
        <is>
          <t>Dr. Organic Fem-Arosa Drops 30 ml</t>
        </is>
      </c>
      <c r="D26" s="65">
        <f>IF(F26="","",F26*(1+E26))</f>
        <v/>
      </c>
      <c r="E26" s="66" t="n">
        <v>0.15</v>
      </c>
      <c r="F26" s="67" t="n"/>
      <c r="G26" s="68" t="n">
        <v>12</v>
      </c>
      <c r="H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Invoice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Mobile: 0504152111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0" t="inlineStr">
        <is>
          <t>تعليمات تعبئة عرض السعر</t>
        </is>
      </c>
    </row>
    <row r="2">
      <c r="A2" s="71" t="inlineStr">
        <is>
          <t>الخلايا الصفراء في شيت Quotation محتاجة تتعبى قبل الإرسال:</t>
        </is>
      </c>
    </row>
    <row r="3">
      <c r="A3" s="71" t="inlineStr">
        <is>
          <t>• رقم العرض (QUOTE #) في G5، واسم اللي جهز العرض والإيميل في A10 و A11.</t>
        </is>
      </c>
    </row>
    <row r="4">
      <c r="A4" s="71" t="inlineStr">
        <is>
          <t>• بيانات الشركة المرسل لها (A13 إلى A18): متسابة فاضية زي ما طلبت.</t>
        </is>
      </c>
    </row>
    <row r="5">
      <c r="A5" s="71" t="inlineStr">
        <is>
          <t>• سعر البيع المقترح قبل الضريبة (العمود F). سعر البيع شامل الضريبة (العمود D) بيتحسب لوحده.</t>
        </is>
      </c>
    </row>
    <row r="6">
      <c r="A6" s="71" t="inlineStr">
        <is>
          <t>• رقم تسجيل SFDA لفيم أروزا (B26): مش موجود في الملفات.</t>
        </is>
      </c>
    </row>
    <row r="7">
      <c r="A7" s="71" t="inlineStr">
        <is>
          <t>• مدة السداد ومدة صلاحية العرض (A43 و A45)، واسم الموقّع (A49).</t>
        </is>
      </c>
    </row>
    <row r="8">
      <c r="A8" s="71" t="inlineStr">
        <is>
          <t>الأرقام باللون الأزرق (سعر التوريد) منقولة من فاتورة رقم 54 بتاريخ 2026-10-01.</t>
        </is>
      </c>
    </row>
    <row r="9">
      <c r="A9" s="71" t="inlineStr">
        <is>
          <t>مثال: لو سعر البيع المقترح 25 ريال قبل الضريبة، اكتب 25 في F والعمود D هيطلع 28.75.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2026-10-14T19:36:06Z</dcterms:modified>
  <cp:lastModifiedBy>HOME</cp:lastModifiedBy>
  <cp:lastPrinted>2025-01-11T09:48:23Z</cp:lastPrinted>
</cp:coreProperties>
</file>