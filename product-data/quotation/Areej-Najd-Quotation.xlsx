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'Quotation'!$A$1:$G$56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F21" authorId="0" shapeId="0">
      <text>
        <t>Recommended public prices (SAR, before VAT) from the Dairy Mind distribution feasibility study, dated 29/09/2026.</t>
      </text>
    </comment>
    <comment ref="A22" authorId="0" shapeId="0">
      <text>
        <t>All barcodes as listed on the SFDA registration/notification records (verified by the user).</t>
      </text>
    </comment>
    <comment ref="B22" authorId="0" shapeId="0">
      <text>
        <t>SFDA registration number from the Ghad platform screenshot sent by the user (barcode 00762497361537).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4" bestFit="1" customWidth="1" style="7" min="7" max="7"/>
    <col width="11.6640625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n"/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>Product Image
صورة المنتج</t>
        </is>
      </c>
    </row>
    <row r="21" ht="95" customFormat="1" customHeight="1" s="19">
      <c r="A21" s="62" t="inlineStr">
        <is>
          <t>00762497361506</t>
        </is>
      </c>
      <c r="B21" s="63" t="inlineStr">
        <is>
          <t>FOM-24-272344-FOP-251125-1028812-C-12688-881856</t>
        </is>
      </c>
      <c r="C21" s="64" t="inlineStr">
        <is>
          <t>Dr. Organic Memory Boost Syrup 120 ml</t>
        </is>
      </c>
      <c r="D21" s="65">
        <f>IF(F21="","",F21*(1+E21))</f>
        <v/>
      </c>
      <c r="E21" s="66" t="n">
        <v>0.15</v>
      </c>
      <c r="F21" s="67" t="n">
        <v>156</v>
      </c>
      <c r="G21" s="64" t="n"/>
    </row>
    <row r="22" ht="95" customFormat="1" customHeight="1" s="19">
      <c r="A22" s="62" t="inlineStr">
        <is>
          <t>00762497361537</t>
        </is>
      </c>
      <c r="B22" s="63" t="inlineStr">
        <is>
          <t>FOM-24-56091-FOP-110126-10077-C-12688-5160</t>
        </is>
      </c>
      <c r="C22" s="64" t="inlineStr">
        <is>
          <t>Dr. Organic Fem-Arosa Drops 30 ml</t>
        </is>
      </c>
      <c r="D22" s="65">
        <f>IF(F22="","",F22*(1+E22))</f>
        <v/>
      </c>
      <c r="E22" s="66" t="n">
        <v>0.15</v>
      </c>
      <c r="F22" s="67" t="n">
        <v>49</v>
      </c>
      <c r="G22" s="64" t="n"/>
    </row>
    <row r="23" ht="95" customFormat="1" customHeight="1" s="19">
      <c r="A23" s="62" t="inlineStr">
        <is>
          <t>6772505023146</t>
        </is>
      </c>
      <c r="B23" s="63" t="inlineStr">
        <is>
          <t>CN-2023-36519</t>
        </is>
      </c>
      <c r="C23" s="64" t="inlineStr">
        <is>
          <t>Femina Vaginal Foam – Feminine Hygiene Foaming Cleanser 200 ml</t>
        </is>
      </c>
      <c r="D23" s="65">
        <f>IF(F23="","",F23*(1+E23))</f>
        <v/>
      </c>
      <c r="E23" s="66" t="n">
        <v>0.15</v>
      </c>
      <c r="F23" s="67" t="n">
        <v>65</v>
      </c>
      <c r="G23" s="64" t="n"/>
    </row>
    <row r="24" ht="95" customFormat="1" customHeight="1" s="19">
      <c r="A24" s="62" t="inlineStr">
        <is>
          <t>6772505023108</t>
        </is>
      </c>
      <c r="B24" s="63" t="inlineStr">
        <is>
          <t>CN-2023-84129</t>
        </is>
      </c>
      <c r="C24" s="64" t="inlineStr">
        <is>
          <t>Aviance Octo Anti-Dandruff Shampoo 200 ml</t>
        </is>
      </c>
      <c r="D24" s="65">
        <f>IF(F24="","",F24*(1+E24))</f>
        <v/>
      </c>
      <c r="E24" s="66" t="n">
        <v>0.15</v>
      </c>
      <c r="F24" s="67" t="n">
        <v>55</v>
      </c>
      <c r="G24" s="64" t="n"/>
    </row>
    <row r="25" ht="95" customFormat="1" customHeight="1" s="19">
      <c r="A25" s="62" t="inlineStr">
        <is>
          <t>6224010064195</t>
        </is>
      </c>
      <c r="B25" s="63" t="inlineStr">
        <is>
          <t>CN-2026-65086</t>
        </is>
      </c>
      <c r="C25" s="64" t="inlineStr">
        <is>
          <t>E-Panthen Moisturizing Cream (5% D-Panthenol + Vit E) 40 g</t>
        </is>
      </c>
      <c r="D25" s="65">
        <f>IF(F25="","",F25*(1+E25))</f>
        <v/>
      </c>
      <c r="E25" s="66" t="n">
        <v>0.15</v>
      </c>
      <c r="F25" s="67" t="n">
        <v>30</v>
      </c>
      <c r="G25" s="64" t="n"/>
    </row>
    <row r="26" ht="95" customFormat="1" customHeight="1" s="19">
      <c r="A26" s="62" t="inlineStr">
        <is>
          <t>6224010064188</t>
        </is>
      </c>
      <c r="B26" s="63" t="inlineStr">
        <is>
          <t>CN-2026-65103</t>
        </is>
      </c>
      <c r="C26" s="64" t="inlineStr">
        <is>
          <t>Mebonol Healing Cream 40 g</t>
        </is>
      </c>
      <c r="D26" s="65">
        <f>IF(F26="","",F26*(1+E26))</f>
        <v/>
      </c>
      <c r="E26" s="66" t="n">
        <v>0.15</v>
      </c>
      <c r="F26" s="67" t="n">
        <v>55</v>
      </c>
      <c r="G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Recommended sales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8" t="inlineStr">
        <is>
          <t>تعليمات تعبئة عرض السعر</t>
        </is>
      </c>
    </row>
    <row r="2">
      <c r="A2" s="69" t="inlineStr">
        <is>
          <t>الخلايا الصفراء في شيت Quotation محتاجة تتعبى قبل الإرسال:</t>
        </is>
      </c>
    </row>
    <row r="3">
      <c r="A3" s="69" t="inlineStr">
        <is>
          <t>• رقم العرض (QUOTE #) في G5، واسم اللي جهز العرض والإيميل في A10 و A11.</t>
        </is>
      </c>
    </row>
    <row r="4">
      <c r="A4" s="69" t="inlineStr">
        <is>
          <t>• بيانات الشركة المرسل لها (A13 إلى A18): متسابة فاضية زي ما طلبت.</t>
        </is>
      </c>
    </row>
    <row r="5">
      <c r="A5" s="69" t="inlineStr">
        <is>
          <t>• سعر البيع المقترح قبل الضريبة (العمود F) منقول من دراسة الجدوى. سعر البيع شامل الضريبة (العمود D) بيتحسب لوحده.</t>
        </is>
      </c>
    </row>
    <row r="6">
      <c r="A6" s="69" t="inlineStr">
        <is>
          <t>• مدة السداد ومدة صلاحية العرض (A43 و A45)، واسم الموقّع (A49).</t>
        </is>
      </c>
    </row>
    <row r="7">
      <c r="A7" s="69" t="inlineStr">
        <is>
          <t>الأرقام باللون الأزرق (سعر البيع المقترح) منقولة من دراسة جدوى ديير مايند بتاريخ 29/09/2026.</t>
        </is>
      </c>
    </row>
    <row r="8">
      <c r="A8" s="69" t="inlineStr">
        <is>
          <t>مثال: سعر البيع المقترح 65 ريال قبل الضريبة في F، والعمود D بيطلع 74.75.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2026-10-15T06:57:41Z</dcterms:modified>
  <cp:lastModifiedBy>HOME</cp:lastModifiedBy>
  <cp:lastPrinted>2025-01-11T09:48:23Z</cp:lastPrinted>
</cp:coreProperties>
</file>