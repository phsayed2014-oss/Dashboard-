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Quotation" sheetId="1" state="visible" r:id="rId1"/>
    <sheet name="تعليمات" sheetId="2" state="visible" r:id="rId2"/>
  </sheets>
  <definedNames>
    <definedName name="_xlnm.Print_Area" localSheetId="0">'Quotation'!$A$1:$G$56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_-* #,##0.00\-;_-* &quot;-&quot;??_-;_-@_-"/>
  </numFmts>
  <fonts count="15">
    <font>
      <name val="Times New Roman"/>
      <charset val="204"/>
      <color rgb="FF000000"/>
      <sz val="10"/>
    </font>
    <font>
      <name val="Kirvy"/>
      <b val="1"/>
      <color rgb="FF000000"/>
      <sz val="13"/>
    </font>
    <font>
      <name val="Kirvy"/>
      <b val="1"/>
      <color rgb="FF000000"/>
      <sz val="18"/>
      <u val="single"/>
    </font>
    <font>
      <name val="Kirvy"/>
      <b val="1"/>
      <color rgb="FF000000"/>
      <sz val="13"/>
      <u val="single"/>
    </font>
    <font>
      <name val="Kirvy"/>
      <color rgb="FF000000"/>
      <sz val="13"/>
    </font>
    <font>
      <name val="Kirvy"/>
      <b val="1"/>
      <sz val="13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Kirvy"/>
      <color rgb="FFFF0000"/>
      <sz val="13"/>
    </font>
    <font>
      <name val="Calibri"/>
      <family val="2"/>
      <b val="1"/>
      <sz val="13"/>
      <scheme val="minor"/>
    </font>
    <font>
      <name val="Calibri"/>
      <family val="2"/>
      <sz val="13"/>
      <scheme val="minor"/>
    </font>
    <font>
      <name val="Arial Narrow"/>
      <family val="2"/>
      <sz val="12"/>
    </font>
    <font>
      <name val="Calibri"/>
      <color rgb="FF0000FF"/>
      <sz val="13"/>
    </font>
    <font>
      <name val="Arial"/>
      <b val="1"/>
      <sz val="12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7" fillId="0" borderId="0"/>
    <xf numFmtId="9" fontId="7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 indent="1"/>
    </xf>
    <xf numFmtId="0" fontId="4" fillId="0" borderId="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left" vertical="center" indent="1"/>
    </xf>
    <xf numFmtId="0" fontId="4" fillId="0" borderId="6" applyAlignment="1" pivotButton="0" quotePrefix="0" xfId="0">
      <alignment horizontal="left" vertical="center" indent="1"/>
    </xf>
    <xf numFmtId="0" fontId="4" fillId="0" borderId="7" applyAlignment="1" pivotButton="0" quotePrefix="0" xfId="0">
      <alignment horizontal="left" vertical="center" indent="1"/>
    </xf>
    <xf numFmtId="0" fontId="4" fillId="0" borderId="8" applyAlignment="1" pivotButton="0" quotePrefix="0" xfId="0">
      <alignment horizontal="left" vertical="center" indent="1"/>
    </xf>
    <xf numFmtId="0" fontId="1" fillId="0" borderId="4" applyAlignment="1" pivotButton="0" quotePrefix="0" xfId="0">
      <alignment horizontal="left" vertical="center" indent="1"/>
    </xf>
    <xf numFmtId="0" fontId="1" fillId="0" borderId="6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14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2" fontId="4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left" vertical="center" wrapText="1"/>
    </xf>
    <xf numFmtId="10" fontId="8" fillId="0" borderId="0" applyAlignment="1" pivotButton="0" quotePrefix="0" xfId="0">
      <alignment horizontal="left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9" applyAlignment="1" pivotButton="0" quotePrefix="0" xfId="0">
      <alignment vertical="center" wrapText="1"/>
    </xf>
    <xf numFmtId="164" fontId="9" fillId="3" borderId="9" applyAlignment="1" pivotButton="0" quotePrefix="0" xfId="1">
      <alignment horizontal="center" vertical="center" wrapText="1"/>
    </xf>
    <xf numFmtId="49" fontId="9" fillId="3" borderId="9" applyAlignment="1" pivotButton="0" quotePrefix="0" xfId="0">
      <alignment horizontal="center" vertical="center" wrapText="1"/>
    </xf>
    <xf numFmtId="9" fontId="9" fillId="3" borderId="9" applyAlignment="1" pivotButton="0" quotePrefix="0" xfId="2">
      <alignment horizontal="center" vertical="center" wrapText="1"/>
    </xf>
    <xf numFmtId="0" fontId="10" fillId="2" borderId="9" applyAlignment="1" pivotButton="0" quotePrefix="0" xfId="0">
      <alignment vertical="center" readingOrder="1"/>
    </xf>
    <xf numFmtId="164" fontId="10" fillId="2" borderId="9" applyAlignment="1" pivotButton="0" quotePrefix="0" xfId="1">
      <alignment horizontal="center" vertical="center" wrapText="1" readingOrder="1"/>
    </xf>
    <xf numFmtId="4" fontId="10" fillId="2" borderId="9" applyAlignment="1" pivotButton="0" quotePrefix="0" xfId="0">
      <alignment horizontal="center" vertical="center"/>
    </xf>
    <xf numFmtId="9" fontId="10" fillId="2" borderId="9" applyAlignment="1" pivotButton="0" quotePrefix="0" xfId="2">
      <alignment horizontal="center" vertical="center" readingOrder="1"/>
    </xf>
    <xf numFmtId="164" fontId="10" fillId="2" borderId="9" applyAlignment="1" pivotButton="0" quotePrefix="0" xfId="1">
      <alignment horizontal="center" vertical="center"/>
    </xf>
    <xf numFmtId="1" fontId="10" fillId="2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11" fillId="2" borderId="9" applyAlignment="1" pivotButton="0" quotePrefix="0" xfId="1">
      <alignment horizontal="left" vertical="center" readingOrder="1"/>
    </xf>
    <xf numFmtId="0" fontId="11" fillId="2" borderId="9" applyAlignment="1" pivotButton="0" quotePrefix="0" xfId="0">
      <alignment vertical="center" readingOrder="1"/>
    </xf>
    <xf numFmtId="164" fontId="11" fillId="2" borderId="9" applyAlignment="1" pivotButton="0" quotePrefix="0" xfId="1">
      <alignment horizontal="center" vertical="center" wrapText="1" readingOrder="1"/>
    </xf>
    <xf numFmtId="9" fontId="11" fillId="2" borderId="9" applyAlignment="1" pivotButton="0" quotePrefix="0" xfId="2">
      <alignment horizontal="center" vertical="center" readingOrder="1"/>
    </xf>
    <xf numFmtId="164" fontId="11" fillId="0" borderId="9" applyAlignment="1" pivotButton="0" quotePrefix="0" xfId="1">
      <alignment horizontal="center" vertical="center"/>
    </xf>
    <xf numFmtId="164" fontId="11" fillId="2" borderId="9" applyAlignment="1" pivotButton="0" quotePrefix="0" xfId="1">
      <alignment horizontal="center" vertical="center" readingOrder="1"/>
    </xf>
    <xf numFmtId="9" fontId="11" fillId="2" borderId="9" applyAlignment="1" pivotButton="0" quotePrefix="0" xfId="2">
      <alignment horizontal="center" vertical="center" wrapText="1" readingOrder="1"/>
    </xf>
    <xf numFmtId="0" fontId="4" fillId="0" borderId="9" applyAlignment="1" pivotButton="0" quotePrefix="0" xfId="0">
      <alignment horizontal="left" vertical="center" wrapText="1"/>
    </xf>
    <xf numFmtId="1" fontId="11" fillId="0" borderId="9" applyAlignment="1" pivotButton="0" quotePrefix="0" xfId="0">
      <alignment horizontal="left" vertical="center"/>
    </xf>
    <xf numFmtId="1" fontId="10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indent="1"/>
    </xf>
    <xf numFmtId="9" fontId="10" fillId="2" borderId="9" applyAlignment="1" pivotButton="0" quotePrefix="0" xfId="2">
      <alignment horizontal="center" vertical="center"/>
    </xf>
    <xf numFmtId="2" fontId="10" fillId="2" borderId="9" applyAlignment="1" pivotButton="0" quotePrefix="0" xfId="2">
      <alignment horizontal="center" vertical="center" readingOrder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center" indent="1"/>
    </xf>
    <xf numFmtId="0" fontId="1" fillId="4" borderId="1" applyAlignment="1" pivotButton="0" quotePrefix="0" xfId="0">
      <alignment horizontal="left" vertical="center" indent="1"/>
    </xf>
    <xf numFmtId="0" fontId="1" fillId="4" borderId="4" applyAlignment="1" pivotButton="0" quotePrefix="0" xfId="0">
      <alignment horizontal="left" vertical="center" indent="1"/>
    </xf>
    <xf numFmtId="0" fontId="1" fillId="4" borderId="6" applyAlignment="1" pivotButton="0" quotePrefix="0" xfId="0">
      <alignment horizontal="left" vertical="center" indent="1"/>
    </xf>
    <xf numFmtId="49" fontId="10" fillId="2" borderId="9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164" fontId="10" fillId="2" borderId="9" applyAlignment="1" pivotButton="0" quotePrefix="0" xfId="1">
      <alignment horizontal="center" vertical="center" wrapText="1"/>
    </xf>
    <xf numFmtId="4" fontId="10" fillId="2" borderId="9" applyAlignment="1" pivotButton="0" quotePrefix="0" xfId="0">
      <alignment horizontal="center" vertical="center" wrapText="1"/>
    </xf>
    <xf numFmtId="9" fontId="10" fillId="2" borderId="9" applyAlignment="1" pivotButton="0" quotePrefix="0" xfId="2">
      <alignment horizontal="center" vertical="center" wrapText="1"/>
    </xf>
    <xf numFmtId="4" fontId="12" fillId="2" borderId="9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Quotation</author>
  </authors>
  <commentList>
    <comment ref="A21" authorId="0" shapeId="0">
      <text>
        <t>Rows 1-4: internal item codes from the invoice (no EAN barcode in the files).</t>
      </text>
    </comment>
    <comment ref="F21" authorId="0" shapeId="0">
      <text>
        <t>Recommended public prices (SAR, before VAT) from the Dairy Mind distribution feasibility study, dated 29/09/2026.</t>
      </text>
    </comment>
    <comment ref="A26" authorId="0" shapeId="0">
      <text>
        <t>Barcode from the SFDA food-product registration record (00762497361537). Invoice internal code: 10108.</t>
      </text>
    </comment>
    <comment ref="B26" authorId="0" shapeId="0">
      <text>
        <t>No final SFDA product number in the files received (registration request view 1039643). Fill in before sending.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247650</colOff>
      <row>20</row>
      <rowOff>38100</rowOff>
    </from>
    <ext cx="112395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247650</colOff>
      <row>21</row>
      <rowOff>38100</rowOff>
    </from>
    <ext cx="112395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247650</colOff>
      <row>22</row>
      <rowOff>38100</rowOff>
    </from>
    <ext cx="112395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247650</colOff>
      <row>23</row>
      <rowOff>38100</rowOff>
    </from>
    <ext cx="112395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247650</colOff>
      <row>24</row>
      <rowOff>38100</rowOff>
    </from>
    <ext cx="112395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247650</colOff>
      <row>25</row>
      <rowOff>38100</rowOff>
    </from>
    <ext cx="112395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K56"/>
  <sheetViews>
    <sheetView showGridLines="0" tabSelected="1" view="pageBreakPreview" topLeftCell="A22" zoomScale="70" zoomScaleNormal="70" zoomScaleSheetLayoutView="70" workbookViewId="0">
      <selection activeCell="B39" sqref="B39"/>
    </sheetView>
  </sheetViews>
  <sheetFormatPr baseColWidth="8" defaultColWidth="8.77734375" defaultRowHeight="16.8"/>
  <cols>
    <col width="25" customWidth="1" style="7" min="1" max="1"/>
    <col width="37.77734375" customWidth="1" style="7" min="2" max="2"/>
    <col width="33.6640625" customWidth="1" style="7" min="3" max="3"/>
    <col width="23.77734375" customWidth="1" style="54" min="4" max="4"/>
    <col width="18.33203125" bestFit="1" customWidth="1" style="7" min="5" max="5"/>
    <col width="18.33203125" customWidth="1" style="7" min="6" max="6"/>
    <col width="24" bestFit="1" customWidth="1" style="7" min="7" max="7"/>
    <col width="11.6640625" bestFit="1" customWidth="1" style="7" min="8" max="9"/>
    <col width="8.77734375" customWidth="1" style="7" min="10" max="10"/>
    <col width="19.77734375" bestFit="1" customWidth="1" style="7" min="11" max="11"/>
    <col width="8.77734375" customWidth="1" style="7" min="12" max="16384"/>
  </cols>
  <sheetData>
    <row r="1" ht="69.75" customHeight="1"/>
    <row r="3" ht="22.8" customHeight="1">
      <c r="A3" s="53" t="inlineStr">
        <is>
          <t>Quotation</t>
        </is>
      </c>
    </row>
    <row r="4" ht="17.4" customHeight="1" thickBot="1">
      <c r="F4" s="55" t="inlineStr">
        <is>
          <t>DATE:</t>
        </is>
      </c>
      <c r="G4" s="15">
        <f>TODAY()</f>
        <v/>
      </c>
    </row>
    <row r="5">
      <c r="A5" s="3" t="inlineStr">
        <is>
          <t>AREEJ NAJD EST. FOR COSMETICS &amp; MEDICAL SUPPLIES</t>
        </is>
      </c>
      <c r="B5" s="4" t="n"/>
      <c r="C5" s="5" t="n"/>
      <c r="F5" s="55" t="inlineStr">
        <is>
          <t>QUOTE #</t>
        </is>
      </c>
      <c r="G5" s="56" t="inlineStr">
        <is>
          <t>[        ]</t>
        </is>
      </c>
    </row>
    <row r="6">
      <c r="A6" s="6" t="inlineStr">
        <is>
          <t>مؤسسة أريج نجد لمستحضرات التجميل والمستلزمات الطبية</t>
        </is>
      </c>
      <c r="C6" s="8" t="n"/>
      <c r="F6" s="1" t="n"/>
    </row>
    <row r="7">
      <c r="A7" s="6" t="inlineStr">
        <is>
          <t>Riyadh, Kingdom of Saudi Arabia</t>
        </is>
      </c>
      <c r="C7" s="8" t="n"/>
    </row>
    <row r="8">
      <c r="A8" s="6" t="inlineStr">
        <is>
          <t>C.R: 1010454734  |  VAT No: 310557045400003</t>
        </is>
      </c>
      <c r="C8" s="8" t="n"/>
    </row>
    <row r="9">
      <c r="A9" s="6" t="inlineStr">
        <is>
          <t>Mobile: 0504152111</t>
        </is>
      </c>
      <c r="C9" s="8" t="n"/>
    </row>
    <row r="10">
      <c r="A10" s="57" t="inlineStr">
        <is>
          <t xml:space="preserve">Prepared by: </t>
        </is>
      </c>
      <c r="C10" s="8" t="n"/>
    </row>
    <row r="11" ht="17.4" customHeight="1" thickBot="1">
      <c r="A11" s="58" t="inlineStr">
        <is>
          <t xml:space="preserve">Email: </t>
        </is>
      </c>
      <c r="B11" s="10" t="n"/>
      <c r="C11" s="11" t="n"/>
    </row>
    <row r="12" ht="17.4" customHeight="1" thickBot="1">
      <c r="A12" s="1" t="inlineStr">
        <is>
          <t xml:space="preserve">To: </t>
        </is>
      </c>
    </row>
    <row r="13">
      <c r="A13" s="59" t="inlineStr">
        <is>
          <t xml:space="preserve">Name: </t>
        </is>
      </c>
      <c r="B13" s="4" t="n"/>
      <c r="C13" s="5" t="n"/>
    </row>
    <row r="14">
      <c r="A14" s="60" t="inlineStr">
        <is>
          <t xml:space="preserve">Company Name: </t>
        </is>
      </c>
      <c r="C14" s="8" t="n"/>
    </row>
    <row r="15">
      <c r="A15" s="60" t="inlineStr">
        <is>
          <t xml:space="preserve">Phone: </t>
        </is>
      </c>
      <c r="C15" s="8" t="n"/>
    </row>
    <row r="16">
      <c r="A16" s="60" t="inlineStr">
        <is>
          <t xml:space="preserve">Email: </t>
        </is>
      </c>
      <c r="C16" s="8" t="n"/>
    </row>
    <row r="17">
      <c r="A17" s="60" t="inlineStr">
        <is>
          <t xml:space="preserve">Fax: </t>
        </is>
      </c>
      <c r="C17" s="8" t="n"/>
    </row>
    <row r="18" ht="17.4" customHeight="1" thickBot="1">
      <c r="A18" s="61" t="inlineStr">
        <is>
          <t xml:space="preserve">Address: </t>
        </is>
      </c>
      <c r="B18" s="10" t="n"/>
      <c r="C18" s="11" t="n"/>
    </row>
    <row r="20" ht="69.59999999999999" customHeight="1">
      <c r="A20" s="22" t="inlineStr">
        <is>
          <t>IBC</t>
        </is>
      </c>
      <c r="B20" s="23" t="inlineStr">
        <is>
          <t>SFDA Notification Number</t>
        </is>
      </c>
      <c r="C20" s="24" t="inlineStr">
        <is>
          <t>Product English Description</t>
        </is>
      </c>
      <c r="D20" s="25" t="inlineStr">
        <is>
          <t xml:space="preserve">RSP Including VATسعر البيع المقترح 
شامل الضريبة  </t>
        </is>
      </c>
      <c r="E20" s="26" t="inlineStr">
        <is>
          <t xml:space="preserve">VAT% </t>
        </is>
      </c>
      <c r="F20" s="25" t="inlineStr">
        <is>
          <t xml:space="preserve">Recommended sales price .
سعر البيع المقترح 
</t>
        </is>
      </c>
      <c r="G20" s="24" t="inlineStr">
        <is>
          <t>Product Image
صورة المنتج</t>
        </is>
      </c>
    </row>
    <row r="21" ht="95" customFormat="1" customHeight="1" s="19">
      <c r="A21" s="62" t="inlineStr">
        <is>
          <t>10044</t>
        </is>
      </c>
      <c r="B21" s="63" t="inlineStr">
        <is>
          <t>CN-2023-36519</t>
        </is>
      </c>
      <c r="C21" s="64" t="inlineStr">
        <is>
          <t>Femina Vaginal Foam – Feminine Hygiene Foaming Cleanser 200 ml</t>
        </is>
      </c>
      <c r="D21" s="65">
        <f>IF(F21="","",F21*(1+E21))</f>
        <v/>
      </c>
      <c r="E21" s="66" t="n">
        <v>0.15</v>
      </c>
      <c r="F21" s="67" t="n">
        <v>65</v>
      </c>
      <c r="G21" s="64" t="n"/>
    </row>
    <row r="22" ht="95" customFormat="1" customHeight="1" s="19">
      <c r="A22" s="62" t="inlineStr">
        <is>
          <t>10063</t>
        </is>
      </c>
      <c r="B22" s="63" t="inlineStr">
        <is>
          <t>CN-2023-84129</t>
        </is>
      </c>
      <c r="C22" s="64" t="inlineStr">
        <is>
          <t>Aviance Octo Anti-Dandruff Shampoo 200 ml</t>
        </is>
      </c>
      <c r="D22" s="65">
        <f>IF(F22="","",F22*(1+E22))</f>
        <v/>
      </c>
      <c r="E22" s="66" t="n">
        <v>0.15</v>
      </c>
      <c r="F22" s="67" t="n">
        <v>55</v>
      </c>
      <c r="G22" s="64" t="n"/>
    </row>
    <row r="23" ht="95" customFormat="1" customHeight="1" s="19">
      <c r="A23" s="62" t="inlineStr">
        <is>
          <t>10001</t>
        </is>
      </c>
      <c r="B23" s="63" t="inlineStr">
        <is>
          <t>CN-2026-65086</t>
        </is>
      </c>
      <c r="C23" s="64" t="inlineStr">
        <is>
          <t>E-Panthen Moisturizing Cream (5% D-Panthenol + Vit E)</t>
        </is>
      </c>
      <c r="D23" s="65">
        <f>IF(F23="","",F23*(1+E23))</f>
        <v/>
      </c>
      <c r="E23" s="66" t="n">
        <v>0.15</v>
      </c>
      <c r="F23" s="67" t="n">
        <v>30</v>
      </c>
      <c r="G23" s="64" t="n"/>
    </row>
    <row r="24" ht="95" customFormat="1" customHeight="1" s="19">
      <c r="A24" s="62" t="inlineStr">
        <is>
          <t>10000</t>
        </is>
      </c>
      <c r="B24" s="63" t="inlineStr">
        <is>
          <t>CN-2026-65103</t>
        </is>
      </c>
      <c r="C24" s="64" t="inlineStr">
        <is>
          <t>Mebonol Healing Cream</t>
        </is>
      </c>
      <c r="D24" s="65">
        <f>IF(F24="","",F24*(1+E24))</f>
        <v/>
      </c>
      <c r="E24" s="66" t="n">
        <v>0.15</v>
      </c>
      <c r="F24" s="67" t="n">
        <v>55</v>
      </c>
      <c r="G24" s="64" t="n"/>
    </row>
    <row r="25" ht="95" customFormat="1" customHeight="1" s="19">
      <c r="A25" s="62" t="inlineStr">
        <is>
          <t>762497361506</t>
        </is>
      </c>
      <c r="B25" s="63" t="inlineStr">
        <is>
          <t>FOP-251125-1028812</t>
        </is>
      </c>
      <c r="C25" s="64" t="inlineStr">
        <is>
          <t>Dr. Organic Memory Boost Syrup 120 ml</t>
        </is>
      </c>
      <c r="D25" s="65">
        <f>IF(F25="","",F25*(1+E25))</f>
        <v/>
      </c>
      <c r="E25" s="66" t="n">
        <v>0.15</v>
      </c>
      <c r="F25" s="67" t="n">
        <v>156</v>
      </c>
      <c r="G25" s="64" t="n"/>
    </row>
    <row r="26" ht="95" customFormat="1" customHeight="1" s="19">
      <c r="A26" s="62" t="inlineStr">
        <is>
          <t>762497361537</t>
        </is>
      </c>
      <c r="B26" s="68" t="inlineStr"/>
      <c r="C26" s="64" t="inlineStr">
        <is>
          <t>Dr. Organic Fem-Arosa Drops 30 ml</t>
        </is>
      </c>
      <c r="D26" s="65">
        <f>IF(F26="","",F26*(1+E26))</f>
        <v/>
      </c>
      <c r="E26" s="66" t="n">
        <v>0.15</v>
      </c>
      <c r="F26" s="67" t="n">
        <v>49</v>
      </c>
      <c r="G26" s="64" t="n"/>
    </row>
    <row r="27" ht="17.4" customFormat="1" customHeight="1" s="19"/>
    <row r="28" ht="17.4" customFormat="1" customHeight="1" s="19"/>
    <row r="29" ht="17.4" customFormat="1" customHeight="1" s="19"/>
    <row r="30" ht="17.4" customFormat="1" customHeight="1" s="19"/>
    <row r="31" ht="17.4" customFormat="1" customHeight="1" s="19"/>
    <row r="32" ht="17.4" customFormat="1" customHeight="1" s="19"/>
    <row r="33" ht="17.4" customFormat="1" customHeight="1" s="19"/>
    <row r="34" ht="17.4" customFormat="1" customHeight="1" s="19"/>
    <row r="35" ht="17.4" customFormat="1" customHeight="1" s="19">
      <c r="A35" s="32" t="n"/>
      <c r="B35" s="27" t="n"/>
      <c r="C35" s="28" t="n"/>
      <c r="D35" s="29" t="n"/>
      <c r="E35" s="30" t="n"/>
      <c r="F35" s="29" t="n"/>
      <c r="G35" s="31" t="n"/>
    </row>
    <row r="36" ht="17.4" customFormat="1" customHeight="1" s="19">
      <c r="A36" s="32" t="n"/>
      <c r="B36" s="27" t="n"/>
      <c r="C36" s="28" t="n"/>
      <c r="D36" s="29" t="n"/>
      <c r="E36" s="30" t="n"/>
      <c r="F36" s="29" t="n"/>
      <c r="G36" s="31" t="n"/>
    </row>
    <row r="37" ht="17.4" customFormat="1" customHeight="1" s="19">
      <c r="A37" s="32" t="n"/>
      <c r="B37" s="27" t="n"/>
      <c r="C37" s="28" t="n"/>
      <c r="D37" s="29" t="n"/>
      <c r="E37" s="30" t="n"/>
      <c r="F37" s="29" t="n"/>
      <c r="G37" s="31" t="n"/>
    </row>
    <row r="38" ht="17.4" customFormat="1" customHeight="1" s="19">
      <c r="A38" s="32" t="n"/>
      <c r="B38" s="27" t="n"/>
      <c r="C38" s="28" t="n"/>
      <c r="D38" s="29" t="n"/>
      <c r="E38" s="30" t="n"/>
      <c r="F38" s="29" t="n"/>
      <c r="G38" s="31" t="n"/>
    </row>
    <row r="39" ht="15" customHeight="1">
      <c r="A39" s="44" t="n"/>
      <c r="B39" s="44" t="n"/>
      <c r="C39" s="44" t="n"/>
      <c r="D39" s="49" t="n"/>
      <c r="E39" s="44" t="n"/>
      <c r="F39" s="45" t="n"/>
      <c r="G39" s="46" t="n"/>
      <c r="I39" s="21" t="n"/>
      <c r="K39" s="17" t="n"/>
    </row>
    <row r="40" ht="15" customHeight="1" thickBot="1">
      <c r="A40" s="14" t="n"/>
      <c r="B40" s="14" t="n"/>
      <c r="C40" s="14" t="n"/>
      <c r="D40" s="50" t="n"/>
      <c r="E40" s="14" t="n"/>
      <c r="F40" s="16" t="n"/>
      <c r="H40" s="16" t="n"/>
      <c r="I40" s="20" t="n"/>
    </row>
    <row r="41">
      <c r="A41" s="2" t="inlineStr">
        <is>
          <t>TERMS AND CONDITIONS</t>
        </is>
      </c>
      <c r="B41" s="4" t="n"/>
      <c r="C41" s="4" t="n"/>
      <c r="D41" s="51" t="n"/>
      <c r="E41" s="5" t="n"/>
    </row>
    <row r="42">
      <c r="A42" s="6" t="inlineStr">
        <is>
          <t>1. Customer will be billed based on official purchase order</t>
        </is>
      </c>
      <c r="E42" s="8" t="n"/>
    </row>
    <row r="43">
      <c r="A43" s="57" t="inlineStr">
        <is>
          <t>2. Payment will be due on (     ) days from the date of delivery</t>
        </is>
      </c>
      <c r="E43" s="8" t="n"/>
    </row>
    <row r="44">
      <c r="A44" s="6" t="inlineStr">
        <is>
          <t>3. All prices are in Saudi Riyal (SAR). Recommended sales price excludes 15% VAT</t>
        </is>
      </c>
      <c r="E44" s="8" t="n"/>
    </row>
    <row r="45">
      <c r="A45" s="57" t="inlineStr">
        <is>
          <t>4. Quotation valid for (     ) days. Please send the PO to the contact below</t>
        </is>
      </c>
      <c r="E45" s="8" t="n"/>
    </row>
    <row r="46">
      <c r="A46" s="12" t="inlineStr">
        <is>
          <t>Signature  :</t>
        </is>
      </c>
      <c r="E46" s="8" t="n"/>
    </row>
    <row r="47" ht="36.75" customHeight="1">
      <c r="A47" s="6" t="n"/>
      <c r="E47" s="8" t="n"/>
    </row>
    <row r="48" ht="34.5" customHeight="1">
      <c r="A48" s="6" t="n"/>
      <c r="E48" s="8" t="n"/>
    </row>
    <row r="49">
      <c r="A49" s="60" t="inlineStr">
        <is>
          <t xml:space="preserve">Name: </t>
        </is>
      </c>
      <c r="E49" s="8" t="n"/>
    </row>
    <row r="50">
      <c r="A50" s="6" t="n"/>
      <c r="E50" s="8" t="n"/>
    </row>
    <row r="51" ht="17.4" customHeight="1" thickBot="1">
      <c r="A51" s="9" t="n"/>
      <c r="B51" s="10" t="n"/>
      <c r="C51" s="10" t="n"/>
      <c r="D51" s="52" t="n"/>
      <c r="E51" s="11" t="n"/>
    </row>
    <row r="54">
      <c r="A54" s="54" t="inlineStr">
        <is>
          <t>[ Areej Najd Est. , Mobile: 0504152111 , Riyadh ]</t>
        </is>
      </c>
    </row>
    <row r="56">
      <c r="A56" s="55" t="inlineStr">
        <is>
          <t>Thank You !</t>
        </is>
      </c>
    </row>
  </sheetData>
  <mergeCells count="3">
    <mergeCell ref="A56:H56"/>
    <mergeCell ref="A3:G3"/>
    <mergeCell ref="A54:H54"/>
  </mergeCells>
  <pageMargins left="0.25" right="0.25" top="0.75" bottom="0.75" header="0.3" footer="0.3"/>
  <pageSetup orientation="portrait" paperSize="9" scale="62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9" t="inlineStr">
        <is>
          <t>تعليمات تعبئة عرض السعر</t>
        </is>
      </c>
    </row>
    <row r="2">
      <c r="A2" s="70" t="inlineStr">
        <is>
          <t>الخلايا الصفراء في شيت Quotation محتاجة تتعبى قبل الإرسال:</t>
        </is>
      </c>
    </row>
    <row r="3">
      <c r="A3" s="70" t="inlineStr">
        <is>
          <t>• رقم العرض (QUOTE #) في G5، واسم اللي جهز العرض والإيميل في A10 و A11.</t>
        </is>
      </c>
    </row>
    <row r="4">
      <c r="A4" s="70" t="inlineStr">
        <is>
          <t>• بيانات الشركة المرسل لها (A13 إلى A18): متسابة فاضية زي ما طلبت.</t>
        </is>
      </c>
    </row>
    <row r="5">
      <c r="A5" s="70" t="inlineStr">
        <is>
          <t>• سعر البيع المقترح قبل الضريبة (العمود F) منقول من دراسة الجدوى. سعر البيع شامل الضريبة (العمود D) بيتحسب لوحده.</t>
        </is>
      </c>
    </row>
    <row r="6">
      <c r="A6" s="70" t="inlineStr">
        <is>
          <t>• رقم تسجيل SFDA لفيم أروزا (B26): مش موجود في الملفات.</t>
        </is>
      </c>
    </row>
    <row r="7">
      <c r="A7" s="70" t="inlineStr">
        <is>
          <t>• مدة السداد ومدة صلاحية العرض (A43 و A45)، واسم الموقّع (A49).</t>
        </is>
      </c>
    </row>
    <row r="8">
      <c r="A8" s="70" t="inlineStr">
        <is>
          <t>الأرقام باللون الأزرق (سعر البيع المقترح) منقولة من دراسة جدوى ديير مايند بتاريخ 29/09/2026.</t>
        </is>
      </c>
    </row>
    <row r="9">
      <c r="A9" s="70" t="inlineStr">
        <is>
          <t>مثال: سعر البيع المقترح 65 ريال قبل الضريبة في F، والعمود D بيطلع 74.75.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Atlas intetnational</dc:creator>
  <dcterms:created xsi:type="dcterms:W3CDTF">2021-11-10T08:17:41Z</dcterms:created>
  <dcterms:modified xsi:type="dcterms:W3CDTF">2026-10-14T20:32:31Z</dcterms:modified>
  <cp:lastModifiedBy>HOME</cp:lastModifiedBy>
  <cp:lastPrinted>2025-01-11T09:48:23Z</cp:lastPrinted>
</cp:coreProperties>
</file>