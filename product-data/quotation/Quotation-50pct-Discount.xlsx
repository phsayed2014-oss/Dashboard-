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Quotation" sheetId="1" state="visible" r:id="rId1"/>
    <sheet name="تعليمات" sheetId="2" state="visible" r:id="rId2"/>
  </sheets>
  <definedNames>
    <definedName name="_xlnm.Print_Area" localSheetId="0">'Quotation'!$A$1:$G$56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_-* #,##0.00\-;_-* &quot;-&quot;??_-;_-@_-"/>
  </numFmts>
  <fonts count="17">
    <font>
      <name val="Times New Roman"/>
      <charset val="204"/>
      <color rgb="FF000000"/>
      <sz val="10"/>
    </font>
    <font>
      <name val="Kirvy"/>
      <b val="1"/>
      <color rgb="FF000000"/>
      <sz val="13"/>
    </font>
    <font>
      <name val="Kirvy"/>
      <b val="1"/>
      <color rgb="FF000000"/>
      <sz val="18"/>
      <u val="single"/>
    </font>
    <font>
      <name val="Kirvy"/>
      <b val="1"/>
      <color rgb="FF000000"/>
      <sz val="13"/>
      <u val="single"/>
    </font>
    <font>
      <name val="Kirvy"/>
      <color rgb="FF000000"/>
      <sz val="13"/>
    </font>
    <font>
      <name val="Kirvy"/>
      <b val="1"/>
      <sz val="13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Kirvy"/>
      <color rgb="FFFF0000"/>
      <sz val="13"/>
    </font>
    <font>
      <name val="Calibri"/>
      <family val="2"/>
      <b val="1"/>
      <sz val="13"/>
      <scheme val="minor"/>
    </font>
    <font>
      <name val="Calibri"/>
      <family val="2"/>
      <sz val="13"/>
      <scheme val="minor"/>
    </font>
    <font>
      <name val="Arial Narrow"/>
      <family val="2"/>
      <sz val="12"/>
    </font>
    <font>
      <name val="Calibri"/>
      <color rgb="FF0000FF"/>
      <sz val="13"/>
    </font>
    <font>
      <name val="Calibri"/>
      <b val="1"/>
      <sz val="13"/>
    </font>
    <font>
      <name val="Calibri"/>
      <b val="1"/>
      <color rgb="FFC00000"/>
      <sz val="14"/>
    </font>
    <font>
      <name val="Arial"/>
      <b val="1"/>
      <sz val="12"/>
    </font>
    <font>
      <name val="Arial"/>
      <sz val="12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FFFF00"/>
      </patternFill>
    </fill>
    <fill>
      <patternFill patternType="solid">
        <fgColor rgb="FFFDECEC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7" fillId="0" borderId="0"/>
    <xf numFmtId="9" fontId="7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1" fillId="0" borderId="1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left" vertical="center" indent="1"/>
    </xf>
    <xf numFmtId="0" fontId="4" fillId="0" borderId="3" applyAlignment="1" pivotButton="0" quotePrefix="0" xfId="0">
      <alignment horizontal="left" vertical="center" indent="1"/>
    </xf>
    <xf numFmtId="0" fontId="4" fillId="0" borderId="4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4" fillId="0" borderId="5" applyAlignment="1" pivotButton="0" quotePrefix="0" xfId="0">
      <alignment horizontal="left" vertical="center" indent="1"/>
    </xf>
    <xf numFmtId="0" fontId="4" fillId="0" borderId="6" applyAlignment="1" pivotButton="0" quotePrefix="0" xfId="0">
      <alignment horizontal="left" vertical="center" indent="1"/>
    </xf>
    <xf numFmtId="0" fontId="4" fillId="0" borderId="7" applyAlignment="1" pivotButton="0" quotePrefix="0" xfId="0">
      <alignment horizontal="left" vertical="center" indent="1"/>
    </xf>
    <xf numFmtId="0" fontId="4" fillId="0" borderId="8" applyAlignment="1" pivotButton="0" quotePrefix="0" xfId="0">
      <alignment horizontal="left" vertical="center" indent="1"/>
    </xf>
    <xf numFmtId="0" fontId="1" fillId="0" borderId="4" applyAlignment="1" pivotButton="0" quotePrefix="0" xfId="0">
      <alignment horizontal="left" vertical="center" indent="1"/>
    </xf>
    <xf numFmtId="0" fontId="1" fillId="0" borderId="6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 indent="1"/>
    </xf>
    <xf numFmtId="14" fontId="4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2" fontId="4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10" fontId="4" fillId="0" borderId="0" applyAlignment="1" pivotButton="0" quotePrefix="0" xfId="0">
      <alignment horizontal="left" vertical="center" wrapText="1"/>
    </xf>
    <xf numFmtId="10" fontId="8" fillId="0" borderId="0" applyAlignment="1" pivotButton="0" quotePrefix="0" xfId="0">
      <alignment horizontal="left" vertical="center" wrapText="1"/>
    </xf>
    <xf numFmtId="0" fontId="9" fillId="3" borderId="9" applyAlignment="1" pivotButton="0" quotePrefix="0" xfId="0">
      <alignment horizontal="center" vertical="center" wrapText="1"/>
    </xf>
    <xf numFmtId="0" fontId="9" fillId="3" borderId="9" applyAlignment="1" pivotButton="0" quotePrefix="0" xfId="0">
      <alignment vertical="center" wrapText="1"/>
    </xf>
    <xf numFmtId="164" fontId="9" fillId="3" borderId="9" applyAlignment="1" pivotButton="0" quotePrefix="0" xfId="1">
      <alignment horizontal="center" vertical="center" wrapText="1"/>
    </xf>
    <xf numFmtId="49" fontId="9" fillId="3" borderId="9" applyAlignment="1" pivotButton="0" quotePrefix="0" xfId="0">
      <alignment horizontal="center" vertical="center" wrapText="1"/>
    </xf>
    <xf numFmtId="9" fontId="9" fillId="3" borderId="9" applyAlignment="1" pivotButton="0" quotePrefix="0" xfId="2">
      <alignment horizontal="center" vertical="center" wrapText="1"/>
    </xf>
    <xf numFmtId="0" fontId="10" fillId="2" borderId="9" applyAlignment="1" pivotButton="0" quotePrefix="0" xfId="0">
      <alignment vertical="center" readingOrder="1"/>
    </xf>
    <xf numFmtId="164" fontId="10" fillId="2" borderId="9" applyAlignment="1" pivotButton="0" quotePrefix="0" xfId="1">
      <alignment horizontal="center" vertical="center" wrapText="1" readingOrder="1"/>
    </xf>
    <xf numFmtId="4" fontId="10" fillId="2" borderId="9" applyAlignment="1" pivotButton="0" quotePrefix="0" xfId="0">
      <alignment horizontal="center" vertical="center"/>
    </xf>
    <xf numFmtId="9" fontId="10" fillId="2" borderId="9" applyAlignment="1" pivotButton="0" quotePrefix="0" xfId="2">
      <alignment horizontal="center" vertical="center" readingOrder="1"/>
    </xf>
    <xf numFmtId="164" fontId="10" fillId="2" borderId="9" applyAlignment="1" pivotButton="0" quotePrefix="0" xfId="1">
      <alignment horizontal="center" vertical="center"/>
    </xf>
    <xf numFmtId="1" fontId="10" fillId="2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4" fontId="11" fillId="2" borderId="9" applyAlignment="1" pivotButton="0" quotePrefix="0" xfId="1">
      <alignment horizontal="left" vertical="center" readingOrder="1"/>
    </xf>
    <xf numFmtId="0" fontId="11" fillId="2" borderId="9" applyAlignment="1" pivotButton="0" quotePrefix="0" xfId="0">
      <alignment vertical="center" readingOrder="1"/>
    </xf>
    <xf numFmtId="164" fontId="11" fillId="2" borderId="9" applyAlignment="1" pivotButton="0" quotePrefix="0" xfId="1">
      <alignment horizontal="center" vertical="center" wrapText="1" readingOrder="1"/>
    </xf>
    <xf numFmtId="9" fontId="11" fillId="2" borderId="9" applyAlignment="1" pivotButton="0" quotePrefix="0" xfId="2">
      <alignment horizontal="center" vertical="center" readingOrder="1"/>
    </xf>
    <xf numFmtId="164" fontId="11" fillId="0" borderId="9" applyAlignment="1" pivotButton="0" quotePrefix="0" xfId="1">
      <alignment horizontal="center" vertical="center"/>
    </xf>
    <xf numFmtId="164" fontId="11" fillId="2" borderId="9" applyAlignment="1" pivotButton="0" quotePrefix="0" xfId="1">
      <alignment horizontal="center" vertical="center" readingOrder="1"/>
    </xf>
    <xf numFmtId="9" fontId="11" fillId="2" borderId="9" applyAlignment="1" pivotButton="0" quotePrefix="0" xfId="2">
      <alignment horizontal="center" vertical="center" wrapText="1" readingOrder="1"/>
    </xf>
    <xf numFmtId="0" fontId="4" fillId="0" borderId="9" applyAlignment="1" pivotButton="0" quotePrefix="0" xfId="0">
      <alignment horizontal="left" vertical="center" wrapText="1"/>
    </xf>
    <xf numFmtId="1" fontId="11" fillId="0" borderId="9" applyAlignment="1" pivotButton="0" quotePrefix="0" xfId="0">
      <alignment horizontal="left" vertical="center"/>
    </xf>
    <xf numFmtId="1" fontId="10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 indent="1"/>
    </xf>
    <xf numFmtId="0" fontId="4" fillId="0" borderId="9" applyAlignment="1" pivotButton="0" quotePrefix="0" xfId="0">
      <alignment horizontal="left" vertical="center" wrapText="1" indent="1"/>
    </xf>
    <xf numFmtId="0" fontId="4" fillId="0" borderId="9" applyAlignment="1" pivotButton="0" quotePrefix="0" xfId="0">
      <alignment horizontal="left" vertical="center" indent="1"/>
    </xf>
    <xf numFmtId="9" fontId="10" fillId="2" borderId="9" applyAlignment="1" pivotButton="0" quotePrefix="0" xfId="2">
      <alignment horizontal="center" vertical="center"/>
    </xf>
    <xf numFmtId="2" fontId="10" fillId="2" borderId="9" applyAlignment="1" pivotButton="0" quotePrefix="0" xfId="2">
      <alignment horizontal="center" vertical="center" readingOrder="1"/>
    </xf>
    <xf numFmtId="0" fontId="5" fillId="0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center" indent="1"/>
    </xf>
    <xf numFmtId="0" fontId="1" fillId="4" borderId="1" applyAlignment="1" pivotButton="0" quotePrefix="0" xfId="0">
      <alignment horizontal="left" vertical="center" indent="1"/>
    </xf>
    <xf numFmtId="0" fontId="1" fillId="4" borderId="4" applyAlignment="1" pivotButton="0" quotePrefix="0" xfId="0">
      <alignment horizontal="left" vertical="center" indent="1"/>
    </xf>
    <xf numFmtId="0" fontId="1" fillId="4" borderId="6" applyAlignment="1" pivotButton="0" quotePrefix="0" xfId="0">
      <alignment horizontal="left" vertical="center" indent="1"/>
    </xf>
    <xf numFmtId="49" fontId="10" fillId="2" borderId="9" applyAlignment="1" pivotButton="0" quotePrefix="0" xfId="0">
      <alignment horizontal="center" vertical="center" wrapText="1"/>
    </xf>
    <xf numFmtId="4" fontId="10" fillId="2" borderId="9" applyAlignment="1" pivotButton="0" quotePrefix="0" xfId="0">
      <alignment horizontal="center" vertical="center" wrapText="1"/>
    </xf>
    <xf numFmtId="164" fontId="10" fillId="2" borderId="9" applyAlignment="1" pivotButton="0" quotePrefix="0" xfId="1">
      <alignment horizontal="center" vertical="center" wrapText="1"/>
    </xf>
    <xf numFmtId="4" fontId="12" fillId="2" borderId="9" applyAlignment="1" pivotButton="0" quotePrefix="0" xfId="0">
      <alignment horizontal="center" vertical="center" wrapText="1"/>
    </xf>
    <xf numFmtId="9" fontId="12" fillId="2" borderId="9" applyAlignment="1" pivotButton="0" quotePrefix="0" xfId="0">
      <alignment horizontal="center" vertical="center" wrapText="1"/>
    </xf>
    <xf numFmtId="4" fontId="13" fillId="2" borderId="9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Quotation</author>
  </authors>
  <commentList>
    <comment ref="D21" authorId="0" shapeId="0">
      <text>
        <t>Recommended public prices (SAR, before VAT) from the Dairy Mind distribution feasibility study, dated 29/09/2026.</t>
      </text>
    </comment>
    <comment ref="E21" authorId="0" shapeId="0">
      <text>
        <t>Discount off the public price: 50% on all products.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171450</colOff>
      <row>20</row>
      <rowOff>38100</rowOff>
    </from>
    <ext cx="1123950" cy="1123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171450</colOff>
      <row>21</row>
      <rowOff>38100</rowOff>
    </from>
    <ext cx="1123950" cy="1123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171450</colOff>
      <row>22</row>
      <rowOff>38100</rowOff>
    </from>
    <ext cx="1123950" cy="11239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171450</colOff>
      <row>23</row>
      <rowOff>38100</rowOff>
    </from>
    <ext cx="1123950" cy="11239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171450</colOff>
      <row>24</row>
      <rowOff>38100</rowOff>
    </from>
    <ext cx="1123950" cy="11239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171450</colOff>
      <row>25</row>
      <rowOff>38100</rowOff>
    </from>
    <ext cx="1123950" cy="11239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K56"/>
  <sheetViews>
    <sheetView showGridLines="0" tabSelected="1" view="pageBreakPreview" topLeftCell="A22" zoomScale="70" zoomScaleNormal="70" zoomScaleSheetLayoutView="70" workbookViewId="0">
      <selection activeCell="B39" sqref="B39"/>
    </sheetView>
  </sheetViews>
  <sheetFormatPr baseColWidth="8" defaultColWidth="8.77734375" defaultRowHeight="16.8"/>
  <cols>
    <col width="18" customWidth="1" style="7" min="1" max="1"/>
    <col width="30" customWidth="1" style="7" min="2" max="2"/>
    <col width="34" customWidth="1" style="7" min="3" max="3"/>
    <col width="20" customWidth="1" style="54" min="4" max="4"/>
    <col width="12" bestFit="1" customWidth="1" style="7" min="5" max="5"/>
    <col width="24" customWidth="1" style="7" min="6" max="6"/>
    <col width="22" bestFit="1" customWidth="1" style="7" min="7" max="7"/>
    <col width="4" bestFit="1" customWidth="1" style="7" min="8" max="9"/>
    <col width="4" customWidth="1" min="9" max="9"/>
    <col width="8.77734375" customWidth="1" style="7" min="10" max="10"/>
    <col width="19.77734375" bestFit="1" customWidth="1" style="7" min="11" max="11"/>
    <col width="8.77734375" customWidth="1" style="7" min="12" max="16384"/>
  </cols>
  <sheetData>
    <row r="1" ht="69.75" customHeight="1"/>
    <row r="3" ht="22.8" customHeight="1">
      <c r="A3" s="53" t="inlineStr">
        <is>
          <t>Quotation</t>
        </is>
      </c>
    </row>
    <row r="4" ht="17.4" customHeight="1" thickBot="1">
      <c r="F4" s="55" t="inlineStr">
        <is>
          <t>DATE:</t>
        </is>
      </c>
      <c r="G4" s="15">
        <f>TODAY()</f>
        <v/>
      </c>
    </row>
    <row r="5">
      <c r="A5" s="3" t="inlineStr">
        <is>
          <t>AREEJ NAJD EST. FOR COSMETICS &amp; MEDICAL SUPPLIES</t>
        </is>
      </c>
      <c r="B5" s="4" t="n"/>
      <c r="C5" s="5" t="n"/>
      <c r="F5" s="55" t="inlineStr">
        <is>
          <t>QUOTE #</t>
        </is>
      </c>
      <c r="G5" s="56" t="inlineStr">
        <is>
          <t>[        ]</t>
        </is>
      </c>
    </row>
    <row r="6">
      <c r="A6" s="6" t="inlineStr">
        <is>
          <t>مؤسسة أريج نجد لمستحضرات التجميل والمستلزمات الطبية</t>
        </is>
      </c>
      <c r="C6" s="8" t="n"/>
      <c r="F6" s="1" t="n"/>
    </row>
    <row r="7">
      <c r="A7" s="6" t="inlineStr">
        <is>
          <t>Riyadh, Kingdom of Saudi Arabia</t>
        </is>
      </c>
      <c r="C7" s="8" t="n"/>
    </row>
    <row r="8">
      <c r="A8" s="6" t="inlineStr">
        <is>
          <t>C.R: 1010454734  |  VAT No: 310557045400003</t>
        </is>
      </c>
      <c r="C8" s="8" t="n"/>
    </row>
    <row r="9">
      <c r="A9" s="6" t="n"/>
      <c r="C9" s="8" t="n"/>
    </row>
    <row r="10">
      <c r="A10" s="57" t="inlineStr">
        <is>
          <t xml:space="preserve">Prepared by: </t>
        </is>
      </c>
      <c r="C10" s="8" t="n"/>
    </row>
    <row r="11" ht="17.4" customHeight="1" thickBot="1">
      <c r="A11" s="58" t="inlineStr">
        <is>
          <t xml:space="preserve">Email: </t>
        </is>
      </c>
      <c r="B11" s="10" t="n"/>
      <c r="C11" s="11" t="n"/>
    </row>
    <row r="12" ht="17.4" customHeight="1" thickBot="1">
      <c r="A12" s="1" t="inlineStr">
        <is>
          <t xml:space="preserve">To: </t>
        </is>
      </c>
    </row>
    <row r="13">
      <c r="A13" s="59" t="inlineStr">
        <is>
          <t xml:space="preserve">Name: </t>
        </is>
      </c>
      <c r="B13" s="4" t="n"/>
      <c r="C13" s="5" t="n"/>
    </row>
    <row r="14">
      <c r="A14" s="60" t="inlineStr">
        <is>
          <t xml:space="preserve">Company Name: </t>
        </is>
      </c>
      <c r="C14" s="8" t="n"/>
    </row>
    <row r="15">
      <c r="A15" s="60" t="inlineStr">
        <is>
          <t xml:space="preserve">Phone: </t>
        </is>
      </c>
      <c r="C15" s="8" t="n"/>
    </row>
    <row r="16">
      <c r="A16" s="60" t="inlineStr">
        <is>
          <t xml:space="preserve">Email: </t>
        </is>
      </c>
      <c r="C16" s="8" t="n"/>
    </row>
    <row r="17">
      <c r="A17" s="60" t="inlineStr">
        <is>
          <t xml:space="preserve">Fax: </t>
        </is>
      </c>
      <c r="C17" s="8" t="n"/>
    </row>
    <row r="18" ht="17.4" customHeight="1" thickBot="1">
      <c r="A18" s="61" t="inlineStr">
        <is>
          <t xml:space="preserve">Address: </t>
        </is>
      </c>
      <c r="B18" s="10" t="n"/>
      <c r="C18" s="11" t="n"/>
    </row>
    <row r="20" ht="69.59999999999999" customHeight="1">
      <c r="A20" s="24" t="inlineStr">
        <is>
          <t>IBC</t>
        </is>
      </c>
      <c r="B20" s="24" t="inlineStr">
        <is>
          <t>SFDA Notification Number</t>
        </is>
      </c>
      <c r="C20" s="24" t="inlineStr">
        <is>
          <t>Product English Description</t>
        </is>
      </c>
      <c r="D20" s="24" t="inlineStr">
        <is>
          <t>Public Price (excl. VAT)
سعر الجمهور (غير شامل الضريبة)</t>
        </is>
      </c>
      <c r="E20" s="24" t="inlineStr">
        <is>
          <t>Discount %
الخصم</t>
        </is>
      </c>
      <c r="F20" s="24" t="inlineStr">
        <is>
          <t>Unit Price after Discount (excl. VAT)
سعر الوحدة بعد الخصم (غير شامل الضريبة)</t>
        </is>
      </c>
      <c r="G20" s="24" t="inlineStr">
        <is>
          <t>Product Image
صورة المنتج</t>
        </is>
      </c>
    </row>
    <row r="21" ht="95" customFormat="1" customHeight="1" s="19">
      <c r="A21" s="62" t="inlineStr">
        <is>
          <t>00762497361506</t>
        </is>
      </c>
      <c r="B21" s="63" t="inlineStr">
        <is>
          <t>FOM-24-272344-FOP-251125-1028812-C-12688-881856</t>
        </is>
      </c>
      <c r="C21" s="64" t="inlineStr">
        <is>
          <t>Dr. Organic Memory Boost Syrup 120 ml</t>
        </is>
      </c>
      <c r="D21" s="65" t="n">
        <v>156</v>
      </c>
      <c r="E21" s="66" t="n">
        <v>0.5</v>
      </c>
      <c r="F21" s="67">
        <f>D21*(1-E21)</f>
        <v/>
      </c>
      <c r="G21" s="63" t="n"/>
    </row>
    <row r="22" ht="95" customFormat="1" customHeight="1" s="19">
      <c r="A22" s="62" t="inlineStr">
        <is>
          <t>00762497361537</t>
        </is>
      </c>
      <c r="B22" s="63" t="inlineStr">
        <is>
          <t>FOM-24-56091-FOP-110126-10077-C-12688-5160</t>
        </is>
      </c>
      <c r="C22" s="64" t="inlineStr">
        <is>
          <t>Dr. Organic Fem-Arosa Drops 30 ml</t>
        </is>
      </c>
      <c r="D22" s="65" t="n">
        <v>49</v>
      </c>
      <c r="E22" s="66" t="n">
        <v>0.5</v>
      </c>
      <c r="F22" s="67">
        <f>D22*(1-E22)</f>
        <v/>
      </c>
      <c r="G22" s="63" t="n"/>
    </row>
    <row r="23" ht="95" customFormat="1" customHeight="1" s="19">
      <c r="A23" s="62" t="inlineStr">
        <is>
          <t>6772505023146</t>
        </is>
      </c>
      <c r="B23" s="63" t="inlineStr">
        <is>
          <t>CN-2023-36519</t>
        </is>
      </c>
      <c r="C23" s="64" t="inlineStr">
        <is>
          <t>Femina Vaginal Foam – Feminine Hygiene Foaming Cleanser 200 ml</t>
        </is>
      </c>
      <c r="D23" s="65" t="n">
        <v>65</v>
      </c>
      <c r="E23" s="66" t="n">
        <v>0.5</v>
      </c>
      <c r="F23" s="67">
        <f>D23*(1-E23)</f>
        <v/>
      </c>
      <c r="G23" s="63" t="n"/>
    </row>
    <row r="24" ht="95" customFormat="1" customHeight="1" s="19">
      <c r="A24" s="62" t="inlineStr">
        <is>
          <t>6772505023108</t>
        </is>
      </c>
      <c r="B24" s="63" t="inlineStr">
        <is>
          <t>CN-2023-84129</t>
        </is>
      </c>
      <c r="C24" s="64" t="inlineStr">
        <is>
          <t>Aviance Octo Anti-Dandruff Shampoo 200 ml</t>
        </is>
      </c>
      <c r="D24" s="65" t="n">
        <v>55</v>
      </c>
      <c r="E24" s="66" t="n">
        <v>0.5</v>
      </c>
      <c r="F24" s="67">
        <f>D24*(1-E24)</f>
        <v/>
      </c>
      <c r="G24" s="63" t="n"/>
    </row>
    <row r="25" ht="95" customFormat="1" customHeight="1" s="19">
      <c r="A25" s="62" t="inlineStr">
        <is>
          <t>6224010064195</t>
        </is>
      </c>
      <c r="B25" s="63" t="inlineStr">
        <is>
          <t>CN-2026-65086</t>
        </is>
      </c>
      <c r="C25" s="64" t="inlineStr">
        <is>
          <t>E-Panthen Moisturizing Cream (5% D-Panthenol + Vit E) 40 g</t>
        </is>
      </c>
      <c r="D25" s="65" t="n">
        <v>30</v>
      </c>
      <c r="E25" s="66" t="n">
        <v>0.5</v>
      </c>
      <c r="F25" s="67">
        <f>D25*(1-E25)</f>
        <v/>
      </c>
      <c r="G25" s="63" t="n"/>
    </row>
    <row r="26" ht="95" customFormat="1" customHeight="1" s="19">
      <c r="A26" s="62" t="inlineStr">
        <is>
          <t>6224010064188</t>
        </is>
      </c>
      <c r="B26" s="63" t="inlineStr">
        <is>
          <t>CN-2026-65103</t>
        </is>
      </c>
      <c r="C26" s="64" t="inlineStr">
        <is>
          <t>Mebonol Healing Cream 40 g</t>
        </is>
      </c>
      <c r="D26" s="65" t="n">
        <v>55</v>
      </c>
      <c r="E26" s="66" t="n">
        <v>0.5</v>
      </c>
      <c r="F26" s="67">
        <f>D26*(1-E26)</f>
        <v/>
      </c>
      <c r="G26" s="63" t="n"/>
    </row>
    <row r="27" ht="17.4" customFormat="1" customHeight="1" s="19"/>
    <row r="28" ht="28" customFormat="1" customHeight="1" s="19">
      <c r="A28" s="68" t="inlineStr">
        <is>
          <t>All prices are EXCLUSIVE of 15% VAT  —  جميع الأسعار غير شاملة ضريبة القيمة المضافة 15%، وتُضاف الضريبة على الفاتورة</t>
        </is>
      </c>
    </row>
    <row r="29" ht="17.4" customFormat="1" customHeight="1" s="19"/>
    <row r="30" ht="17.4" customFormat="1" customHeight="1" s="19"/>
    <row r="31" ht="17.4" customFormat="1" customHeight="1" s="19"/>
    <row r="32" ht="17.4" customFormat="1" customHeight="1" s="19"/>
    <row r="33" ht="17.4" customFormat="1" customHeight="1" s="19"/>
    <row r="34" ht="17.4" customFormat="1" customHeight="1" s="19"/>
    <row r="35" ht="17.4" customFormat="1" customHeight="1" s="19"/>
    <row r="36" ht="17.4" customFormat="1" customHeight="1" s="19"/>
    <row r="37" ht="17.4" customFormat="1" customHeight="1" s="19"/>
    <row r="38" ht="17.4" customFormat="1" customHeight="1" s="19"/>
    <row r="39" ht="17.4" customHeight="1"/>
    <row r="40" ht="17.4" customHeight="1" thickBot="1"/>
    <row r="41">
      <c r="A41" s="2" t="inlineStr">
        <is>
          <t>TERMS AND CONDITIONS</t>
        </is>
      </c>
      <c r="B41" s="4" t="n"/>
      <c r="C41" s="4" t="n"/>
      <c r="D41" s="51" t="n"/>
      <c r="E41" s="5" t="n"/>
    </row>
    <row r="42">
      <c r="A42" s="6" t="inlineStr">
        <is>
          <t>1. Customer will be billed based on official purchase order</t>
        </is>
      </c>
      <c r="E42" s="8" t="n"/>
    </row>
    <row r="43">
      <c r="A43" s="57" t="inlineStr">
        <is>
          <t>2. Payment will be due on (     ) days from the date of delivery</t>
        </is>
      </c>
      <c r="E43" s="8" t="n"/>
    </row>
    <row r="44">
      <c r="A44" s="6" t="inlineStr">
        <is>
          <t>3. All prices are in Saudi Riyal (SAR) and are EXCLUSIVE of 15% VAT, which will be added to the invoice</t>
        </is>
      </c>
      <c r="E44" s="8" t="n"/>
    </row>
    <row r="45">
      <c r="A45" s="57" t="inlineStr">
        <is>
          <t>4. Quotation valid for (     ) days. Quantities as per official purchase order. Please send the PO to the contact below</t>
        </is>
      </c>
      <c r="E45" s="8" t="n"/>
    </row>
    <row r="46">
      <c r="A46" s="12" t="inlineStr">
        <is>
          <t>Signature  :</t>
        </is>
      </c>
      <c r="E46" s="8" t="n"/>
    </row>
    <row r="47" ht="36.75" customHeight="1">
      <c r="A47" s="6" t="n"/>
      <c r="E47" s="8" t="n"/>
    </row>
    <row r="48" ht="34.5" customHeight="1">
      <c r="A48" s="6" t="n"/>
      <c r="E48" s="8" t="n"/>
    </row>
    <row r="49">
      <c r="A49" s="60" t="inlineStr">
        <is>
          <t xml:space="preserve">Name: </t>
        </is>
      </c>
      <c r="E49" s="8" t="n"/>
    </row>
    <row r="50">
      <c r="A50" s="6" t="n"/>
      <c r="E50" s="8" t="n"/>
    </row>
    <row r="51" ht="17.4" customHeight="1" thickBot="1">
      <c r="A51" s="9" t="n"/>
      <c r="B51" s="10" t="n"/>
      <c r="C51" s="10" t="n"/>
      <c r="D51" s="52" t="n"/>
      <c r="E51" s="11" t="n"/>
    </row>
    <row r="54">
      <c r="A54" s="54" t="inlineStr">
        <is>
          <t>[ Areej Najd Est. , Riyadh ]</t>
        </is>
      </c>
    </row>
    <row r="56">
      <c r="A56" s="55" t="inlineStr">
        <is>
          <t>Thank You !</t>
        </is>
      </c>
    </row>
  </sheetData>
  <mergeCells count="4">
    <mergeCell ref="A56:G56"/>
    <mergeCell ref="A3:G3"/>
    <mergeCell ref="A54:G54"/>
    <mergeCell ref="A28:G28"/>
  </mergeCells>
  <pageMargins left="0.25" right="0.25" top="0.75" bottom="0.75" header="0.3" footer="0.3"/>
  <pageSetup orientation="portrait" paperSize="9" scale="62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9" t="inlineStr">
        <is>
          <t>تعليمات عرض السعر (خصم 50%)</t>
        </is>
      </c>
    </row>
    <row r="2">
      <c r="A2" s="70" t="inlineStr">
        <is>
          <t>الخلايا الصفراء محتاجة تتعبى قبل الإرسال: رقم العرض (G5)، اللي جهز العرض والإيميل (A10، A11)، بيانات العميل: الاسم واسم الشركة والتواصل (A13–A18)، مدة السداد وصلاحية العرض (A43، A45)، واسم الموقّع (A49).</t>
        </is>
      </c>
    </row>
    <row r="3">
      <c r="A3" s="70" t="inlineStr">
        <is>
          <t>الأرقام الزرقا مدخلات: سعر الجمهور قبل الضريبة (D) من دراسة الجدوى، ونسبة الخصم (E) = 50% لكل الأصناف.</t>
        </is>
      </c>
    </row>
    <row r="4">
      <c r="A4" s="70" t="inlineStr">
        <is>
          <t>سعر الوحدة بعد الخصم (F) = سعر الجمهور × (1 − الخصم). الأسعار غير شاملة ضريبة 15% وتُضاف على الفاتورة. العرض بدون كميات؛ الكميات حسب أمر الشراء.</t>
        </is>
      </c>
    </row>
    <row r="5">
      <c r="A5" s="70" t="inlineStr">
        <is>
          <t>مثال: ميموري بوست 156 × (1 − 50%) = 78.00 ريال للعبوة غير شامل الضريبة.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Atlas intetnational</dc:creator>
  <dcterms:created xsi:type="dcterms:W3CDTF">2021-11-10T08:17:41Z</dcterms:created>
  <dcterms:modified xsi:type="dcterms:W3CDTF">2026-10-20T11:33:44Z</dcterms:modified>
  <cp:lastModifiedBy>HOME</cp:lastModifiedBy>
  <cp:lastPrinted>2025-01-11T09:48:23Z</cp:lastPrinted>
</cp:coreProperties>
</file>