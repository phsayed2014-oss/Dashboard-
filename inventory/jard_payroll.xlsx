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حسب اليوم" sheetId="2" state="visible" r:id="rId2"/>
    <sheet name="الإعدادات" sheetId="3" state="visible" r:id="rId3"/>
    <sheet name="جدول الجرد" sheetId="4" state="visible" r:id="rId4"/>
    <sheet name="السجل" sheetId="5" state="visible" r:id="rId5"/>
  </sheets>
  <definedNames>
    <definedName name="_xlnm._FilterDatabase" localSheetId="4" hidden="1">'السجل'!$A$1:$I$1000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ر.س&quot;;-#,##0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b val="1"/>
      <color rgb="001F4E78"/>
      <sz val="14"/>
    </font>
    <font>
      <name val="Arial"/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B2" authorId="0" shapeId="0">
      <text>
        <t>المبالغ حسب تعليمات المستخدم. المبلغ محسوب لكل صيدلية لكل شخص.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ملخص مستحقات الجرد</t>
        </is>
      </c>
    </row>
    <row r="2">
      <c r="A2" s="2" t="inlineStr">
        <is>
          <t>اكتب أي اسم جديد في عمود الاسم (أزرق) وسيُحسب تلقائيًا من شيت السجل</t>
        </is>
      </c>
    </row>
    <row r="3">
      <c r="A3" s="3" t="inlineStr">
        <is>
          <t>الاسم</t>
        </is>
      </c>
      <c r="B3" s="3" t="inlineStr">
        <is>
          <t>جرد + مراجعة</t>
        </is>
      </c>
      <c r="C3" s="3" t="inlineStr">
        <is>
          <t>مراجعة فقط</t>
        </is>
      </c>
      <c r="D3" s="3" t="inlineStr">
        <is>
          <t>جرد فقط</t>
        </is>
      </c>
      <c r="E3" s="3" t="inlineStr">
        <is>
          <t>عدد الصيدليات</t>
        </is>
      </c>
      <c r="F3" s="3" t="inlineStr">
        <is>
          <t>إجمالي المستحق</t>
        </is>
      </c>
    </row>
    <row r="4">
      <c r="A4" s="4" t="inlineStr">
        <is>
          <t>د. حسام شلش</t>
        </is>
      </c>
      <c r="B4" s="5">
        <f>IF(A4="","",COUNTIFS(السجل!$E$2:$E$1000,A4,السجل!$H$2:$H$1000,"جرد + مراجعة"))</f>
        <v>19</v>
      </c>
      <c r="C4" s="5">
        <f>IF(A4="","",COUNTIFS(السجل!$E$2:$E$1000,A4,السجل!$H$2:$H$1000,"مراجعة فقط"))</f>
        <v>18</v>
      </c>
      <c r="D4" s="5">
        <f>IF(A4="","",COUNTIFS(السجل!$E$2:$E$1000,A4,السجل!$H$2:$H$1000,"جرد فقط"))</f>
        <v>0</v>
      </c>
      <c r="E4" s="5">
        <f>IF(A4="","",SUM(B4:D4))</f>
        <v>37</v>
      </c>
      <c r="F4" s="6">
        <f>IF(A4="","",SUMIFS(السجل!$I$2:$I$1000,السجل!$E$2:$E$1000,A4))</f>
        <v>6500</v>
      </c>
    </row>
    <row r="5">
      <c r="A5" s="4" t="inlineStr">
        <is>
          <t>د. السيد حسن</t>
        </is>
      </c>
      <c r="B5" s="5">
        <f>IF(A5="","",COUNTIFS(السجل!$E$2:$E$1000,A5,السجل!$H$2:$H$1000,"جرد + مراجعة"))</f>
        <v>8</v>
      </c>
      <c r="C5" s="5">
        <f>IF(A5="","",COUNTIFS(السجل!$E$2:$E$1000,A5,السجل!$H$2:$H$1000,"مراجعة فقط"))</f>
        <v>29</v>
      </c>
      <c r="D5" s="5">
        <f>IF(A5="","",COUNTIFS(السجل!$E$2:$E$1000,A5,السجل!$H$2:$H$1000,"جرد فقط"))</f>
        <v>0</v>
      </c>
      <c r="E5" s="5">
        <f>IF(A5="","",SUM(B5:D5))</f>
        <v>37</v>
      </c>
      <c r="F5" s="6">
        <f>IF(A5="","",SUMIFS(السجل!$I$2:$I$1000,السجل!$E$2:$E$1000,A5))</f>
        <v>5950</v>
      </c>
    </row>
    <row r="6">
      <c r="A6" s="4" t="inlineStr">
        <is>
          <t>د. أيمن حسين</t>
        </is>
      </c>
      <c r="B6" s="5">
        <f>IF(A6="","",COUNTIFS(السجل!$E$2:$E$1000,A6,السجل!$H$2:$H$1000,"جرد + مراجعة"))</f>
        <v>0</v>
      </c>
      <c r="C6" s="5">
        <f>IF(A6="","",COUNTIFS(السجل!$E$2:$E$1000,A6,السجل!$H$2:$H$1000,"مراجعة فقط"))</f>
        <v>11</v>
      </c>
      <c r="D6" s="5">
        <f>IF(A6="","",COUNTIFS(السجل!$E$2:$E$1000,A6,السجل!$H$2:$H$1000,"جرد فقط"))</f>
        <v>0</v>
      </c>
      <c r="E6" s="5">
        <f>IF(A6="","",SUM(B6:D6))</f>
        <v>11</v>
      </c>
      <c r="F6" s="6">
        <f>IF(A6="","",SUMIFS(السجل!$I$2:$I$1000,السجل!$E$2:$E$1000,A6))</f>
        <v>1650</v>
      </c>
    </row>
    <row r="7">
      <c r="A7" s="4" t="inlineStr">
        <is>
          <t>د. الحسن الغنيمي</t>
        </is>
      </c>
      <c r="B7" s="5">
        <f>IF(A7="","",COUNTIFS(السجل!$E$2:$E$1000,A7,السجل!$H$2:$H$1000,"جرد + مراجعة"))</f>
        <v>0</v>
      </c>
      <c r="C7" s="5">
        <f>IF(A7="","",COUNTIFS(السجل!$E$2:$E$1000,A7,السجل!$H$2:$H$1000,"مراجعة فقط"))</f>
        <v>23</v>
      </c>
      <c r="D7" s="5">
        <f>IF(A7="","",COUNTIFS(السجل!$E$2:$E$1000,A7,السجل!$H$2:$H$1000,"جرد فقط"))</f>
        <v>0</v>
      </c>
      <c r="E7" s="5">
        <f>IF(A7="","",SUM(B7:D7))</f>
        <v>23</v>
      </c>
      <c r="F7" s="6">
        <f>IF(A7="","",SUMIFS(السجل!$I$2:$I$1000,السجل!$E$2:$E$1000,A7))</f>
        <v>3450</v>
      </c>
    </row>
    <row r="8">
      <c r="A8" s="4" t="inlineStr">
        <is>
          <t>د. علي خليفة</t>
        </is>
      </c>
      <c r="B8" s="5">
        <f>IF(A8="","",COUNTIFS(السجل!$E$2:$E$1000,A8,السجل!$H$2:$H$1000,"جرد + مراجعة"))</f>
        <v>10</v>
      </c>
      <c r="C8" s="5">
        <f>IF(A8="","",COUNTIFS(السجل!$E$2:$E$1000,A8,السجل!$H$2:$H$1000,"مراجعة فقط"))</f>
        <v>9</v>
      </c>
      <c r="D8" s="5">
        <f>IF(A8="","",COUNTIFS(السجل!$E$2:$E$1000,A8,السجل!$H$2:$H$1000,"جرد فقط"))</f>
        <v>0</v>
      </c>
      <c r="E8" s="5">
        <f>IF(A8="","",SUM(B8:D8))</f>
        <v>19</v>
      </c>
      <c r="F8" s="6">
        <f>IF(A8="","",SUMIFS(السجل!$I$2:$I$1000,السجل!$E$2:$E$1000,A8))</f>
        <v>3350</v>
      </c>
    </row>
    <row r="9">
      <c r="A9" s="4" t="inlineStr">
        <is>
          <t>د. محمد جمال</t>
        </is>
      </c>
      <c r="B9" s="5">
        <f>IF(A9="","",COUNTIFS(السجل!$E$2:$E$1000,A9,السجل!$H$2:$H$1000,"جرد + مراجعة"))</f>
        <v>0</v>
      </c>
      <c r="C9" s="5">
        <f>IF(A9="","",COUNTIFS(السجل!$E$2:$E$1000,A9,السجل!$H$2:$H$1000,"مراجعة فقط"))</f>
        <v>18</v>
      </c>
      <c r="D9" s="5">
        <f>IF(A9="","",COUNTIFS(السجل!$E$2:$E$1000,A9,السجل!$H$2:$H$1000,"جرد فقط"))</f>
        <v>0</v>
      </c>
      <c r="E9" s="5">
        <f>IF(A9="","",SUM(B9:D9))</f>
        <v>18</v>
      </c>
      <c r="F9" s="6">
        <f>IF(A9="","",SUMIFS(السجل!$I$2:$I$1000,السجل!$E$2:$E$1000,A9))</f>
        <v>2700</v>
      </c>
    </row>
    <row r="10">
      <c r="A10" s="4" t="n"/>
      <c r="B10" s="5" t="str">
        <f>IF(A10="","",COUNTIFS(السجل!$E$2:$E$1000,A10,السجل!$H$2:$H$1000,"جرد + مراجعة"))</f>
        <v/>
      </c>
      <c r="C10" s="5" t="str">
        <f>IF(A10="","",COUNTIFS(السجل!$E$2:$E$1000,A10,السجل!$H$2:$H$1000,"مراجعة فقط"))</f>
        <v/>
      </c>
      <c r="D10" s="5" t="str">
        <f>IF(A10="","",COUNTIFS(السجل!$E$2:$E$1000,A10,السجل!$H$2:$H$1000,"جرد فقط"))</f>
        <v/>
      </c>
      <c r="E10" s="5" t="str">
        <f>IF(A10="","",SUM(B10:D10))</f>
        <v/>
      </c>
      <c r="F10" s="6" t="str">
        <f>IF(A10="","",SUMIFS(السجل!$I$2:$I$1000,السجل!$E$2:$E$1000,A10))</f>
        <v/>
      </c>
    </row>
    <row r="11">
      <c r="A11" s="4" t="n"/>
      <c r="B11" s="5" t="str">
        <f>IF(A11="","",COUNTIFS(السجل!$E$2:$E$1000,A11,السجل!$H$2:$H$1000,"جرد + مراجعة"))</f>
        <v/>
      </c>
      <c r="C11" s="5" t="str">
        <f>IF(A11="","",COUNTIFS(السجل!$E$2:$E$1000,A11,السجل!$H$2:$H$1000,"مراجعة فقط"))</f>
        <v/>
      </c>
      <c r="D11" s="5" t="str">
        <f>IF(A11="","",COUNTIFS(السجل!$E$2:$E$1000,A11,السجل!$H$2:$H$1000,"جرد فقط"))</f>
        <v/>
      </c>
      <c r="E11" s="5" t="str">
        <f>IF(A11="","",SUM(B11:D11))</f>
        <v/>
      </c>
      <c r="F11" s="6" t="str">
        <f>IF(A11="","",SUMIFS(السجل!$I$2:$I$1000,السجل!$E$2:$E$1000,A11))</f>
        <v/>
      </c>
    </row>
    <row r="12">
      <c r="A12" s="4" t="n"/>
      <c r="B12" s="5" t="str">
        <f>IF(A12="","",COUNTIFS(السجل!$E$2:$E$1000,A12,السجل!$H$2:$H$1000,"جرد + مراجعة"))</f>
        <v/>
      </c>
      <c r="C12" s="5" t="str">
        <f>IF(A12="","",COUNTIFS(السجل!$E$2:$E$1000,A12,السجل!$H$2:$H$1000,"مراجعة فقط"))</f>
        <v/>
      </c>
      <c r="D12" s="5" t="str">
        <f>IF(A12="","",COUNTIFS(السجل!$E$2:$E$1000,A12,السجل!$H$2:$H$1000,"جرد فقط"))</f>
        <v/>
      </c>
      <c r="E12" s="5" t="str">
        <f>IF(A12="","",SUM(B12:D12))</f>
        <v/>
      </c>
      <c r="F12" s="6" t="str">
        <f>IF(A12="","",SUMIFS(السجل!$I$2:$I$1000,السجل!$E$2:$E$1000,A12))</f>
        <v/>
      </c>
    </row>
    <row r="13">
      <c r="A13" s="4" t="n"/>
      <c r="B13" s="5" t="str">
        <f>IF(A13="","",COUNTIFS(السجل!$E$2:$E$1000,A13,السجل!$H$2:$H$1000,"جرد + مراجعة"))</f>
        <v/>
      </c>
      <c r="C13" s="5" t="str">
        <f>IF(A13="","",COUNTIFS(السجل!$E$2:$E$1000,A13,السجل!$H$2:$H$1000,"مراجعة فقط"))</f>
        <v/>
      </c>
      <c r="D13" s="5" t="str">
        <f>IF(A13="","",COUNTIFS(السجل!$E$2:$E$1000,A13,السجل!$H$2:$H$1000,"جرد فقط"))</f>
        <v/>
      </c>
      <c r="E13" s="5" t="str">
        <f>IF(A13="","",SUM(B13:D13))</f>
        <v/>
      </c>
      <c r="F13" s="6" t="str">
        <f>IF(A13="","",SUMIFS(السجل!$I$2:$I$1000,السجل!$E$2:$E$1000,A13))</f>
        <v/>
      </c>
    </row>
    <row r="14">
      <c r="A14" s="4" t="n"/>
      <c r="B14" s="5" t="str">
        <f>IF(A14="","",COUNTIFS(السجل!$E$2:$E$1000,A14,السجل!$H$2:$H$1000,"جرد + مراجعة"))</f>
        <v/>
      </c>
      <c r="C14" s="5" t="str">
        <f>IF(A14="","",COUNTIFS(السجل!$E$2:$E$1000,A14,السجل!$H$2:$H$1000,"مراجعة فقط"))</f>
        <v/>
      </c>
      <c r="D14" s="5" t="str">
        <f>IF(A14="","",COUNTIFS(السجل!$E$2:$E$1000,A14,السجل!$H$2:$H$1000,"جرد فقط"))</f>
        <v/>
      </c>
      <c r="E14" s="5" t="str">
        <f>IF(A14="","",SUM(B14:D14))</f>
        <v/>
      </c>
      <c r="F14" s="6" t="str">
        <f>IF(A14="","",SUMIFS(السجل!$I$2:$I$1000,السجل!$E$2:$E$1000,A14))</f>
        <v/>
      </c>
    </row>
    <row r="15">
      <c r="A15" s="4" t="n"/>
      <c r="B15" s="5" t="str">
        <f>IF(A15="","",COUNTIFS(السجل!$E$2:$E$1000,A15,السجل!$H$2:$H$1000,"جرد + مراجعة"))</f>
        <v/>
      </c>
      <c r="C15" s="5" t="str">
        <f>IF(A15="","",COUNTIFS(السجل!$E$2:$E$1000,A15,السجل!$H$2:$H$1000,"مراجعة فقط"))</f>
        <v/>
      </c>
      <c r="D15" s="5" t="str">
        <f>IF(A15="","",COUNTIFS(السجل!$E$2:$E$1000,A15,السجل!$H$2:$H$1000,"جرد فقط"))</f>
        <v/>
      </c>
      <c r="E15" s="5" t="str">
        <f>IF(A15="","",SUM(B15:D15))</f>
        <v/>
      </c>
      <c r="F15" s="6" t="str">
        <f>IF(A15="","",SUMIFS(السجل!$I$2:$I$1000,السجل!$E$2:$E$1000,A15))</f>
        <v/>
      </c>
    </row>
    <row r="16">
      <c r="A16" s="4" t="n"/>
      <c r="B16" s="5" t="str">
        <f>IF(A16="","",COUNTIFS(السجل!$E$2:$E$1000,A16,السجل!$H$2:$H$1000,"جرد + مراجعة"))</f>
        <v/>
      </c>
      <c r="C16" s="5" t="str">
        <f>IF(A16="","",COUNTIFS(السجل!$E$2:$E$1000,A16,السجل!$H$2:$H$1000,"مراجعة فقط"))</f>
        <v/>
      </c>
      <c r="D16" s="5" t="str">
        <f>IF(A16="","",COUNTIFS(السجل!$E$2:$E$1000,A16,السجل!$H$2:$H$1000,"جرد فقط"))</f>
        <v/>
      </c>
      <c r="E16" s="5" t="str">
        <f>IF(A16="","",SUM(B16:D16))</f>
        <v/>
      </c>
      <c r="F16" s="6" t="str">
        <f>IF(A16="","",SUMIFS(السجل!$I$2:$I$1000,السجل!$E$2:$E$1000,A16))</f>
        <v/>
      </c>
    </row>
    <row r="17">
      <c r="A17" s="4" t="n"/>
      <c r="B17" s="5" t="str">
        <f>IF(A17="","",COUNTIFS(السجل!$E$2:$E$1000,A17,السجل!$H$2:$H$1000,"جرد + مراجعة"))</f>
        <v/>
      </c>
      <c r="C17" s="5" t="str">
        <f>IF(A17="","",COUNTIFS(السجل!$E$2:$E$1000,A17,السجل!$H$2:$H$1000,"مراجعة فقط"))</f>
        <v/>
      </c>
      <c r="D17" s="5" t="str">
        <f>IF(A17="","",COUNTIFS(السجل!$E$2:$E$1000,A17,السجل!$H$2:$H$1000,"جرد فقط"))</f>
        <v/>
      </c>
      <c r="E17" s="5" t="str">
        <f>IF(A17="","",SUM(B17:D17))</f>
        <v/>
      </c>
      <c r="F17" s="6" t="str">
        <f>IF(A17="","",SUMIFS(السجل!$I$2:$I$1000,السجل!$E$2:$E$1000,A17))</f>
        <v/>
      </c>
    </row>
    <row r="18">
      <c r="A18" s="4" t="n"/>
      <c r="B18" s="5" t="str">
        <f>IF(A18="","",COUNTIFS(السجل!$E$2:$E$1000,A18,السجل!$H$2:$H$1000,"جرد + مراجعة"))</f>
        <v/>
      </c>
      <c r="C18" s="5" t="str">
        <f>IF(A18="","",COUNTIFS(السجل!$E$2:$E$1000,A18,السجل!$H$2:$H$1000,"مراجعة فقط"))</f>
        <v/>
      </c>
      <c r="D18" s="5" t="str">
        <f>IF(A18="","",COUNTIFS(السجل!$E$2:$E$1000,A18,السجل!$H$2:$H$1000,"جرد فقط"))</f>
        <v/>
      </c>
      <c r="E18" s="5" t="str">
        <f>IF(A18="","",SUM(B18:D18))</f>
        <v/>
      </c>
      <c r="F18" s="6" t="str">
        <f>IF(A18="","",SUMIFS(السجل!$I$2:$I$1000,السجل!$E$2:$E$1000,A18))</f>
        <v/>
      </c>
    </row>
    <row r="19">
      <c r="A19" s="7" t="inlineStr">
        <is>
          <t>الإجمالي</t>
        </is>
      </c>
      <c r="B19" s="7">
        <f>SUM(B4:B18)</f>
        <v>37</v>
      </c>
      <c r="C19" s="7">
        <f>SUM(C4:C18)</f>
        <v>108</v>
      </c>
      <c r="D19" s="7">
        <f>SUM(D4:D18)</f>
        <v>0</v>
      </c>
      <c r="E19" s="7">
        <f>SUM(E4:E18)</f>
        <v>145</v>
      </c>
      <c r="F19" s="8">
        <f>SUM(F4:F18)</f>
        <v>23600</v>
      </c>
    </row>
    <row r="21">
      <c r="A21" s="5" t="inlineStr">
        <is>
          <t>للتحقق: إجمالي السجل</t>
        </is>
      </c>
      <c r="F21" s="9">
        <f>SUM(السجل!$I$2:$I$1000)</f>
        <v>23600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" customWidth="1" min="22" max="22"/>
  </cols>
  <sheetData>
    <row r="1" ht="32" customHeight="1">
      <c r="A1" s="3" t="inlineStr">
        <is>
          <t>الاسم</t>
        </is>
      </c>
      <c r="B1" s="3" t="inlineStr">
        <is>
          <t>الثلاثاء
2026-09-01</t>
        </is>
      </c>
      <c r="C1" s="3" t="inlineStr">
        <is>
          <t>السبت
2026-09-26</t>
        </is>
      </c>
      <c r="D1" s="3" t="inlineStr">
        <is>
          <t>الأحد
2026-09-27</t>
        </is>
      </c>
      <c r="E1" s="3" t="inlineStr">
        <is>
          <t>الاثنين
2026-09-28</t>
        </is>
      </c>
      <c r="F1" s="3" t="inlineStr">
        <is>
          <t>الثلاثاء
2026-09-29</t>
        </is>
      </c>
      <c r="G1" s="3" t="inlineStr">
        <is>
          <t>الأربعاء
2026-09-30</t>
        </is>
      </c>
      <c r="H1" s="3" t="inlineStr">
        <is>
          <t>الخميس
2026-10-01</t>
        </is>
      </c>
      <c r="I1" s="3" t="inlineStr">
        <is>
          <t>الجمعة
2026-10-02</t>
        </is>
      </c>
      <c r="J1" s="3" t="inlineStr">
        <is>
          <t>السبت
2026-10-03</t>
        </is>
      </c>
      <c r="K1" s="3" t="inlineStr">
        <is>
          <t>الأحد
2026-10-04</t>
        </is>
      </c>
      <c r="L1" s="3" t="inlineStr">
        <is>
          <t>الاثنين
2026-10-05</t>
        </is>
      </c>
      <c r="M1" s="3" t="inlineStr">
        <is>
          <t>الثلاثاء
2026-10-06</t>
        </is>
      </c>
      <c r="N1" s="3" t="inlineStr">
        <is>
          <t>الأربعاء
2026-10-07</t>
        </is>
      </c>
      <c r="O1" s="3" t="inlineStr">
        <is>
          <t>الخميس
2026-10-08</t>
        </is>
      </c>
      <c r="P1" s="3" t="inlineStr">
        <is>
          <t>الجمعة
2026-10-09</t>
        </is>
      </c>
      <c r="Q1" s="3" t="inlineStr">
        <is>
          <t>السبت
2026-10-10</t>
        </is>
      </c>
      <c r="R1" s="3" t="inlineStr">
        <is>
          <t>الأحد
2026-10-11</t>
        </is>
      </c>
      <c r="S1" s="3" t="inlineStr">
        <is>
          <t>الثلاثاء
2026-10-13</t>
        </is>
      </c>
      <c r="T1" s="3" t="inlineStr">
        <is>
          <t>الأربعاء
2026-10-14</t>
        </is>
      </c>
      <c r="U1" s="3" t="inlineStr">
        <is>
          <t>الخميس
2026-10-15</t>
        </is>
      </c>
      <c r="V1" s="3" t="inlineStr">
        <is>
          <t>الإجمالي</t>
        </is>
      </c>
    </row>
    <row r="2">
      <c r="A2" s="10" t="str">
        <f>الملخص!A4</f>
        <v>د. حسام شلش</v>
      </c>
      <c r="B2" s="9">
        <f>SUMIFS(السجل!$I$2:$I$1000,السجل!$E$2:$E$1000,$A2,السجل!$A$2:$A$1000,B$1000)</f>
        <v>400</v>
      </c>
      <c r="C2" s="9">
        <f>SUMIFS(السجل!$I$2:$I$1000,السجل!$E$2:$E$1000,$A2,السجل!$A$2:$A$1000,C$1000)</f>
        <v>400</v>
      </c>
      <c r="D2" s="9">
        <f>SUMIFS(السجل!$I$2:$I$1000,السجل!$E$2:$E$1000,$A2,السجل!$A$2:$A$1000,D$1000)</f>
        <v>300</v>
      </c>
      <c r="E2" s="9">
        <f>SUMIFS(السجل!$I$2:$I$1000,السجل!$E$2:$E$1000,$A2,السجل!$A$2:$A$1000,E$1000)</f>
        <v>400</v>
      </c>
      <c r="F2" s="9">
        <f>SUMIFS(السجل!$I$2:$I$1000,السجل!$E$2:$E$1000,$A2,السجل!$A$2:$A$1000,F$1000)</f>
        <v>300</v>
      </c>
      <c r="G2" s="9">
        <f>SUMIFS(السجل!$I$2:$I$1000,السجل!$E$2:$E$1000,$A2,السجل!$A$2:$A$1000,G$1000)</f>
        <v>400</v>
      </c>
      <c r="H2" s="9">
        <f>SUMIFS(السجل!$I$2:$I$1000,السجل!$E$2:$E$1000,$A2,السجل!$A$2:$A$1000,H$1000)</f>
        <v>150</v>
      </c>
      <c r="I2" s="9">
        <f>SUMIFS(السجل!$I$2:$I$1000,السجل!$E$2:$E$1000,$A2,السجل!$A$2:$A$1000,I$1000)</f>
        <v>200</v>
      </c>
      <c r="J2" s="9">
        <f>SUMIFS(السجل!$I$2:$I$1000,السجل!$E$2:$E$1000,$A2,السجل!$A$2:$A$1000,J$1000)</f>
        <v>150</v>
      </c>
      <c r="K2" s="9">
        <f>SUMIFS(السجل!$I$2:$I$1000,السجل!$E$2:$E$1000,$A2,السجل!$A$2:$A$1000,K$1000)</f>
        <v>400</v>
      </c>
      <c r="L2" s="9">
        <f>SUMIFS(السجل!$I$2:$I$1000,السجل!$E$2:$E$1000,$A2,السجل!$A$2:$A$1000,L$1000)</f>
        <v>300</v>
      </c>
      <c r="M2" s="9">
        <f>SUMIFS(السجل!$I$2:$I$1000,السجل!$E$2:$E$1000,$A2,السجل!$A$2:$A$1000,M$1000)</f>
        <v>400</v>
      </c>
      <c r="N2" s="9">
        <f>SUMIFS(السجل!$I$2:$I$1000,السجل!$E$2:$E$1000,$A2,السجل!$A$2:$A$1000,N$1000)</f>
        <v>300</v>
      </c>
      <c r="O2" s="9">
        <f>SUMIFS(السجل!$I$2:$I$1000,السجل!$E$2:$E$1000,$A2,السجل!$A$2:$A$1000,O$1000)</f>
        <v>400</v>
      </c>
      <c r="P2" s="9">
        <f>SUMIFS(السجل!$I$2:$I$1000,السجل!$E$2:$E$1000,$A2,السجل!$A$2:$A$1000,P$1000)</f>
        <v>300</v>
      </c>
      <c r="Q2" s="9">
        <f>SUMIFS(السجل!$I$2:$I$1000,السجل!$E$2:$E$1000,$A2,السجل!$A$2:$A$1000,Q$1000)</f>
        <v>400</v>
      </c>
      <c r="R2" s="9">
        <f>SUMIFS(السجل!$I$2:$I$1000,السجل!$E$2:$E$1000,$A2,السجل!$A$2:$A$1000,R$1000)</f>
        <v>300</v>
      </c>
      <c r="S2" s="9">
        <f>SUMIFS(السجل!$I$2:$I$1000,السجل!$E$2:$E$1000,$A2,السجل!$A$2:$A$1000,S$1000)</f>
        <v>300</v>
      </c>
      <c r="T2" s="9">
        <f>SUMIFS(السجل!$I$2:$I$1000,السجل!$E$2:$E$1000,$A2,السجل!$A$2:$A$1000,T$1000)</f>
        <v>400</v>
      </c>
      <c r="U2" s="9">
        <f>SUMIFS(السجل!$I$2:$I$1000,السجل!$E$2:$E$1000,$A2,السجل!$A$2:$A$1000,U$1000)</f>
        <v>300</v>
      </c>
      <c r="V2" s="6">
        <f>SUM(B2:U2)</f>
        <v>6500</v>
      </c>
    </row>
    <row r="3">
      <c r="A3" s="10" t="str">
        <f>الملخص!A5</f>
        <v>د. السيد حسن</v>
      </c>
      <c r="B3" s="9">
        <f>SUMIFS(السجل!$I$2:$I$1000,السجل!$E$2:$E$1000,$A3,السجل!$A$2:$A$1000,B$1000)</f>
        <v>300</v>
      </c>
      <c r="C3" s="9">
        <f>SUMIFS(السجل!$I$2:$I$1000,السجل!$E$2:$E$1000,$A3,السجل!$A$2:$A$1000,C$1000)</f>
        <v>300</v>
      </c>
      <c r="D3" s="9">
        <f>SUMIFS(السجل!$I$2:$I$1000,السجل!$E$2:$E$1000,$A3,السجل!$A$2:$A$1000,D$1000)</f>
        <v>300</v>
      </c>
      <c r="E3" s="9">
        <f>SUMIFS(السجل!$I$2:$I$1000,السجل!$E$2:$E$1000,$A3,السجل!$A$2:$A$1000,E$1000)</f>
        <v>300</v>
      </c>
      <c r="F3" s="9">
        <f>SUMIFS(السجل!$I$2:$I$1000,السجل!$E$2:$E$1000,$A3,السجل!$A$2:$A$1000,F$1000)</f>
        <v>300</v>
      </c>
      <c r="G3" s="9">
        <f>SUMIFS(السجل!$I$2:$I$1000,السجل!$E$2:$E$1000,$A3,السجل!$A$2:$A$1000,G$1000)</f>
        <v>300</v>
      </c>
      <c r="H3" s="9">
        <f>SUMIFS(السجل!$I$2:$I$1000,السجل!$E$2:$E$1000,$A3,السجل!$A$2:$A$1000,H$1000)</f>
        <v>150</v>
      </c>
      <c r="I3" s="9">
        <f>SUMIFS(السجل!$I$2:$I$1000,السجل!$E$2:$E$1000,$A3,السجل!$A$2:$A$1000,I$1000)</f>
        <v>150</v>
      </c>
      <c r="J3" s="9">
        <f>SUMIFS(السجل!$I$2:$I$1000,السجل!$E$2:$E$1000,$A3,السجل!$A$2:$A$1000,J$1000)</f>
        <v>150</v>
      </c>
      <c r="K3" s="9">
        <f>SUMIFS(السجل!$I$2:$I$1000,السجل!$E$2:$E$1000,$A3,السجل!$A$2:$A$1000,K$1000)</f>
        <v>300</v>
      </c>
      <c r="L3" s="9">
        <f>SUMIFS(السجل!$I$2:$I$1000,السجل!$E$2:$E$1000,$A3,السجل!$A$2:$A$1000,L$1000)</f>
        <v>400</v>
      </c>
      <c r="M3" s="9">
        <f>SUMIFS(السجل!$I$2:$I$1000,السجل!$E$2:$E$1000,$A3,السجل!$A$2:$A$1000,M$1000)</f>
        <v>300</v>
      </c>
      <c r="N3" s="9">
        <f>SUMIFS(السجل!$I$2:$I$1000,السجل!$E$2:$E$1000,$A3,السجل!$A$2:$A$1000,N$1000)</f>
        <v>400</v>
      </c>
      <c r="O3" s="9">
        <f>SUMIFS(السجل!$I$2:$I$1000,السجل!$E$2:$E$1000,$A3,السجل!$A$2:$A$1000,O$1000)</f>
        <v>300</v>
      </c>
      <c r="P3" s="9">
        <f>SUMIFS(السجل!$I$2:$I$1000,السجل!$E$2:$E$1000,$A3,السجل!$A$2:$A$1000,P$1000)</f>
        <v>400</v>
      </c>
      <c r="Q3" s="9">
        <f>SUMIFS(السجل!$I$2:$I$1000,السجل!$E$2:$E$1000,$A3,السجل!$A$2:$A$1000,Q$1000)</f>
        <v>300</v>
      </c>
      <c r="R3" s="9">
        <f>SUMIFS(السجل!$I$2:$I$1000,السجل!$E$2:$E$1000,$A3,السجل!$A$2:$A$1000,R$1000)</f>
        <v>400</v>
      </c>
      <c r="S3" s="9">
        <f>SUMIFS(السجل!$I$2:$I$1000,السجل!$E$2:$E$1000,$A3,السجل!$A$2:$A$1000,S$1000)</f>
        <v>300</v>
      </c>
      <c r="T3" s="9">
        <f>SUMIFS(السجل!$I$2:$I$1000,السجل!$E$2:$E$1000,$A3,السجل!$A$2:$A$1000,T$1000)</f>
        <v>300</v>
      </c>
      <c r="U3" s="9">
        <f>SUMIFS(السجل!$I$2:$I$1000,السجل!$E$2:$E$1000,$A3,السجل!$A$2:$A$1000,U$1000)</f>
        <v>300</v>
      </c>
      <c r="V3" s="6">
        <f>SUM(B3:U3)</f>
        <v>5950</v>
      </c>
    </row>
    <row r="4">
      <c r="A4" s="10" t="str">
        <f>الملخص!A6</f>
        <v>د. أيمن حسين</v>
      </c>
      <c r="B4" s="9">
        <f>SUMIFS(السجل!$I$2:$I$1000,السجل!$E$2:$E$1000,$A4,السجل!$A$2:$A$1000,B$1000)</f>
        <v>300</v>
      </c>
      <c r="C4" s="9">
        <f>SUMIFS(السجل!$I$2:$I$1000,السجل!$E$2:$E$1000,$A4,السجل!$A$2:$A$1000,C$1000)</f>
        <v>0</v>
      </c>
      <c r="D4" s="9">
        <f>SUMIFS(السجل!$I$2:$I$1000,السجل!$E$2:$E$1000,$A4,السجل!$A$2:$A$1000,D$1000)</f>
        <v>150</v>
      </c>
      <c r="E4" s="9">
        <f>SUMIFS(السجل!$I$2:$I$1000,السجل!$E$2:$E$1000,$A4,السجل!$A$2:$A$1000,E$1000)</f>
        <v>150</v>
      </c>
      <c r="F4" s="9">
        <f>SUMIFS(السجل!$I$2:$I$1000,السجل!$E$2:$E$1000,$A4,السجل!$A$2:$A$1000,F$1000)</f>
        <v>300</v>
      </c>
      <c r="G4" s="9">
        <f>SUMIFS(السجل!$I$2:$I$1000,السجل!$E$2:$E$1000,$A4,السجل!$A$2:$A$1000,G$1000)</f>
        <v>300</v>
      </c>
      <c r="H4" s="9">
        <f>SUMIFS(السجل!$I$2:$I$1000,السجل!$E$2:$E$1000,$A4,السجل!$A$2:$A$1000,H$1000)</f>
        <v>150</v>
      </c>
      <c r="I4" s="9">
        <f>SUMIFS(السجل!$I$2:$I$1000,السجل!$E$2:$E$1000,$A4,السجل!$A$2:$A$1000,I$1000)</f>
        <v>150</v>
      </c>
      <c r="J4" s="9">
        <f>SUMIFS(السجل!$I$2:$I$1000,السجل!$E$2:$E$1000,$A4,السجل!$A$2:$A$1000,J$1000)</f>
        <v>150</v>
      </c>
      <c r="K4" s="9">
        <f>SUMIFS(السجل!$I$2:$I$1000,السجل!$E$2:$E$1000,$A4,السجل!$A$2:$A$1000,K$1000)</f>
        <v>0</v>
      </c>
      <c r="L4" s="9">
        <f>SUMIFS(السجل!$I$2:$I$1000,السجل!$E$2:$E$1000,$A4,السجل!$A$2:$A$1000,L$1000)</f>
        <v>0</v>
      </c>
      <c r="M4" s="9">
        <f>SUMIFS(السجل!$I$2:$I$1000,السجل!$E$2:$E$1000,$A4,السجل!$A$2:$A$1000,M$1000)</f>
        <v>0</v>
      </c>
      <c r="N4" s="9">
        <f>SUMIFS(السجل!$I$2:$I$1000,السجل!$E$2:$E$1000,$A4,السجل!$A$2:$A$1000,N$1000)</f>
        <v>0</v>
      </c>
      <c r="O4" s="9">
        <f>SUMIFS(السجل!$I$2:$I$1000,السجل!$E$2:$E$1000,$A4,السجل!$A$2:$A$1000,O$1000)</f>
        <v>0</v>
      </c>
      <c r="P4" s="9">
        <f>SUMIFS(السجل!$I$2:$I$1000,السجل!$E$2:$E$1000,$A4,السجل!$A$2:$A$1000,P$1000)</f>
        <v>0</v>
      </c>
      <c r="Q4" s="9">
        <f>SUMIFS(السجل!$I$2:$I$1000,السجل!$E$2:$E$1000,$A4,السجل!$A$2:$A$1000,Q$1000)</f>
        <v>0</v>
      </c>
      <c r="R4" s="9">
        <f>SUMIFS(السجل!$I$2:$I$1000,السجل!$E$2:$E$1000,$A4,السجل!$A$2:$A$1000,R$1000)</f>
        <v>0</v>
      </c>
      <c r="S4" s="9">
        <f>SUMIFS(السجل!$I$2:$I$1000,السجل!$E$2:$E$1000,$A4,السجل!$A$2:$A$1000,S$1000)</f>
        <v>0</v>
      </c>
      <c r="T4" s="9">
        <f>SUMIFS(السجل!$I$2:$I$1000,السجل!$E$2:$E$1000,$A4,السجل!$A$2:$A$1000,T$1000)</f>
        <v>0</v>
      </c>
      <c r="U4" s="9">
        <f>SUMIFS(السجل!$I$2:$I$1000,السجل!$E$2:$E$1000,$A4,السجل!$A$2:$A$1000,U$1000)</f>
        <v>0</v>
      </c>
      <c r="V4" s="6">
        <f>SUM(B4:U4)</f>
        <v>1650</v>
      </c>
    </row>
    <row r="5">
      <c r="A5" s="10" t="str">
        <f>الملخص!A7</f>
        <v>د. الحسن الغنيمي</v>
      </c>
      <c r="B5" s="9">
        <f>SUMIFS(السجل!$I$2:$I$1000,السجل!$E$2:$E$1000,$A5,السجل!$A$2:$A$1000,B$1000)</f>
        <v>150</v>
      </c>
      <c r="C5" s="9">
        <f>SUMIFS(السجل!$I$2:$I$1000,السجل!$E$2:$E$1000,$A5,السجل!$A$2:$A$1000,C$1000)</f>
        <v>0</v>
      </c>
      <c r="D5" s="9">
        <f>SUMIFS(السجل!$I$2:$I$1000,السجل!$E$2:$E$1000,$A5,السجل!$A$2:$A$1000,D$1000)</f>
        <v>0</v>
      </c>
      <c r="E5" s="9">
        <f>SUMIFS(السجل!$I$2:$I$1000,السجل!$E$2:$E$1000,$A5,السجل!$A$2:$A$1000,E$1000)</f>
        <v>0</v>
      </c>
      <c r="F5" s="9">
        <f>SUMIFS(السجل!$I$2:$I$1000,السجل!$E$2:$E$1000,$A5,السجل!$A$2:$A$1000,F$1000)</f>
        <v>300</v>
      </c>
      <c r="G5" s="9">
        <f>SUMIFS(السجل!$I$2:$I$1000,السجل!$E$2:$E$1000,$A5,السجل!$A$2:$A$1000,G$1000)</f>
        <v>150</v>
      </c>
      <c r="H5" s="9">
        <f>SUMIFS(السجل!$I$2:$I$1000,السجل!$E$2:$E$1000,$A5,السجل!$A$2:$A$1000,H$1000)</f>
        <v>150</v>
      </c>
      <c r="I5" s="9">
        <f>SUMIFS(السجل!$I$2:$I$1000,السجل!$E$2:$E$1000,$A5,السجل!$A$2:$A$1000,I$1000)</f>
        <v>150</v>
      </c>
      <c r="J5" s="9">
        <f>SUMIFS(السجل!$I$2:$I$1000,السجل!$E$2:$E$1000,$A5,السجل!$A$2:$A$1000,J$1000)</f>
        <v>150</v>
      </c>
      <c r="K5" s="9">
        <f>SUMIFS(السجل!$I$2:$I$1000,السجل!$E$2:$E$1000,$A5,السجل!$A$2:$A$1000,K$1000)</f>
        <v>300</v>
      </c>
      <c r="L5" s="9">
        <f>SUMIFS(السجل!$I$2:$I$1000,السجل!$E$2:$E$1000,$A5,السجل!$A$2:$A$1000,L$1000)</f>
        <v>300</v>
      </c>
      <c r="M5" s="9">
        <f>SUMIFS(السجل!$I$2:$I$1000,السجل!$E$2:$E$1000,$A5,السجل!$A$2:$A$1000,M$1000)</f>
        <v>300</v>
      </c>
      <c r="N5" s="9">
        <f>SUMIFS(السجل!$I$2:$I$1000,السجل!$E$2:$E$1000,$A5,السجل!$A$2:$A$1000,N$1000)</f>
        <v>300</v>
      </c>
      <c r="O5" s="9">
        <f>SUMIFS(السجل!$I$2:$I$1000,السجل!$E$2:$E$1000,$A5,السجل!$A$2:$A$1000,O$1000)</f>
        <v>300</v>
      </c>
      <c r="P5" s="9">
        <f>SUMIFS(السجل!$I$2:$I$1000,السجل!$E$2:$E$1000,$A5,السجل!$A$2:$A$1000,P$1000)</f>
        <v>300</v>
      </c>
      <c r="Q5" s="9">
        <f>SUMIFS(السجل!$I$2:$I$1000,السجل!$E$2:$E$1000,$A5,السجل!$A$2:$A$1000,Q$1000)</f>
        <v>300</v>
      </c>
      <c r="R5" s="9">
        <f>SUMIFS(السجل!$I$2:$I$1000,السجل!$E$2:$E$1000,$A5,السجل!$A$2:$A$1000,R$1000)</f>
        <v>300</v>
      </c>
      <c r="S5" s="9">
        <f>SUMIFS(السجل!$I$2:$I$1000,السجل!$E$2:$E$1000,$A5,السجل!$A$2:$A$1000,S$1000)</f>
        <v>0</v>
      </c>
      <c r="T5" s="9">
        <f>SUMIFS(السجل!$I$2:$I$1000,السجل!$E$2:$E$1000,$A5,السجل!$A$2:$A$1000,T$1000)</f>
        <v>0</v>
      </c>
      <c r="U5" s="9">
        <f>SUMIFS(السجل!$I$2:$I$1000,السجل!$E$2:$E$1000,$A5,السجل!$A$2:$A$1000,U$1000)</f>
        <v>0</v>
      </c>
      <c r="V5" s="6">
        <f>SUM(B5:U5)</f>
        <v>3450</v>
      </c>
    </row>
    <row r="6">
      <c r="A6" s="10" t="str">
        <f>الملخص!A8</f>
        <v>د. علي خليفة</v>
      </c>
      <c r="B6" s="9">
        <f>SUMIFS(السجل!$I$2:$I$1000,السجل!$E$2:$E$1000,$A6,السجل!$A$2:$A$1000,B$1000)</f>
        <v>0</v>
      </c>
      <c r="C6" s="9">
        <f>SUMIFS(السجل!$I$2:$I$1000,السجل!$E$2:$E$1000,$A6,السجل!$A$2:$A$1000,C$1000)</f>
        <v>300</v>
      </c>
      <c r="D6" s="9">
        <f>SUMIFS(السجل!$I$2:$I$1000,السجل!$E$2:$E$1000,$A6,السجل!$A$2:$A$1000,D$1000)</f>
        <v>400</v>
      </c>
      <c r="E6" s="9">
        <f>SUMIFS(السجل!$I$2:$I$1000,السجل!$E$2:$E$1000,$A6,السجل!$A$2:$A$1000,E$1000)</f>
        <v>300</v>
      </c>
      <c r="F6" s="9">
        <f>SUMIFS(السجل!$I$2:$I$1000,السجل!$E$2:$E$1000,$A6,السجل!$A$2:$A$1000,F$1000)</f>
        <v>400</v>
      </c>
      <c r="G6" s="9">
        <f>SUMIFS(السجل!$I$2:$I$1000,السجل!$E$2:$E$1000,$A6,السجل!$A$2:$A$1000,G$1000)</f>
        <v>300</v>
      </c>
      <c r="H6" s="9">
        <f>SUMIFS(السجل!$I$2:$I$1000,السجل!$E$2:$E$1000,$A6,السجل!$A$2:$A$1000,H$1000)</f>
        <v>200</v>
      </c>
      <c r="I6" s="9">
        <f>SUMIFS(السجل!$I$2:$I$1000,السجل!$E$2:$E$1000,$A6,السجل!$A$2:$A$1000,I$1000)</f>
        <v>150</v>
      </c>
      <c r="J6" s="9">
        <f>SUMIFS(السجل!$I$2:$I$1000,السجل!$E$2:$E$1000,$A6,السجل!$A$2:$A$1000,J$1000)</f>
        <v>200</v>
      </c>
      <c r="K6" s="9">
        <f>SUMIFS(السجل!$I$2:$I$1000,السجل!$E$2:$E$1000,$A6,السجل!$A$2:$A$1000,K$1000)</f>
        <v>0</v>
      </c>
      <c r="L6" s="9">
        <f>SUMIFS(السجل!$I$2:$I$1000,السجل!$E$2:$E$1000,$A6,السجل!$A$2:$A$1000,L$1000)</f>
        <v>0</v>
      </c>
      <c r="M6" s="9">
        <f>SUMIFS(السجل!$I$2:$I$1000,السجل!$E$2:$E$1000,$A6,السجل!$A$2:$A$1000,M$1000)</f>
        <v>0</v>
      </c>
      <c r="N6" s="9">
        <f>SUMIFS(السجل!$I$2:$I$1000,السجل!$E$2:$E$1000,$A6,السجل!$A$2:$A$1000,N$1000)</f>
        <v>0</v>
      </c>
      <c r="O6" s="9">
        <f>SUMIFS(السجل!$I$2:$I$1000,السجل!$E$2:$E$1000,$A6,السجل!$A$2:$A$1000,O$1000)</f>
        <v>0</v>
      </c>
      <c r="P6" s="9">
        <f>SUMIFS(السجل!$I$2:$I$1000,السجل!$E$2:$E$1000,$A6,السجل!$A$2:$A$1000,P$1000)</f>
        <v>0</v>
      </c>
      <c r="Q6" s="9">
        <f>SUMIFS(السجل!$I$2:$I$1000,السجل!$E$2:$E$1000,$A6,السجل!$A$2:$A$1000,Q$1000)</f>
        <v>0</v>
      </c>
      <c r="R6" s="9">
        <f>SUMIFS(السجل!$I$2:$I$1000,السجل!$E$2:$E$1000,$A6,السجل!$A$2:$A$1000,R$1000)</f>
        <v>0</v>
      </c>
      <c r="S6" s="9">
        <f>SUMIFS(السجل!$I$2:$I$1000,السجل!$E$2:$E$1000,$A6,السجل!$A$2:$A$1000,S$1000)</f>
        <v>400</v>
      </c>
      <c r="T6" s="9">
        <f>SUMIFS(السجل!$I$2:$I$1000,السجل!$E$2:$E$1000,$A6,السجل!$A$2:$A$1000,T$1000)</f>
        <v>300</v>
      </c>
      <c r="U6" s="9">
        <f>SUMIFS(السجل!$I$2:$I$1000,السجل!$E$2:$E$1000,$A6,السجل!$A$2:$A$1000,U$1000)</f>
        <v>400</v>
      </c>
      <c r="V6" s="6">
        <f>SUM(B6:U6)</f>
        <v>3350</v>
      </c>
    </row>
    <row r="7">
      <c r="A7" s="10" t="str">
        <f>الملخص!A9</f>
        <v>د. محمد جمال</v>
      </c>
      <c r="B7" s="9">
        <f>SUMIFS(السجل!$I$2:$I$1000,السجل!$E$2:$E$1000,$A7,السجل!$A$2:$A$1000,B$1000)</f>
        <v>0</v>
      </c>
      <c r="C7" s="9">
        <f>SUMIFS(السجل!$I$2:$I$1000,السجل!$E$2:$E$1000,$A7,السجل!$A$2:$A$1000,C$1000)</f>
        <v>0</v>
      </c>
      <c r="D7" s="9">
        <f>SUMIFS(السجل!$I$2:$I$1000,السجل!$E$2:$E$1000,$A7,السجل!$A$2:$A$1000,D$1000)</f>
        <v>0</v>
      </c>
      <c r="E7" s="9">
        <f>SUMIFS(السجل!$I$2:$I$1000,السجل!$E$2:$E$1000,$A7,السجل!$A$2:$A$1000,E$1000)</f>
        <v>0</v>
      </c>
      <c r="F7" s="9">
        <f>SUMIFS(السجل!$I$2:$I$1000,السجل!$E$2:$E$1000,$A7,السجل!$A$2:$A$1000,F$1000)</f>
        <v>0</v>
      </c>
      <c r="G7" s="9">
        <f>SUMIFS(السجل!$I$2:$I$1000,السجل!$E$2:$E$1000,$A7,السجل!$A$2:$A$1000,G$1000)</f>
        <v>0</v>
      </c>
      <c r="H7" s="9">
        <f>SUMIFS(السجل!$I$2:$I$1000,السجل!$E$2:$E$1000,$A7,السجل!$A$2:$A$1000,H$1000)</f>
        <v>0</v>
      </c>
      <c r="I7" s="9">
        <f>SUMIFS(السجل!$I$2:$I$1000,السجل!$E$2:$E$1000,$A7,السجل!$A$2:$A$1000,I$1000)</f>
        <v>0</v>
      </c>
      <c r="J7" s="9">
        <f>SUMIFS(السجل!$I$2:$I$1000,السجل!$E$2:$E$1000,$A7,السجل!$A$2:$A$1000,J$1000)</f>
        <v>0</v>
      </c>
      <c r="K7" s="9">
        <f>SUMIFS(السجل!$I$2:$I$1000,السجل!$E$2:$E$1000,$A7,السجل!$A$2:$A$1000,K$1000)</f>
        <v>300</v>
      </c>
      <c r="L7" s="9">
        <f>SUMIFS(السجل!$I$2:$I$1000,السجل!$E$2:$E$1000,$A7,السجل!$A$2:$A$1000,L$1000)</f>
        <v>300</v>
      </c>
      <c r="M7" s="9">
        <f>SUMIFS(السجل!$I$2:$I$1000,السجل!$E$2:$E$1000,$A7,السجل!$A$2:$A$1000,M$1000)</f>
        <v>300</v>
      </c>
      <c r="N7" s="9">
        <f>SUMIFS(السجل!$I$2:$I$1000,السجل!$E$2:$E$1000,$A7,السجل!$A$2:$A$1000,N$1000)</f>
        <v>300</v>
      </c>
      <c r="O7" s="9">
        <f>SUMIFS(السجل!$I$2:$I$1000,السجل!$E$2:$E$1000,$A7,السجل!$A$2:$A$1000,O$1000)</f>
        <v>300</v>
      </c>
      <c r="P7" s="9">
        <f>SUMIFS(السجل!$I$2:$I$1000,السجل!$E$2:$E$1000,$A7,السجل!$A$2:$A$1000,P$1000)</f>
        <v>300</v>
      </c>
      <c r="Q7" s="9">
        <f>SUMIFS(السجل!$I$2:$I$1000,السجل!$E$2:$E$1000,$A7,السجل!$A$2:$A$1000,Q$1000)</f>
        <v>300</v>
      </c>
      <c r="R7" s="9">
        <f>SUMIFS(السجل!$I$2:$I$1000,السجل!$E$2:$E$1000,$A7,السجل!$A$2:$A$1000,R$1000)</f>
        <v>300</v>
      </c>
      <c r="S7" s="9">
        <f>SUMIFS(السجل!$I$2:$I$1000,السجل!$E$2:$E$1000,$A7,السجل!$A$2:$A$1000,S$1000)</f>
        <v>300</v>
      </c>
      <c r="T7" s="9">
        <f>SUMIFS(السجل!$I$2:$I$1000,السجل!$E$2:$E$1000,$A7,السجل!$A$2:$A$1000,T$1000)</f>
        <v>0</v>
      </c>
      <c r="U7" s="9">
        <f>SUMIFS(السجل!$I$2:$I$1000,السجل!$E$2:$E$1000,$A7,السجل!$A$2:$A$1000,U$1000)</f>
        <v>0</v>
      </c>
      <c r="V7" s="6">
        <f>SUM(B7:U7)</f>
        <v>2700</v>
      </c>
    </row>
    <row r="8">
      <c r="A8" s="7" t="inlineStr">
        <is>
          <t>الإجمالي</t>
        </is>
      </c>
      <c r="B8" s="8">
        <f>SUM(B2:B7)</f>
        <v>1150</v>
      </c>
      <c r="C8" s="8">
        <f>SUM(C2:C7)</f>
        <v>1000</v>
      </c>
      <c r="D8" s="8">
        <f>SUM(D2:D7)</f>
        <v>1150</v>
      </c>
      <c r="E8" s="8">
        <f>SUM(E2:E7)</f>
        <v>1150</v>
      </c>
      <c r="F8" s="8">
        <f>SUM(F2:F7)</f>
        <v>1600</v>
      </c>
      <c r="G8" s="8">
        <f>SUM(G2:G7)</f>
        <v>1450</v>
      </c>
      <c r="H8" s="8">
        <f>SUM(H2:H7)</f>
        <v>800</v>
      </c>
      <c r="I8" s="8">
        <f>SUM(I2:I7)</f>
        <v>800</v>
      </c>
      <c r="J8" s="8">
        <f>SUM(J2:J7)</f>
        <v>800</v>
      </c>
      <c r="K8" s="8">
        <f>SUM(K2:K7)</f>
        <v>1300</v>
      </c>
      <c r="L8" s="8">
        <f>SUM(L2:L7)</f>
        <v>1300</v>
      </c>
      <c r="M8" s="8">
        <f>SUM(M2:M7)</f>
        <v>1300</v>
      </c>
      <c r="N8" s="8">
        <f>SUM(N2:N7)</f>
        <v>1300</v>
      </c>
      <c r="O8" s="8">
        <f>SUM(O2:O7)</f>
        <v>1300</v>
      </c>
      <c r="P8" s="8">
        <f>SUM(P2:P7)</f>
        <v>1300</v>
      </c>
      <c r="Q8" s="8">
        <f>SUM(Q2:Q7)</f>
        <v>1300</v>
      </c>
      <c r="R8" s="8">
        <f>SUM(R2:R7)</f>
        <v>1300</v>
      </c>
      <c r="S8" s="8">
        <f>SUM(S2:S7)</f>
        <v>1300</v>
      </c>
      <c r="T8" s="8">
        <f>SUM(T2:T7)</f>
        <v>1000</v>
      </c>
      <c r="U8" s="8">
        <f>SUM(U2:U7)</f>
        <v>1000</v>
      </c>
      <c r="V8" s="8">
        <f>SUM(V2:V7)</f>
        <v>23600</v>
      </c>
    </row>
    <row r="1000" hidden="1">
      <c r="B1000" t="inlineStr">
        <is>
          <t>2026-09-01</t>
        </is>
      </c>
      <c r="C1000" t="inlineStr">
        <is>
          <t>2026-09-26</t>
        </is>
      </c>
      <c r="D1000" t="inlineStr">
        <is>
          <t>2026-09-27</t>
        </is>
      </c>
      <c r="E1000" t="inlineStr">
        <is>
          <t>2026-09-28</t>
        </is>
      </c>
      <c r="F1000" t="inlineStr">
        <is>
          <t>2026-09-29</t>
        </is>
      </c>
      <c r="G1000" t="inlineStr">
        <is>
          <t>2026-09-30</t>
        </is>
      </c>
      <c r="H1000" t="inlineStr">
        <is>
          <t>2026-10-01</t>
        </is>
      </c>
      <c r="I1000" t="inlineStr">
        <is>
          <t>2026-10-02</t>
        </is>
      </c>
      <c r="J1000" t="inlineStr">
        <is>
          <t>2026-10-03</t>
        </is>
      </c>
      <c r="K1000" t="inlineStr">
        <is>
          <t>2026-10-04</t>
        </is>
      </c>
      <c r="L1000" t="inlineStr">
        <is>
          <t>2026-10-05</t>
        </is>
      </c>
      <c r="M1000" t="inlineStr">
        <is>
          <t>2026-10-06</t>
        </is>
      </c>
      <c r="N1000" t="inlineStr">
        <is>
          <t>2026-10-07</t>
        </is>
      </c>
      <c r="O1000" t="inlineStr">
        <is>
          <t>2026-10-08</t>
        </is>
      </c>
      <c r="P1000" t="inlineStr">
        <is>
          <t>2026-10-09</t>
        </is>
      </c>
      <c r="Q1000" t="inlineStr">
        <is>
          <t>2026-10-10</t>
        </is>
      </c>
      <c r="R1000" t="inlineStr">
        <is>
          <t>2026-10-11</t>
        </is>
      </c>
      <c r="S1000" t="inlineStr">
        <is>
          <t>2026-10-13</t>
        </is>
      </c>
      <c r="T1000" t="inlineStr">
        <is>
          <t>2026-10-14</t>
        </is>
      </c>
      <c r="U1000" t="inlineStr">
        <is>
          <t>2026-10-15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3" t="inlineStr">
        <is>
          <t>البند</t>
        </is>
      </c>
      <c r="B1" s="3" t="inlineStr">
        <is>
          <t>المبلغ (ريال)</t>
        </is>
      </c>
    </row>
    <row r="2">
      <c r="A2" s="5" t="inlineStr">
        <is>
          <t>جرد + مراجعة</t>
        </is>
      </c>
      <c r="B2" s="11" t="n">
        <v>200</v>
      </c>
    </row>
    <row r="3">
      <c r="A3" s="5" t="inlineStr">
        <is>
          <t>مراجعة فقط</t>
        </is>
      </c>
      <c r="B3" s="11" t="n">
        <v>150</v>
      </c>
    </row>
    <row r="4">
      <c r="A4" s="5" t="inlineStr">
        <is>
          <t>جرد فقط</t>
        </is>
      </c>
      <c r="B4" s="11" t="n">
        <v>100</v>
      </c>
    </row>
    <row r="6">
      <c r="A6" s="12" t="inlineStr">
        <is>
          <t>ملاحظات:</t>
        </is>
      </c>
    </row>
    <row r="7">
      <c r="A7" s="13" t="inlineStr">
        <is>
          <t>• المستحق يُحسب لكل صيدلية: الشخص اللي جرد وراجع نفس الصيدلية = 200، راجع فقط = 150، جرد فقط = 100.</t>
        </is>
      </c>
    </row>
    <row r="8">
      <c r="A8" s="13" t="inlineStr">
        <is>
          <t>• الخلايا الصفراء (باللون الأزرق) قابلة للتعديل، وكل الحسابات تتحدث تلقائيًا.</t>
        </is>
      </c>
    </row>
    <row r="9">
      <c r="A9" s="13" t="inlineStr">
        <is>
          <t>• في شيت (السجل) كل صف = شخص واحد في صيدلية واحدة، واكتب (نعم) في عمود جرد و/أو راجع.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</cols>
  <sheetData>
    <row r="1">
      <c r="A1" s="3" t="inlineStr">
        <is>
          <t>اليوم</t>
        </is>
      </c>
      <c r="B1" s="3" t="inlineStr">
        <is>
          <t>التاريخ</t>
        </is>
      </c>
      <c r="C1" s="3" t="inlineStr">
        <is>
          <t>الصيدلية 1</t>
        </is>
      </c>
      <c r="D1" s="3" t="inlineStr">
        <is>
          <t>الصيدلية 2</t>
        </is>
      </c>
      <c r="E1" s="3" t="inlineStr">
        <is>
          <t>الموقع</t>
        </is>
      </c>
    </row>
    <row r="2">
      <c r="A2" s="5" t="inlineStr">
        <is>
          <t>الثلاثاء</t>
        </is>
      </c>
      <c r="B2" s="5" t="inlineStr">
        <is>
          <t>2026-09-01</t>
        </is>
      </c>
      <c r="C2" s="5" t="inlineStr">
        <is>
          <t>صيدلية رقم 15</t>
        </is>
      </c>
      <c r="D2" s="5" t="inlineStr">
        <is>
          <t>صيدلية رقم 16</t>
        </is>
      </c>
      <c r="E2" s="5" t="inlineStr">
        <is>
          <t>الخرج</t>
        </is>
      </c>
    </row>
    <row r="3">
      <c r="A3" s="5" t="inlineStr">
        <is>
          <t>السبت</t>
        </is>
      </c>
      <c r="B3" s="5" t="inlineStr">
        <is>
          <t>2026-09-26</t>
        </is>
      </c>
      <c r="C3" s="5" t="inlineStr">
        <is>
          <t>صيدلية رقم 4</t>
        </is>
      </c>
      <c r="D3" s="5" t="inlineStr">
        <is>
          <t>صيدلية رقم 5</t>
        </is>
      </c>
      <c r="E3" s="5" t="inlineStr">
        <is>
          <t>الخرج</t>
        </is>
      </c>
    </row>
    <row r="4">
      <c r="A4" s="5" t="inlineStr">
        <is>
          <t>الأحد</t>
        </is>
      </c>
      <c r="B4" s="5" t="inlineStr">
        <is>
          <t>2026-09-27</t>
        </is>
      </c>
      <c r="C4" s="5" t="inlineStr">
        <is>
          <t>صيدلية رقم 3</t>
        </is>
      </c>
      <c r="D4" s="5" t="inlineStr">
        <is>
          <t>صيدلية رقم 31</t>
        </is>
      </c>
      <c r="E4" s="5" t="inlineStr">
        <is>
          <t>الخرج</t>
        </is>
      </c>
    </row>
    <row r="5">
      <c r="A5" s="5" t="inlineStr">
        <is>
          <t>الاثنين</t>
        </is>
      </c>
      <c r="B5" s="5" t="inlineStr">
        <is>
          <t>2026-09-28</t>
        </is>
      </c>
      <c r="C5" s="5" t="inlineStr">
        <is>
          <t>صيدلية رقم 29</t>
        </is>
      </c>
      <c r="D5" s="5" t="inlineStr">
        <is>
          <t>صيدلية رقم 22</t>
        </is>
      </c>
      <c r="E5" s="5" t="inlineStr">
        <is>
          <t>الخرج</t>
        </is>
      </c>
    </row>
    <row r="6">
      <c r="A6" s="5" t="inlineStr">
        <is>
          <t>الثلاثاء</t>
        </is>
      </c>
      <c r="B6" s="5" t="inlineStr">
        <is>
          <t>2026-09-29</t>
        </is>
      </c>
      <c r="C6" s="5" t="inlineStr">
        <is>
          <t>صيدلية رقم 21</t>
        </is>
      </c>
      <c r="D6" s="5" t="inlineStr">
        <is>
          <t>صيدلية رقم 30</t>
        </is>
      </c>
      <c r="E6" s="5" t="inlineStr">
        <is>
          <t>الخرج</t>
        </is>
      </c>
    </row>
    <row r="7">
      <c r="A7" s="5" t="inlineStr">
        <is>
          <t>الأربعاء</t>
        </is>
      </c>
      <c r="B7" s="5" t="inlineStr">
        <is>
          <t>2026-09-30</t>
        </is>
      </c>
      <c r="C7" s="5" t="inlineStr">
        <is>
          <t>صيدلية رقم 10</t>
        </is>
      </c>
      <c r="D7" s="5" t="inlineStr">
        <is>
          <t>صيدلية رقم 17</t>
        </is>
      </c>
      <c r="E7" s="5" t="inlineStr">
        <is>
          <t>الخرج</t>
        </is>
      </c>
    </row>
    <row r="8">
      <c r="A8" s="5" t="inlineStr">
        <is>
          <t>الخميس</t>
        </is>
      </c>
      <c r="B8" s="5" t="inlineStr">
        <is>
          <t>2026-10-01</t>
        </is>
      </c>
      <c r="C8" s="5" t="inlineStr">
        <is>
          <t>صيدلية رقم 28</t>
        </is>
      </c>
      <c r="D8" s="5" t="inlineStr">
        <is>
          <t>***</t>
        </is>
      </c>
      <c r="E8" s="5" t="inlineStr">
        <is>
          <t>الدلم</t>
        </is>
      </c>
    </row>
    <row r="9">
      <c r="A9" s="5" t="inlineStr">
        <is>
          <t>الجمعة</t>
        </is>
      </c>
      <c r="B9" s="5" t="inlineStr">
        <is>
          <t>2026-10-02</t>
        </is>
      </c>
      <c r="C9" s="5" t="inlineStr">
        <is>
          <t>صيدلية رقم 7</t>
        </is>
      </c>
      <c r="D9" s="5" t="inlineStr">
        <is>
          <t>***</t>
        </is>
      </c>
      <c r="E9" s="5" t="inlineStr">
        <is>
          <t>الدلم</t>
        </is>
      </c>
    </row>
    <row r="10">
      <c r="A10" s="5" t="inlineStr">
        <is>
          <t>السبت</t>
        </is>
      </c>
      <c r="B10" s="5" t="inlineStr">
        <is>
          <t>2026-10-03</t>
        </is>
      </c>
      <c r="C10" s="5" t="inlineStr">
        <is>
          <t>صيدلية رقم 9</t>
        </is>
      </c>
      <c r="D10" s="5" t="inlineStr">
        <is>
          <t>***</t>
        </is>
      </c>
      <c r="E10" s="5" t="inlineStr">
        <is>
          <t>الدلم</t>
        </is>
      </c>
    </row>
    <row r="11">
      <c r="A11" s="5" t="inlineStr">
        <is>
          <t>الأحد</t>
        </is>
      </c>
      <c r="B11" s="5" t="inlineStr">
        <is>
          <t>2026-10-04</t>
        </is>
      </c>
      <c r="C11" s="5" t="inlineStr">
        <is>
          <t>صيدلية رقم 32</t>
        </is>
      </c>
      <c r="D11" s="5" t="inlineStr">
        <is>
          <t>صيدلية رقم 39</t>
        </is>
      </c>
      <c r="E11" s="5" t="inlineStr">
        <is>
          <t>الحوطة</t>
        </is>
      </c>
    </row>
    <row r="12">
      <c r="A12" s="5" t="inlineStr">
        <is>
          <t>الاثنين</t>
        </is>
      </c>
      <c r="B12" s="5" t="inlineStr">
        <is>
          <t>2026-10-05</t>
        </is>
      </c>
      <c r="C12" s="5" t="inlineStr">
        <is>
          <t>صيدلية رقم 33</t>
        </is>
      </c>
      <c r="D12" s="5" t="inlineStr">
        <is>
          <t>صيدلية رقم 34</t>
        </is>
      </c>
      <c r="E12" s="5" t="inlineStr">
        <is>
          <t>الأفلاج</t>
        </is>
      </c>
    </row>
    <row r="13">
      <c r="A13" s="5" t="inlineStr">
        <is>
          <t>الثلاثاء</t>
        </is>
      </c>
      <c r="B13" s="5" t="inlineStr">
        <is>
          <t>2026-10-06</t>
        </is>
      </c>
      <c r="C13" s="5" t="inlineStr">
        <is>
          <t>صيدلية رقم 35</t>
        </is>
      </c>
      <c r="D13" s="5" t="inlineStr">
        <is>
          <t>صيدلية رقم 53</t>
        </is>
      </c>
      <c r="E13" s="5" t="inlineStr">
        <is>
          <t>السليل</t>
        </is>
      </c>
    </row>
    <row r="14">
      <c r="A14" s="5" t="inlineStr">
        <is>
          <t>الأربعاء</t>
        </is>
      </c>
      <c r="B14" s="5" t="inlineStr">
        <is>
          <t>2026-10-07</t>
        </is>
      </c>
      <c r="C14" s="5" t="inlineStr">
        <is>
          <t>صيدلية رقم 46</t>
        </is>
      </c>
      <c r="D14" s="5" t="inlineStr">
        <is>
          <t>صيدلية رقم 56</t>
        </is>
      </c>
      <c r="E14" s="5" t="inlineStr">
        <is>
          <t>تمرة - الدواسر</t>
        </is>
      </c>
    </row>
    <row r="15">
      <c r="A15" s="5" t="inlineStr">
        <is>
          <t>الخميس</t>
        </is>
      </c>
      <c r="B15" s="5" t="inlineStr">
        <is>
          <t>2026-10-08</t>
        </is>
      </c>
      <c r="C15" s="5" t="inlineStr">
        <is>
          <t>صيدلية رقم 47</t>
        </is>
      </c>
      <c r="D15" s="5" t="inlineStr">
        <is>
          <t>صيدلية رقم 37</t>
        </is>
      </c>
      <c r="E15" s="5" t="inlineStr">
        <is>
          <t>الدواسر</t>
        </is>
      </c>
    </row>
    <row r="16">
      <c r="A16" s="5" t="inlineStr">
        <is>
          <t>الجمعة</t>
        </is>
      </c>
      <c r="B16" s="5" t="inlineStr">
        <is>
          <t>2026-10-09</t>
        </is>
      </c>
      <c r="C16" s="5" t="inlineStr">
        <is>
          <t>صيدلية رقم 38</t>
        </is>
      </c>
      <c r="D16" s="5" t="inlineStr">
        <is>
          <t>صيدلية رقم 59</t>
        </is>
      </c>
      <c r="E16" s="5" t="inlineStr">
        <is>
          <t>الدواسر</t>
        </is>
      </c>
    </row>
    <row r="17">
      <c r="A17" s="5" t="inlineStr">
        <is>
          <t>السبت</t>
        </is>
      </c>
      <c r="B17" s="5" t="inlineStr">
        <is>
          <t>2026-10-10</t>
        </is>
      </c>
      <c r="C17" s="5" t="inlineStr">
        <is>
          <t>صيدلية رقم 36</t>
        </is>
      </c>
      <c r="D17" s="5" t="inlineStr">
        <is>
          <t>صيدلية رقم 57</t>
        </is>
      </c>
      <c r="E17" s="5" t="inlineStr">
        <is>
          <t>الدواسر</t>
        </is>
      </c>
    </row>
    <row r="18">
      <c r="A18" s="5" t="inlineStr">
        <is>
          <t>الأحد</t>
        </is>
      </c>
      <c r="B18" s="5" t="inlineStr">
        <is>
          <t>2026-10-11</t>
        </is>
      </c>
      <c r="C18" s="5" t="inlineStr">
        <is>
          <t>صيدلية رقم 48</t>
        </is>
      </c>
      <c r="D18" s="5" t="inlineStr">
        <is>
          <t>صيدلية رقم 49</t>
        </is>
      </c>
      <c r="E18" s="5" t="inlineStr">
        <is>
          <t>رنية</t>
        </is>
      </c>
    </row>
    <row r="19">
      <c r="A19" s="5" t="inlineStr">
        <is>
          <t>الثلاثاء</t>
        </is>
      </c>
      <c r="B19" s="5" t="inlineStr">
        <is>
          <t>2026-10-13</t>
        </is>
      </c>
      <c r="C19" s="5" t="inlineStr">
        <is>
          <t>صيدلية رقم 8</t>
        </is>
      </c>
      <c r="D19" s="5" t="inlineStr">
        <is>
          <t>صيدلية رقم 60</t>
        </is>
      </c>
      <c r="E19" s="5" t="inlineStr">
        <is>
          <t>الخرج</t>
        </is>
      </c>
    </row>
    <row r="20">
      <c r="A20" s="5" t="inlineStr">
        <is>
          <t>الأربعاء</t>
        </is>
      </c>
      <c r="B20" s="5" t="inlineStr">
        <is>
          <t>2026-10-14</t>
        </is>
      </c>
      <c r="C20" s="5" t="inlineStr">
        <is>
          <t>صيدلية رقم 24</t>
        </is>
      </c>
      <c r="D20" s="5" t="inlineStr">
        <is>
          <t>صيدلية رقم 27</t>
        </is>
      </c>
      <c r="E20" s="5" t="inlineStr">
        <is>
          <t>الخرج</t>
        </is>
      </c>
    </row>
    <row r="21">
      <c r="A21" s="5" t="inlineStr">
        <is>
          <t>الخميس</t>
        </is>
      </c>
      <c r="B21" s="5" t="inlineStr">
        <is>
          <t>2026-10-15</t>
        </is>
      </c>
      <c r="C21" s="5" t="inlineStr">
        <is>
          <t>صيدلية رقم 11</t>
        </is>
      </c>
      <c r="D21" s="5" t="inlineStr">
        <is>
          <t>صيدلية رقم 40</t>
        </is>
      </c>
      <c r="E21" s="5" t="inlineStr">
        <is>
          <t>الخرج</t>
        </is>
      </c>
    </row>
    <row r="22">
      <c r="A22" s="5" t="inlineStr">
        <is>
          <t>الجمعة</t>
        </is>
      </c>
      <c r="B22" s="5" t="inlineStr">
        <is>
          <t>2026-10-16</t>
        </is>
      </c>
      <c r="C22" s="5" t="inlineStr">
        <is>
          <t>صيدلية رقم 18</t>
        </is>
      </c>
      <c r="D22" s="5" t="inlineStr">
        <is>
          <t>***</t>
        </is>
      </c>
      <c r="E22" s="5" t="inlineStr">
        <is>
          <t>الخرج</t>
        </is>
      </c>
    </row>
    <row r="23">
      <c r="A23" s="5" t="inlineStr">
        <is>
          <t>السبت</t>
        </is>
      </c>
      <c r="B23" s="5" t="inlineStr">
        <is>
          <t>2026-10-17</t>
        </is>
      </c>
      <c r="C23" s="5" t="inlineStr">
        <is>
          <t>صيدلية رقم 19</t>
        </is>
      </c>
      <c r="D23" s="5" t="inlineStr">
        <is>
          <t>***</t>
        </is>
      </c>
      <c r="E23" s="5" t="inlineStr">
        <is>
          <t>الخرج</t>
        </is>
      </c>
    </row>
    <row r="24">
      <c r="A24" s="5" t="inlineStr">
        <is>
          <t>الأحد</t>
        </is>
      </c>
      <c r="B24" s="5" t="inlineStr">
        <is>
          <t>2026-10-18</t>
        </is>
      </c>
      <c r="C24" s="5" t="inlineStr">
        <is>
          <t>صيدلية رقم 14</t>
        </is>
      </c>
      <c r="D24" s="5" t="inlineStr">
        <is>
          <t>***</t>
        </is>
      </c>
      <c r="E24" s="5" t="inlineStr">
        <is>
          <t>الخرج</t>
        </is>
      </c>
    </row>
    <row r="25">
      <c r="A25" s="5" t="inlineStr">
        <is>
          <t>الاثنين</t>
        </is>
      </c>
      <c r="B25" s="5" t="inlineStr">
        <is>
          <t>2026-10-19</t>
        </is>
      </c>
      <c r="C25" s="5" t="inlineStr">
        <is>
          <t>صيدلية رقم 42</t>
        </is>
      </c>
      <c r="D25" s="5" t="inlineStr">
        <is>
          <t>صيدلية رقم 44</t>
        </is>
      </c>
      <c r="E25" s="5" t="inlineStr">
        <is>
          <t>الرياض</t>
        </is>
      </c>
    </row>
    <row r="26">
      <c r="A26" s="5" t="inlineStr">
        <is>
          <t>الثلاثاء</t>
        </is>
      </c>
      <c r="B26" s="5" t="inlineStr">
        <is>
          <t>2026-10-20</t>
        </is>
      </c>
      <c r="C26" s="5" t="inlineStr">
        <is>
          <t>صيدلية رقم 43</t>
        </is>
      </c>
      <c r="D26" s="5" t="inlineStr">
        <is>
          <t>صيدلية رقم 45</t>
        </is>
      </c>
      <c r="E26" s="5" t="inlineStr">
        <is>
          <t>الرياض</t>
        </is>
      </c>
    </row>
    <row r="27">
      <c r="A27" s="5" t="inlineStr">
        <is>
          <t>الأربعاء</t>
        </is>
      </c>
      <c r="B27" s="5" t="inlineStr">
        <is>
          <t>2026-10-21</t>
        </is>
      </c>
      <c r="C27" s="5" t="inlineStr">
        <is>
          <t>صيدلية رقم 23</t>
        </is>
      </c>
      <c r="D27" s="5" t="inlineStr">
        <is>
          <t>صيدلية رقم 58</t>
        </is>
      </c>
      <c r="E27" s="5" t="inlineStr">
        <is>
          <t>الرياض</t>
        </is>
      </c>
    </row>
    <row r="28">
      <c r="A28" s="5" t="inlineStr">
        <is>
          <t>الخميس</t>
        </is>
      </c>
      <c r="B28" s="5" t="inlineStr">
        <is>
          <t>2026-10-22</t>
        </is>
      </c>
      <c r="C28" s="5" t="inlineStr">
        <is>
          <t>صيدلية رقم 6</t>
        </is>
      </c>
      <c r="D28" s="5" t="inlineStr">
        <is>
          <t>صيدلية رقم 13</t>
        </is>
      </c>
      <c r="E28" s="5" t="inlineStr">
        <is>
          <t>الخرج</t>
        </is>
      </c>
    </row>
    <row r="29">
      <c r="A29" s="5" t="inlineStr">
        <is>
          <t>الجمعة</t>
        </is>
      </c>
      <c r="B29" s="5" t="inlineStr">
        <is>
          <t>2026-10-23</t>
        </is>
      </c>
      <c r="C29" s="5" t="inlineStr">
        <is>
          <t>صيدلية رقم 1</t>
        </is>
      </c>
      <c r="D29" s="5" t="inlineStr">
        <is>
          <t>***</t>
        </is>
      </c>
      <c r="E29" s="5" t="inlineStr">
        <is>
          <t>الخرج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2" customWidth="1" min="4" max="4"/>
    <col width="20" customWidth="1" min="5" max="5"/>
    <col width="8" customWidth="1" min="6" max="6"/>
    <col width="8" customWidth="1" min="7" max="7"/>
    <col width="16" customWidth="1" min="8" max="8"/>
    <col width="13" customWidth="1" min="9" max="9"/>
  </cols>
  <sheetData>
    <row r="1">
      <c r="A1" s="3" t="inlineStr">
        <is>
          <t>التاريخ</t>
        </is>
      </c>
      <c r="B1" s="3" t="inlineStr">
        <is>
          <t>اليوم</t>
        </is>
      </c>
      <c r="C1" s="3" t="inlineStr">
        <is>
          <t>الموقع</t>
        </is>
      </c>
      <c r="D1" s="3" t="inlineStr">
        <is>
          <t>رقم الصيدلية</t>
        </is>
      </c>
      <c r="E1" s="3" t="inlineStr">
        <is>
          <t>الاسم</t>
        </is>
      </c>
      <c r="F1" s="3" t="inlineStr">
        <is>
          <t>جرد</t>
        </is>
      </c>
      <c r="G1" s="3" t="inlineStr">
        <is>
          <t>راجع</t>
        </is>
      </c>
      <c r="H1" s="3" t="inlineStr">
        <is>
          <t>نوع المهمة</t>
        </is>
      </c>
      <c r="I1" s="3" t="inlineStr">
        <is>
          <t>المستحق</t>
        </is>
      </c>
    </row>
    <row r="2">
      <c r="A2" s="4" t="inlineStr">
        <is>
          <t>2026-09-01</t>
        </is>
      </c>
      <c r="B2" s="5" t="str">
        <f>IF(A2="","",IFERROR(INDEX('جدول الجرد'!$A$2:$A$29,MATCH(A2,'جدول الجرد'!$B$2:$B$29,0)),""))</f>
        <v>الثلاثاء</v>
      </c>
      <c r="C2" s="5" t="str">
        <f>IF(A2="","",IFERROR(INDEX('جدول الجرد'!$E$2:$E$29,MATCH(A2,'جدول الجرد'!$B$2:$B$29,0)),""))</f>
        <v>الخرج</v>
      </c>
      <c r="D2" s="4" t="n">
        <v>15</v>
      </c>
      <c r="E2" s="4" t="inlineStr">
        <is>
          <t>د. حسام شلش</t>
        </is>
      </c>
      <c r="F2" s="4" t="inlineStr">
        <is>
          <t>نعم</t>
        </is>
      </c>
      <c r="G2" s="4" t="inlineStr">
        <is>
          <t>نعم</t>
        </is>
      </c>
      <c r="H2" s="5" t="str">
        <f>IF(E2="","",IF(AND(F2="نعم",G2="نعم"),"جرد + مراجعة",IF(F2="نعم","جرد فقط",IF(G2="نعم","مراجعة فقط",""))))</f>
        <v>جرد + مراجعة</v>
      </c>
      <c r="I2" s="9">
        <f>IF(H2="جرد + مراجعة",الإعدادات!$B$2,IF(H2="مراجعة فقط",الإعدادات!$B$3,IF(H2="جرد فقط",الإعدادات!$B$4,0)))</f>
        <v>200</v>
      </c>
    </row>
    <row r="3">
      <c r="A3" s="4" t="inlineStr">
        <is>
          <t>2026-09-01</t>
        </is>
      </c>
      <c r="B3" s="5" t="str">
        <f>IF(A3="","",IFERROR(INDEX('جدول الجرد'!$A$2:$A$29,MATCH(A3,'جدول الجرد'!$B$2:$B$29,0)),""))</f>
        <v>الثلاثاء</v>
      </c>
      <c r="C3" s="5" t="str">
        <f>IF(A3="","",IFERROR(INDEX('جدول الجرد'!$E$2:$E$29,MATCH(A3,'جدول الجرد'!$B$2:$B$29,0)),""))</f>
        <v>الخرج</v>
      </c>
      <c r="D3" s="4" t="n">
        <v>15</v>
      </c>
      <c r="E3" s="4" t="inlineStr">
        <is>
          <t>د. السيد حسن</t>
        </is>
      </c>
      <c r="F3" s="4" t="inlineStr"/>
      <c r="G3" s="4" t="inlineStr">
        <is>
          <t>نعم</t>
        </is>
      </c>
      <c r="H3" s="5" t="str">
        <f>IF(E3="","",IF(AND(F3="نعم",G3="نعم"),"جرد + مراجعة",IF(F3="نعم","جرد فقط",IF(G3="نعم","مراجعة فقط",""))))</f>
        <v>مراجعة فقط</v>
      </c>
      <c r="I3" s="9">
        <f>IF(H3="جرد + مراجعة",الإعدادات!$B$2,IF(H3="مراجعة فقط",الإعدادات!$B$3,IF(H3="جرد فقط",الإعدادات!$B$4,0)))</f>
        <v>150</v>
      </c>
    </row>
    <row r="4">
      <c r="A4" s="4" t="inlineStr">
        <is>
          <t>2026-09-01</t>
        </is>
      </c>
      <c r="B4" s="5" t="str">
        <f>IF(A4="","",IFERROR(INDEX('جدول الجرد'!$A$2:$A$29,MATCH(A4,'جدول الجرد'!$B$2:$B$29,0)),""))</f>
        <v>الثلاثاء</v>
      </c>
      <c r="C4" s="5" t="str">
        <f>IF(A4="","",IFERROR(INDEX('جدول الجرد'!$E$2:$E$29,MATCH(A4,'جدول الجرد'!$B$2:$B$29,0)),""))</f>
        <v>الخرج</v>
      </c>
      <c r="D4" s="4" t="n">
        <v>15</v>
      </c>
      <c r="E4" s="4" t="inlineStr">
        <is>
          <t>د. أيمن حسين</t>
        </is>
      </c>
      <c r="F4" s="4" t="inlineStr"/>
      <c r="G4" s="4" t="inlineStr">
        <is>
          <t>نعم</t>
        </is>
      </c>
      <c r="H4" s="5" t="str">
        <f>IF(E4="","",IF(AND(F4="نعم",G4="نعم"),"جرد + مراجعة",IF(F4="نعم","جرد فقط",IF(G4="نعم","مراجعة فقط",""))))</f>
        <v>مراجعة فقط</v>
      </c>
      <c r="I4" s="9">
        <f>IF(H4="جرد + مراجعة",الإعدادات!$B$2,IF(H4="مراجعة فقط",الإعدادات!$B$3,IF(H4="جرد فقط",الإعدادات!$B$4,0)))</f>
        <v>150</v>
      </c>
    </row>
    <row r="5">
      <c r="A5" s="4" t="inlineStr">
        <is>
          <t>2026-09-01</t>
        </is>
      </c>
      <c r="B5" s="5" t="str">
        <f>IF(A5="","",IFERROR(INDEX('جدول الجرد'!$A$2:$A$29,MATCH(A5,'جدول الجرد'!$B$2:$B$29,0)),""))</f>
        <v>الثلاثاء</v>
      </c>
      <c r="C5" s="5" t="str">
        <f>IF(A5="","",IFERROR(INDEX('جدول الجرد'!$E$2:$E$29,MATCH(A5,'جدول الجرد'!$B$2:$B$29,0)),""))</f>
        <v>الخرج</v>
      </c>
      <c r="D5" s="4" t="n">
        <v>16</v>
      </c>
      <c r="E5" s="4" t="inlineStr">
        <is>
          <t>د. حسام شلش</t>
        </is>
      </c>
      <c r="F5" s="4" t="inlineStr">
        <is>
          <t>نعم</t>
        </is>
      </c>
      <c r="G5" s="4" t="inlineStr">
        <is>
          <t>نعم</t>
        </is>
      </c>
      <c r="H5" s="5" t="str">
        <f>IF(E5="","",IF(AND(F5="نعم",G5="نعم"),"جرد + مراجعة",IF(F5="نعم","جرد فقط",IF(G5="نعم","مراجعة فقط",""))))</f>
        <v>جرد + مراجعة</v>
      </c>
      <c r="I5" s="9">
        <f>IF(H5="جرد + مراجعة",الإعدادات!$B$2,IF(H5="مراجعة فقط",الإعدادات!$B$3,IF(H5="جرد فقط",الإعدادات!$B$4,0)))</f>
        <v>200</v>
      </c>
    </row>
    <row r="6">
      <c r="A6" s="4" t="inlineStr">
        <is>
          <t>2026-09-01</t>
        </is>
      </c>
      <c r="B6" s="5" t="str">
        <f>IF(A6="","",IFERROR(INDEX('جدول الجرد'!$A$2:$A$29,MATCH(A6,'جدول الجرد'!$B$2:$B$29,0)),""))</f>
        <v>الثلاثاء</v>
      </c>
      <c r="C6" s="5" t="str">
        <f>IF(A6="","",IFERROR(INDEX('جدول الجرد'!$E$2:$E$29,MATCH(A6,'جدول الجرد'!$B$2:$B$29,0)),""))</f>
        <v>الخرج</v>
      </c>
      <c r="D6" s="4" t="n">
        <v>16</v>
      </c>
      <c r="E6" s="4" t="inlineStr">
        <is>
          <t>د. السيد حسن</t>
        </is>
      </c>
      <c r="F6" s="4" t="inlineStr"/>
      <c r="G6" s="4" t="inlineStr">
        <is>
          <t>نعم</t>
        </is>
      </c>
      <c r="H6" s="5" t="str">
        <f>IF(E6="","",IF(AND(F6="نعم",G6="نعم"),"جرد + مراجعة",IF(F6="نعم","جرد فقط",IF(G6="نعم","مراجعة فقط",""))))</f>
        <v>مراجعة فقط</v>
      </c>
      <c r="I6" s="9">
        <f>IF(H6="جرد + مراجعة",الإعدادات!$B$2,IF(H6="مراجعة فقط",الإعدادات!$B$3,IF(H6="جرد فقط",الإعدادات!$B$4,0)))</f>
        <v>150</v>
      </c>
    </row>
    <row r="7">
      <c r="A7" s="4" t="inlineStr">
        <is>
          <t>2026-09-01</t>
        </is>
      </c>
      <c r="B7" s="5" t="str">
        <f>IF(A7="","",IFERROR(INDEX('جدول الجرد'!$A$2:$A$29,MATCH(A7,'جدول الجرد'!$B$2:$B$29,0)),""))</f>
        <v>الثلاثاء</v>
      </c>
      <c r="C7" s="5" t="str">
        <f>IF(A7="","",IFERROR(INDEX('جدول الجرد'!$E$2:$E$29,MATCH(A7,'جدول الجرد'!$B$2:$B$29,0)),""))</f>
        <v>الخرج</v>
      </c>
      <c r="D7" s="4" t="n">
        <v>16</v>
      </c>
      <c r="E7" s="4" t="inlineStr">
        <is>
          <t>د. أيمن حسين</t>
        </is>
      </c>
      <c r="F7" s="4" t="inlineStr"/>
      <c r="G7" s="4" t="inlineStr">
        <is>
          <t>نعم</t>
        </is>
      </c>
      <c r="H7" s="5" t="str">
        <f>IF(E7="","",IF(AND(F7="نعم",G7="نعم"),"جرد + مراجعة",IF(F7="نعم","جرد فقط",IF(G7="نعم","مراجعة فقط",""))))</f>
        <v>مراجعة فقط</v>
      </c>
      <c r="I7" s="9">
        <f>IF(H7="جرد + مراجعة",الإعدادات!$B$2,IF(H7="مراجعة فقط",الإعدادات!$B$3,IF(H7="جرد فقط",الإعدادات!$B$4,0)))</f>
        <v>150</v>
      </c>
    </row>
    <row r="8">
      <c r="A8" s="4" t="inlineStr">
        <is>
          <t>2026-09-01</t>
        </is>
      </c>
      <c r="B8" s="5" t="str">
        <f>IF(A8="","",IFERROR(INDEX('جدول الجرد'!$A$2:$A$29,MATCH(A8,'جدول الجرد'!$B$2:$B$29,0)),""))</f>
        <v>الثلاثاء</v>
      </c>
      <c r="C8" s="5" t="str">
        <f>IF(A8="","",IFERROR(INDEX('جدول الجرد'!$E$2:$E$29,MATCH(A8,'جدول الجرد'!$B$2:$B$29,0)),""))</f>
        <v>الخرج</v>
      </c>
      <c r="D8" s="4" t="n">
        <v>16</v>
      </c>
      <c r="E8" s="4" t="inlineStr">
        <is>
          <t>د. الحسن الغنيمي</t>
        </is>
      </c>
      <c r="F8" s="4" t="inlineStr"/>
      <c r="G8" s="4" t="inlineStr">
        <is>
          <t>نعم</t>
        </is>
      </c>
      <c r="H8" s="5" t="str">
        <f>IF(E8="","",IF(AND(F8="نعم",G8="نعم"),"جرد + مراجعة",IF(F8="نعم","جرد فقط",IF(G8="نعم","مراجعة فقط",""))))</f>
        <v>مراجعة فقط</v>
      </c>
      <c r="I8" s="9">
        <f>IF(H8="جرد + مراجعة",الإعدادات!$B$2,IF(H8="مراجعة فقط",الإعدادات!$B$3,IF(H8="جرد فقط",الإعدادات!$B$4,0)))</f>
        <v>150</v>
      </c>
    </row>
    <row r="9">
      <c r="A9" s="4" t="inlineStr">
        <is>
          <t>2026-09-26</t>
        </is>
      </c>
      <c r="B9" s="5" t="str">
        <f>IF(A9="","",IFERROR(INDEX('جدول الجرد'!$A$2:$A$29,MATCH(A9,'جدول الجرد'!$B$2:$B$29,0)),""))</f>
        <v>السبت</v>
      </c>
      <c r="C9" s="5" t="str">
        <f>IF(A9="","",IFERROR(INDEX('جدول الجرد'!$E$2:$E$29,MATCH(A9,'جدول الجرد'!$B$2:$B$29,0)),""))</f>
        <v>الخرج</v>
      </c>
      <c r="D9" s="4" t="n">
        <v>4</v>
      </c>
      <c r="E9" s="4" t="inlineStr">
        <is>
          <t>د. حسام شلش</t>
        </is>
      </c>
      <c r="F9" s="4" t="inlineStr">
        <is>
          <t>نعم</t>
        </is>
      </c>
      <c r="G9" s="4" t="inlineStr">
        <is>
          <t>نعم</t>
        </is>
      </c>
      <c r="H9" s="5" t="str">
        <f>IF(E9="","",IF(AND(F9="نعم",G9="نعم"),"جرد + مراجعة",IF(F9="نعم","جرد فقط",IF(G9="نعم","مراجعة فقط",""))))</f>
        <v>جرد + مراجعة</v>
      </c>
      <c r="I9" s="9">
        <f>IF(H9="جرد + مراجعة",الإعدادات!$B$2,IF(H9="مراجعة فقط",الإعدادات!$B$3,IF(H9="جرد فقط",الإعدادات!$B$4,0)))</f>
        <v>200</v>
      </c>
    </row>
    <row r="10">
      <c r="A10" s="4" t="inlineStr">
        <is>
          <t>2026-09-26</t>
        </is>
      </c>
      <c r="B10" s="5" t="str">
        <f>IF(A10="","",IFERROR(INDEX('جدول الجرد'!$A$2:$A$29,MATCH(A10,'جدول الجرد'!$B$2:$B$29,0)),""))</f>
        <v>السبت</v>
      </c>
      <c r="C10" s="5" t="str">
        <f>IF(A10="","",IFERROR(INDEX('جدول الجرد'!$E$2:$E$29,MATCH(A10,'جدول الجرد'!$B$2:$B$29,0)),""))</f>
        <v>الخرج</v>
      </c>
      <c r="D10" s="4" t="n">
        <v>4</v>
      </c>
      <c r="E10" s="4" t="inlineStr">
        <is>
          <t>د. السيد حسن</t>
        </is>
      </c>
      <c r="F10" s="4" t="inlineStr"/>
      <c r="G10" s="4" t="inlineStr">
        <is>
          <t>نعم</t>
        </is>
      </c>
      <c r="H10" s="5" t="str">
        <f>IF(E10="","",IF(AND(F10="نعم",G10="نعم"),"جرد + مراجعة",IF(F10="نعم","جرد فقط",IF(G10="نعم","مراجعة فقط",""))))</f>
        <v>مراجعة فقط</v>
      </c>
      <c r="I10" s="9">
        <f>IF(H10="جرد + مراجعة",الإعدادات!$B$2,IF(H10="مراجعة فقط",الإعدادات!$B$3,IF(H10="جرد فقط",الإعدادات!$B$4,0)))</f>
        <v>150</v>
      </c>
    </row>
    <row r="11">
      <c r="A11" s="4" t="inlineStr">
        <is>
          <t>2026-09-26</t>
        </is>
      </c>
      <c r="B11" s="5" t="str">
        <f>IF(A11="","",IFERROR(INDEX('جدول الجرد'!$A$2:$A$29,MATCH(A11,'جدول الجرد'!$B$2:$B$29,0)),""))</f>
        <v>السبت</v>
      </c>
      <c r="C11" s="5" t="str">
        <f>IF(A11="","",IFERROR(INDEX('جدول الجرد'!$E$2:$E$29,MATCH(A11,'جدول الجرد'!$B$2:$B$29,0)),""))</f>
        <v>الخرج</v>
      </c>
      <c r="D11" s="4" t="n">
        <v>4</v>
      </c>
      <c r="E11" s="4" t="inlineStr">
        <is>
          <t>د. علي خليفة</t>
        </is>
      </c>
      <c r="F11" s="4" t="inlineStr"/>
      <c r="G11" s="4" t="inlineStr">
        <is>
          <t>نعم</t>
        </is>
      </c>
      <c r="H11" s="5" t="str">
        <f>IF(E11="","",IF(AND(F11="نعم",G11="نعم"),"جرد + مراجعة",IF(F11="نعم","جرد فقط",IF(G11="نعم","مراجعة فقط",""))))</f>
        <v>مراجعة فقط</v>
      </c>
      <c r="I11" s="9">
        <f>IF(H11="جرد + مراجعة",الإعدادات!$B$2,IF(H11="مراجعة فقط",الإعدادات!$B$3,IF(H11="جرد فقط",الإعدادات!$B$4,0)))</f>
        <v>150</v>
      </c>
    </row>
    <row r="12">
      <c r="A12" s="4" t="inlineStr">
        <is>
          <t>2026-09-26</t>
        </is>
      </c>
      <c r="B12" s="5" t="str">
        <f>IF(A12="","",IFERROR(INDEX('جدول الجرد'!$A$2:$A$29,MATCH(A12,'جدول الجرد'!$B$2:$B$29,0)),""))</f>
        <v>السبت</v>
      </c>
      <c r="C12" s="5" t="str">
        <f>IF(A12="","",IFERROR(INDEX('جدول الجرد'!$E$2:$E$29,MATCH(A12,'جدول الجرد'!$B$2:$B$29,0)),""))</f>
        <v>الخرج</v>
      </c>
      <c r="D12" s="4" t="n">
        <v>5</v>
      </c>
      <c r="E12" s="4" t="inlineStr">
        <is>
          <t>د. حسام شلش</t>
        </is>
      </c>
      <c r="F12" s="4" t="inlineStr">
        <is>
          <t>نعم</t>
        </is>
      </c>
      <c r="G12" s="4" t="inlineStr">
        <is>
          <t>نعم</t>
        </is>
      </c>
      <c r="H12" s="5" t="str">
        <f>IF(E12="","",IF(AND(F12="نعم",G12="نعم"),"جرد + مراجعة",IF(F12="نعم","جرد فقط",IF(G12="نعم","مراجعة فقط",""))))</f>
        <v>جرد + مراجعة</v>
      </c>
      <c r="I12" s="9">
        <f>IF(H12="جرد + مراجعة",الإعدادات!$B$2,IF(H12="مراجعة فقط",الإعدادات!$B$3,IF(H12="جرد فقط",الإعدادات!$B$4,0)))</f>
        <v>200</v>
      </c>
    </row>
    <row r="13">
      <c r="A13" s="4" t="inlineStr">
        <is>
          <t>2026-09-26</t>
        </is>
      </c>
      <c r="B13" s="5" t="str">
        <f>IF(A13="","",IFERROR(INDEX('جدول الجرد'!$A$2:$A$29,MATCH(A13,'جدول الجرد'!$B$2:$B$29,0)),""))</f>
        <v>السبت</v>
      </c>
      <c r="C13" s="5" t="str">
        <f>IF(A13="","",IFERROR(INDEX('جدول الجرد'!$E$2:$E$29,MATCH(A13,'جدول الجرد'!$B$2:$B$29,0)),""))</f>
        <v>الخرج</v>
      </c>
      <c r="D13" s="4" t="n">
        <v>5</v>
      </c>
      <c r="E13" s="4" t="inlineStr">
        <is>
          <t>د. السيد حسن</t>
        </is>
      </c>
      <c r="F13" s="4" t="inlineStr"/>
      <c r="G13" s="4" t="inlineStr">
        <is>
          <t>نعم</t>
        </is>
      </c>
      <c r="H13" s="5" t="str">
        <f>IF(E13="","",IF(AND(F13="نعم",G13="نعم"),"جرد + مراجعة",IF(F13="نعم","جرد فقط",IF(G13="نعم","مراجعة فقط",""))))</f>
        <v>مراجعة فقط</v>
      </c>
      <c r="I13" s="9">
        <f>IF(H13="جرد + مراجعة",الإعدادات!$B$2,IF(H13="مراجعة فقط",الإعدادات!$B$3,IF(H13="جرد فقط",الإعدادات!$B$4,0)))</f>
        <v>150</v>
      </c>
    </row>
    <row r="14">
      <c r="A14" s="4" t="inlineStr">
        <is>
          <t>2026-09-26</t>
        </is>
      </c>
      <c r="B14" s="5" t="str">
        <f>IF(A14="","",IFERROR(INDEX('جدول الجرد'!$A$2:$A$29,MATCH(A14,'جدول الجرد'!$B$2:$B$29,0)),""))</f>
        <v>السبت</v>
      </c>
      <c r="C14" s="5" t="str">
        <f>IF(A14="","",IFERROR(INDEX('جدول الجرد'!$E$2:$E$29,MATCH(A14,'جدول الجرد'!$B$2:$B$29,0)),""))</f>
        <v>الخرج</v>
      </c>
      <c r="D14" s="4" t="n">
        <v>5</v>
      </c>
      <c r="E14" s="4" t="inlineStr">
        <is>
          <t>د. علي خليفة</t>
        </is>
      </c>
      <c r="F14" s="4" t="inlineStr"/>
      <c r="G14" s="4" t="inlineStr">
        <is>
          <t>نعم</t>
        </is>
      </c>
      <c r="H14" s="5" t="str">
        <f>IF(E14="","",IF(AND(F14="نعم",G14="نعم"),"جرد + مراجعة",IF(F14="نعم","جرد فقط",IF(G14="نعم","مراجعة فقط",""))))</f>
        <v>مراجعة فقط</v>
      </c>
      <c r="I14" s="9">
        <f>IF(H14="جرد + مراجعة",الإعدادات!$B$2,IF(H14="مراجعة فقط",الإعدادات!$B$3,IF(H14="جرد فقط",الإعدادات!$B$4,0)))</f>
        <v>150</v>
      </c>
    </row>
    <row r="15">
      <c r="A15" s="4" t="inlineStr">
        <is>
          <t>2026-09-27</t>
        </is>
      </c>
      <c r="B15" s="5" t="str">
        <f>IF(A15="","",IFERROR(INDEX('جدول الجرد'!$A$2:$A$29,MATCH(A15,'جدول الجرد'!$B$2:$B$29,0)),""))</f>
        <v>الأحد</v>
      </c>
      <c r="C15" s="5" t="str">
        <f>IF(A15="","",IFERROR(INDEX('جدول الجرد'!$E$2:$E$29,MATCH(A15,'جدول الجرد'!$B$2:$B$29,0)),""))</f>
        <v>الخرج</v>
      </c>
      <c r="D15" s="4" t="n">
        <v>3</v>
      </c>
      <c r="E15" s="4" t="inlineStr">
        <is>
          <t>د. علي خليفة</t>
        </is>
      </c>
      <c r="F15" s="4" t="inlineStr">
        <is>
          <t>نعم</t>
        </is>
      </c>
      <c r="G15" s="4" t="inlineStr">
        <is>
          <t>نعم</t>
        </is>
      </c>
      <c r="H15" s="5" t="str">
        <f>IF(E15="","",IF(AND(F15="نعم",G15="نعم"),"جرد + مراجعة",IF(F15="نعم","جرد فقط",IF(G15="نعم","مراجعة فقط",""))))</f>
        <v>جرد + مراجعة</v>
      </c>
      <c r="I15" s="9">
        <f>IF(H15="جرد + مراجعة",الإعدادات!$B$2,IF(H15="مراجعة فقط",الإعدادات!$B$3,IF(H15="جرد فقط",الإعدادات!$B$4,0)))</f>
        <v>200</v>
      </c>
    </row>
    <row r="16">
      <c r="A16" s="4" t="inlineStr">
        <is>
          <t>2026-09-27</t>
        </is>
      </c>
      <c r="B16" s="5" t="str">
        <f>IF(A16="","",IFERROR(INDEX('جدول الجرد'!$A$2:$A$29,MATCH(A16,'جدول الجرد'!$B$2:$B$29,0)),""))</f>
        <v>الأحد</v>
      </c>
      <c r="C16" s="5" t="str">
        <f>IF(A16="","",IFERROR(INDEX('جدول الجرد'!$E$2:$E$29,MATCH(A16,'جدول الجرد'!$B$2:$B$29,0)),""))</f>
        <v>الخرج</v>
      </c>
      <c r="D16" s="4" t="n">
        <v>3</v>
      </c>
      <c r="E16" s="4" t="inlineStr">
        <is>
          <t>د. حسام شلش</t>
        </is>
      </c>
      <c r="F16" s="4" t="inlineStr"/>
      <c r="G16" s="4" t="inlineStr">
        <is>
          <t>نعم</t>
        </is>
      </c>
      <c r="H16" s="5" t="str">
        <f>IF(E16="","",IF(AND(F16="نعم",G16="نعم"),"جرد + مراجعة",IF(F16="نعم","جرد فقط",IF(G16="نعم","مراجعة فقط",""))))</f>
        <v>مراجعة فقط</v>
      </c>
      <c r="I16" s="9">
        <f>IF(H16="جرد + مراجعة",الإعدادات!$B$2,IF(H16="مراجعة فقط",الإعدادات!$B$3,IF(H16="جرد فقط",الإعدادات!$B$4,0)))</f>
        <v>150</v>
      </c>
    </row>
    <row r="17">
      <c r="A17" s="4" t="inlineStr">
        <is>
          <t>2026-09-27</t>
        </is>
      </c>
      <c r="B17" s="5" t="str">
        <f>IF(A17="","",IFERROR(INDEX('جدول الجرد'!$A$2:$A$29,MATCH(A17,'جدول الجرد'!$B$2:$B$29,0)),""))</f>
        <v>الأحد</v>
      </c>
      <c r="C17" s="5" t="str">
        <f>IF(A17="","",IFERROR(INDEX('جدول الجرد'!$E$2:$E$29,MATCH(A17,'جدول الجرد'!$B$2:$B$29,0)),""))</f>
        <v>الخرج</v>
      </c>
      <c r="D17" s="4" t="n">
        <v>3</v>
      </c>
      <c r="E17" s="4" t="inlineStr">
        <is>
          <t>د. السيد حسن</t>
        </is>
      </c>
      <c r="F17" s="4" t="inlineStr"/>
      <c r="G17" s="4" t="inlineStr">
        <is>
          <t>نعم</t>
        </is>
      </c>
      <c r="H17" s="5" t="str">
        <f>IF(E17="","",IF(AND(F17="نعم",G17="نعم"),"جرد + مراجعة",IF(F17="نعم","جرد فقط",IF(G17="نعم","مراجعة فقط",""))))</f>
        <v>مراجعة فقط</v>
      </c>
      <c r="I17" s="9">
        <f>IF(H17="جرد + مراجعة",الإعدادات!$B$2,IF(H17="مراجعة فقط",الإعدادات!$B$3,IF(H17="جرد فقط",الإعدادات!$B$4,0)))</f>
        <v>150</v>
      </c>
    </row>
    <row r="18">
      <c r="A18" s="4" t="inlineStr">
        <is>
          <t>2026-09-27</t>
        </is>
      </c>
      <c r="B18" s="5" t="str">
        <f>IF(A18="","",IFERROR(INDEX('جدول الجرد'!$A$2:$A$29,MATCH(A18,'جدول الجرد'!$B$2:$B$29,0)),""))</f>
        <v>الأحد</v>
      </c>
      <c r="C18" s="5" t="str">
        <f>IF(A18="","",IFERROR(INDEX('جدول الجرد'!$E$2:$E$29,MATCH(A18,'جدول الجرد'!$B$2:$B$29,0)),""))</f>
        <v>الخرج</v>
      </c>
      <c r="D18" s="4" t="n">
        <v>31</v>
      </c>
      <c r="E18" s="4" t="inlineStr">
        <is>
          <t>د. علي خليفة</t>
        </is>
      </c>
      <c r="F18" s="4" t="inlineStr">
        <is>
          <t>نعم</t>
        </is>
      </c>
      <c r="G18" s="4" t="inlineStr">
        <is>
          <t>نعم</t>
        </is>
      </c>
      <c r="H18" s="5" t="str">
        <f>IF(E18="","",IF(AND(F18="نعم",G18="نعم"),"جرد + مراجعة",IF(F18="نعم","جرد فقط",IF(G18="نعم","مراجعة فقط",""))))</f>
        <v>جرد + مراجعة</v>
      </c>
      <c r="I18" s="9">
        <f>IF(H18="جرد + مراجعة",الإعدادات!$B$2,IF(H18="مراجعة فقط",الإعدادات!$B$3,IF(H18="جرد فقط",الإعدادات!$B$4,0)))</f>
        <v>200</v>
      </c>
    </row>
    <row r="19">
      <c r="A19" s="4" t="inlineStr">
        <is>
          <t>2026-09-27</t>
        </is>
      </c>
      <c r="B19" s="5" t="str">
        <f>IF(A19="","",IFERROR(INDEX('جدول الجرد'!$A$2:$A$29,MATCH(A19,'جدول الجرد'!$B$2:$B$29,0)),""))</f>
        <v>الأحد</v>
      </c>
      <c r="C19" s="5" t="str">
        <f>IF(A19="","",IFERROR(INDEX('جدول الجرد'!$E$2:$E$29,MATCH(A19,'جدول الجرد'!$B$2:$B$29,0)),""))</f>
        <v>الخرج</v>
      </c>
      <c r="D19" s="4" t="n">
        <v>31</v>
      </c>
      <c r="E19" s="4" t="inlineStr">
        <is>
          <t>د. حسام شلش</t>
        </is>
      </c>
      <c r="F19" s="4" t="inlineStr"/>
      <c r="G19" s="4" t="inlineStr">
        <is>
          <t>نعم</t>
        </is>
      </c>
      <c r="H19" s="5" t="str">
        <f>IF(E19="","",IF(AND(F19="نعم",G19="نعم"),"جرد + مراجعة",IF(F19="نعم","جرد فقط",IF(G19="نعم","مراجعة فقط",""))))</f>
        <v>مراجعة فقط</v>
      </c>
      <c r="I19" s="9">
        <f>IF(H19="جرد + مراجعة",الإعدادات!$B$2,IF(H19="مراجعة فقط",الإعدادات!$B$3,IF(H19="جرد فقط",الإعدادات!$B$4,0)))</f>
        <v>150</v>
      </c>
    </row>
    <row r="20">
      <c r="A20" s="4" t="inlineStr">
        <is>
          <t>2026-09-27</t>
        </is>
      </c>
      <c r="B20" s="5" t="str">
        <f>IF(A20="","",IFERROR(INDEX('جدول الجرد'!$A$2:$A$29,MATCH(A20,'جدول الجرد'!$B$2:$B$29,0)),""))</f>
        <v>الأحد</v>
      </c>
      <c r="C20" s="5" t="str">
        <f>IF(A20="","",IFERROR(INDEX('جدول الجرد'!$E$2:$E$29,MATCH(A20,'جدول الجرد'!$B$2:$B$29,0)),""))</f>
        <v>الخرج</v>
      </c>
      <c r="D20" s="4" t="n">
        <v>31</v>
      </c>
      <c r="E20" s="4" t="inlineStr">
        <is>
          <t>د. السيد حسن</t>
        </is>
      </c>
      <c r="F20" s="4" t="inlineStr"/>
      <c r="G20" s="4" t="inlineStr">
        <is>
          <t>نعم</t>
        </is>
      </c>
      <c r="H20" s="5" t="str">
        <f>IF(E20="","",IF(AND(F20="نعم",G20="نعم"),"جرد + مراجعة",IF(F20="نعم","جرد فقط",IF(G20="نعم","مراجعة فقط",""))))</f>
        <v>مراجعة فقط</v>
      </c>
      <c r="I20" s="9">
        <f>IF(H20="جرد + مراجعة",الإعدادات!$B$2,IF(H20="مراجعة فقط",الإعدادات!$B$3,IF(H20="جرد فقط",الإعدادات!$B$4,0)))</f>
        <v>150</v>
      </c>
    </row>
    <row r="21">
      <c r="A21" s="4" t="inlineStr">
        <is>
          <t>2026-09-27</t>
        </is>
      </c>
      <c r="B21" s="5" t="str">
        <f>IF(A21="","",IFERROR(INDEX('جدول الجرد'!$A$2:$A$29,MATCH(A21,'جدول الجرد'!$B$2:$B$29,0)),""))</f>
        <v>الأحد</v>
      </c>
      <c r="C21" s="5" t="str">
        <f>IF(A21="","",IFERROR(INDEX('جدول الجرد'!$E$2:$E$29,MATCH(A21,'جدول الجرد'!$B$2:$B$29,0)),""))</f>
        <v>الخرج</v>
      </c>
      <c r="D21" s="4" t="n">
        <v>31</v>
      </c>
      <c r="E21" s="4" t="inlineStr">
        <is>
          <t>د. أيمن حسين</t>
        </is>
      </c>
      <c r="F21" s="4" t="inlineStr"/>
      <c r="G21" s="4" t="inlineStr">
        <is>
          <t>نعم</t>
        </is>
      </c>
      <c r="H21" s="5" t="str">
        <f>IF(E21="","",IF(AND(F21="نعم",G21="نعم"),"جرد + مراجعة",IF(F21="نعم","جرد فقط",IF(G21="نعم","مراجعة فقط",""))))</f>
        <v>مراجعة فقط</v>
      </c>
      <c r="I21" s="9">
        <f>IF(H21="جرد + مراجعة",الإعدادات!$B$2,IF(H21="مراجعة فقط",الإعدادات!$B$3,IF(H21="جرد فقط",الإعدادات!$B$4,0)))</f>
        <v>150</v>
      </c>
    </row>
    <row r="22">
      <c r="A22" s="4" t="inlineStr">
        <is>
          <t>2026-09-28</t>
        </is>
      </c>
      <c r="B22" s="5" t="str">
        <f>IF(A22="","",IFERROR(INDEX('جدول الجرد'!$A$2:$A$29,MATCH(A22,'جدول الجرد'!$B$2:$B$29,0)),""))</f>
        <v>الاثنين</v>
      </c>
      <c r="C22" s="5" t="str">
        <f>IF(A22="","",IFERROR(INDEX('جدول الجرد'!$E$2:$E$29,MATCH(A22,'جدول الجرد'!$B$2:$B$29,0)),""))</f>
        <v>الخرج</v>
      </c>
      <c r="D22" s="4" t="n">
        <v>29</v>
      </c>
      <c r="E22" s="4" t="inlineStr">
        <is>
          <t>د. حسام شلش</t>
        </is>
      </c>
      <c r="F22" s="4" t="inlineStr">
        <is>
          <t>نعم</t>
        </is>
      </c>
      <c r="G22" s="4" t="inlineStr">
        <is>
          <t>نعم</t>
        </is>
      </c>
      <c r="H22" s="5" t="str">
        <f>IF(E22="","",IF(AND(F22="نعم",G22="نعم"),"جرد + مراجعة",IF(F22="نعم","جرد فقط",IF(G22="نعم","مراجعة فقط",""))))</f>
        <v>جرد + مراجعة</v>
      </c>
      <c r="I22" s="9">
        <f>IF(H22="جرد + مراجعة",الإعدادات!$B$2,IF(H22="مراجعة فقط",الإعدادات!$B$3,IF(H22="جرد فقط",الإعدادات!$B$4,0)))</f>
        <v>200</v>
      </c>
    </row>
    <row r="23">
      <c r="A23" s="4" t="inlineStr">
        <is>
          <t>2026-09-28</t>
        </is>
      </c>
      <c r="B23" s="5" t="str">
        <f>IF(A23="","",IFERROR(INDEX('جدول الجرد'!$A$2:$A$29,MATCH(A23,'جدول الجرد'!$B$2:$B$29,0)),""))</f>
        <v>الاثنين</v>
      </c>
      <c r="C23" s="5" t="str">
        <f>IF(A23="","",IFERROR(INDEX('جدول الجرد'!$E$2:$E$29,MATCH(A23,'جدول الجرد'!$B$2:$B$29,0)),""))</f>
        <v>الخرج</v>
      </c>
      <c r="D23" s="4" t="n">
        <v>29</v>
      </c>
      <c r="E23" s="4" t="inlineStr">
        <is>
          <t>د. السيد حسن</t>
        </is>
      </c>
      <c r="F23" s="4" t="inlineStr"/>
      <c r="G23" s="4" t="inlineStr">
        <is>
          <t>نعم</t>
        </is>
      </c>
      <c r="H23" s="5" t="str">
        <f>IF(E23="","",IF(AND(F23="نعم",G23="نعم"),"جرد + مراجعة",IF(F23="نعم","جرد فقط",IF(G23="نعم","مراجعة فقط",""))))</f>
        <v>مراجعة فقط</v>
      </c>
      <c r="I23" s="9">
        <f>IF(H23="جرد + مراجعة",الإعدادات!$B$2,IF(H23="مراجعة فقط",الإعدادات!$B$3,IF(H23="جرد فقط",الإعدادات!$B$4,0)))</f>
        <v>150</v>
      </c>
    </row>
    <row r="24">
      <c r="A24" s="4" t="inlineStr">
        <is>
          <t>2026-09-28</t>
        </is>
      </c>
      <c r="B24" s="5" t="str">
        <f>IF(A24="","",IFERROR(INDEX('جدول الجرد'!$A$2:$A$29,MATCH(A24,'جدول الجرد'!$B$2:$B$29,0)),""))</f>
        <v>الاثنين</v>
      </c>
      <c r="C24" s="5" t="str">
        <f>IF(A24="","",IFERROR(INDEX('جدول الجرد'!$E$2:$E$29,MATCH(A24,'جدول الجرد'!$B$2:$B$29,0)),""))</f>
        <v>الخرج</v>
      </c>
      <c r="D24" s="4" t="n">
        <v>29</v>
      </c>
      <c r="E24" s="4" t="inlineStr">
        <is>
          <t>د. علي خليفة</t>
        </is>
      </c>
      <c r="F24" s="4" t="inlineStr"/>
      <c r="G24" s="4" t="inlineStr">
        <is>
          <t>نعم</t>
        </is>
      </c>
      <c r="H24" s="5" t="str">
        <f>IF(E24="","",IF(AND(F24="نعم",G24="نعم"),"جرد + مراجعة",IF(F24="نعم","جرد فقط",IF(G24="نعم","مراجعة فقط",""))))</f>
        <v>مراجعة فقط</v>
      </c>
      <c r="I24" s="9">
        <f>IF(H24="جرد + مراجعة",الإعدادات!$B$2,IF(H24="مراجعة فقط",الإعدادات!$B$3,IF(H24="جرد فقط",الإعدادات!$B$4,0)))</f>
        <v>150</v>
      </c>
    </row>
    <row r="25">
      <c r="A25" s="4" t="inlineStr">
        <is>
          <t>2026-09-28</t>
        </is>
      </c>
      <c r="B25" s="5" t="str">
        <f>IF(A25="","",IFERROR(INDEX('جدول الجرد'!$A$2:$A$29,MATCH(A25,'جدول الجرد'!$B$2:$B$29,0)),""))</f>
        <v>الاثنين</v>
      </c>
      <c r="C25" s="5" t="str">
        <f>IF(A25="","",IFERROR(INDEX('جدول الجرد'!$E$2:$E$29,MATCH(A25,'جدول الجرد'!$B$2:$B$29,0)),""))</f>
        <v>الخرج</v>
      </c>
      <c r="D25" s="4" t="n">
        <v>29</v>
      </c>
      <c r="E25" s="4" t="inlineStr">
        <is>
          <t>د. أيمن حسين</t>
        </is>
      </c>
      <c r="F25" s="4" t="inlineStr"/>
      <c r="G25" s="4" t="inlineStr">
        <is>
          <t>نعم</t>
        </is>
      </c>
      <c r="H25" s="5" t="str">
        <f>IF(E25="","",IF(AND(F25="نعم",G25="نعم"),"جرد + مراجعة",IF(F25="نعم","جرد فقط",IF(G25="نعم","مراجعة فقط",""))))</f>
        <v>مراجعة فقط</v>
      </c>
      <c r="I25" s="9">
        <f>IF(H25="جرد + مراجعة",الإعدادات!$B$2,IF(H25="مراجعة فقط",الإعدادات!$B$3,IF(H25="جرد فقط",الإعدادات!$B$4,0)))</f>
        <v>150</v>
      </c>
    </row>
    <row r="26">
      <c r="A26" s="4" t="inlineStr">
        <is>
          <t>2026-09-28</t>
        </is>
      </c>
      <c r="B26" s="5" t="str">
        <f>IF(A26="","",IFERROR(INDEX('جدول الجرد'!$A$2:$A$29,MATCH(A26,'جدول الجرد'!$B$2:$B$29,0)),""))</f>
        <v>الاثنين</v>
      </c>
      <c r="C26" s="5" t="str">
        <f>IF(A26="","",IFERROR(INDEX('جدول الجرد'!$E$2:$E$29,MATCH(A26,'جدول الجرد'!$B$2:$B$29,0)),""))</f>
        <v>الخرج</v>
      </c>
      <c r="D26" s="4" t="n">
        <v>22</v>
      </c>
      <c r="E26" s="4" t="inlineStr">
        <is>
          <t>د. حسام شلش</t>
        </is>
      </c>
      <c r="F26" s="4" t="inlineStr">
        <is>
          <t>نعم</t>
        </is>
      </c>
      <c r="G26" s="4" t="inlineStr">
        <is>
          <t>نعم</t>
        </is>
      </c>
      <c r="H26" s="5" t="str">
        <f>IF(E26="","",IF(AND(F26="نعم",G26="نعم"),"جرد + مراجعة",IF(F26="نعم","جرد فقط",IF(G26="نعم","مراجعة فقط",""))))</f>
        <v>جرد + مراجعة</v>
      </c>
      <c r="I26" s="9">
        <f>IF(H26="جرد + مراجعة",الإعدادات!$B$2,IF(H26="مراجعة فقط",الإعدادات!$B$3,IF(H26="جرد فقط",الإعدادات!$B$4,0)))</f>
        <v>200</v>
      </c>
    </row>
    <row r="27">
      <c r="A27" s="4" t="inlineStr">
        <is>
          <t>2026-09-28</t>
        </is>
      </c>
      <c r="B27" s="5" t="str">
        <f>IF(A27="","",IFERROR(INDEX('جدول الجرد'!$A$2:$A$29,MATCH(A27,'جدول الجرد'!$B$2:$B$29,0)),""))</f>
        <v>الاثنين</v>
      </c>
      <c r="C27" s="5" t="str">
        <f>IF(A27="","",IFERROR(INDEX('جدول الجرد'!$E$2:$E$29,MATCH(A27,'جدول الجرد'!$B$2:$B$29,0)),""))</f>
        <v>الخرج</v>
      </c>
      <c r="D27" s="4" t="n">
        <v>22</v>
      </c>
      <c r="E27" s="4" t="inlineStr">
        <is>
          <t>د. السيد حسن</t>
        </is>
      </c>
      <c r="F27" s="4" t="inlineStr"/>
      <c r="G27" s="4" t="inlineStr">
        <is>
          <t>نعم</t>
        </is>
      </c>
      <c r="H27" s="5" t="str">
        <f>IF(E27="","",IF(AND(F27="نعم",G27="نعم"),"جرد + مراجعة",IF(F27="نعم","جرد فقط",IF(G27="نعم","مراجعة فقط",""))))</f>
        <v>مراجعة فقط</v>
      </c>
      <c r="I27" s="9">
        <f>IF(H27="جرد + مراجعة",الإعدادات!$B$2,IF(H27="مراجعة فقط",الإعدادات!$B$3,IF(H27="جرد فقط",الإعدادات!$B$4,0)))</f>
        <v>150</v>
      </c>
    </row>
    <row r="28">
      <c r="A28" s="4" t="inlineStr">
        <is>
          <t>2026-09-28</t>
        </is>
      </c>
      <c r="B28" s="5" t="str">
        <f>IF(A28="","",IFERROR(INDEX('جدول الجرد'!$A$2:$A$29,MATCH(A28,'جدول الجرد'!$B$2:$B$29,0)),""))</f>
        <v>الاثنين</v>
      </c>
      <c r="C28" s="5" t="str">
        <f>IF(A28="","",IFERROR(INDEX('جدول الجرد'!$E$2:$E$29,MATCH(A28,'جدول الجرد'!$B$2:$B$29,0)),""))</f>
        <v>الخرج</v>
      </c>
      <c r="D28" s="4" t="n">
        <v>22</v>
      </c>
      <c r="E28" s="4" t="inlineStr">
        <is>
          <t>د. علي خليفة</t>
        </is>
      </c>
      <c r="F28" s="4" t="inlineStr"/>
      <c r="G28" s="4" t="inlineStr">
        <is>
          <t>نعم</t>
        </is>
      </c>
      <c r="H28" s="5" t="str">
        <f>IF(E28="","",IF(AND(F28="نعم",G28="نعم"),"جرد + مراجعة",IF(F28="نعم","جرد فقط",IF(G28="نعم","مراجعة فقط",""))))</f>
        <v>مراجعة فقط</v>
      </c>
      <c r="I28" s="9">
        <f>IF(H28="جرد + مراجعة",الإعدادات!$B$2,IF(H28="مراجعة فقط",الإعدادات!$B$3,IF(H28="جرد فقط",الإعدادات!$B$4,0)))</f>
        <v>150</v>
      </c>
    </row>
    <row r="29">
      <c r="A29" s="4" t="inlineStr">
        <is>
          <t>2026-09-29</t>
        </is>
      </c>
      <c r="B29" s="5" t="str">
        <f>IF(A29="","",IFERROR(INDEX('جدول الجرد'!$A$2:$A$29,MATCH(A29,'جدول الجرد'!$B$2:$B$29,0)),""))</f>
        <v>الثلاثاء</v>
      </c>
      <c r="C29" s="5" t="str">
        <f>IF(A29="","",IFERROR(INDEX('جدول الجرد'!$E$2:$E$29,MATCH(A29,'جدول الجرد'!$B$2:$B$29,0)),""))</f>
        <v>الخرج</v>
      </c>
      <c r="D29" s="4" t="n">
        <v>21</v>
      </c>
      <c r="E29" s="4" t="inlineStr">
        <is>
          <t>د. علي خليفة</t>
        </is>
      </c>
      <c r="F29" s="4" t="inlineStr">
        <is>
          <t>نعم</t>
        </is>
      </c>
      <c r="G29" s="4" t="inlineStr">
        <is>
          <t>نعم</t>
        </is>
      </c>
      <c r="H29" s="5" t="str">
        <f>IF(E29="","",IF(AND(F29="نعم",G29="نعم"),"جرد + مراجعة",IF(F29="نعم","جرد فقط",IF(G29="نعم","مراجعة فقط",""))))</f>
        <v>جرد + مراجعة</v>
      </c>
      <c r="I29" s="9">
        <f>IF(H29="جرد + مراجعة",الإعدادات!$B$2,IF(H29="مراجعة فقط",الإعدادات!$B$3,IF(H29="جرد فقط",الإعدادات!$B$4,0)))</f>
        <v>200</v>
      </c>
    </row>
    <row r="30">
      <c r="A30" s="4" t="inlineStr">
        <is>
          <t>2026-09-29</t>
        </is>
      </c>
      <c r="B30" s="5" t="str">
        <f>IF(A30="","",IFERROR(INDEX('جدول الجرد'!$A$2:$A$29,MATCH(A30,'جدول الجرد'!$B$2:$B$29,0)),""))</f>
        <v>الثلاثاء</v>
      </c>
      <c r="C30" s="5" t="str">
        <f>IF(A30="","",IFERROR(INDEX('جدول الجرد'!$E$2:$E$29,MATCH(A30,'جدول الجرد'!$B$2:$B$29,0)),""))</f>
        <v>الخرج</v>
      </c>
      <c r="D30" s="4" t="n">
        <v>21</v>
      </c>
      <c r="E30" s="4" t="inlineStr">
        <is>
          <t>د. السيد حسن</t>
        </is>
      </c>
      <c r="F30" s="4" t="inlineStr"/>
      <c r="G30" s="4" t="inlineStr">
        <is>
          <t>نعم</t>
        </is>
      </c>
      <c r="H30" s="5" t="str">
        <f>IF(E30="","",IF(AND(F30="نعم",G30="نعم"),"جرد + مراجعة",IF(F30="نعم","جرد فقط",IF(G30="نعم","مراجعة فقط",""))))</f>
        <v>مراجعة فقط</v>
      </c>
      <c r="I30" s="9">
        <f>IF(H30="جرد + مراجعة",الإعدادات!$B$2,IF(H30="مراجعة فقط",الإعدادات!$B$3,IF(H30="جرد فقط",الإعدادات!$B$4,0)))</f>
        <v>150</v>
      </c>
    </row>
    <row r="31">
      <c r="A31" s="4" t="inlineStr">
        <is>
          <t>2026-09-29</t>
        </is>
      </c>
      <c r="B31" s="5" t="str">
        <f>IF(A31="","",IFERROR(INDEX('جدول الجرد'!$A$2:$A$29,MATCH(A31,'جدول الجرد'!$B$2:$B$29,0)),""))</f>
        <v>الثلاثاء</v>
      </c>
      <c r="C31" s="5" t="str">
        <f>IF(A31="","",IFERROR(INDEX('جدول الجرد'!$E$2:$E$29,MATCH(A31,'جدول الجرد'!$B$2:$B$29,0)),""))</f>
        <v>الخرج</v>
      </c>
      <c r="D31" s="4" t="n">
        <v>21</v>
      </c>
      <c r="E31" s="4" t="inlineStr">
        <is>
          <t>د. حسام شلش</t>
        </is>
      </c>
      <c r="F31" s="4" t="inlineStr"/>
      <c r="G31" s="4" t="inlineStr">
        <is>
          <t>نعم</t>
        </is>
      </c>
      <c r="H31" s="5" t="str">
        <f>IF(E31="","",IF(AND(F31="نعم",G31="نعم"),"جرد + مراجعة",IF(F31="نعم","جرد فقط",IF(G31="نعم","مراجعة فقط",""))))</f>
        <v>مراجعة فقط</v>
      </c>
      <c r="I31" s="9">
        <f>IF(H31="جرد + مراجعة",الإعدادات!$B$2,IF(H31="مراجعة فقط",الإعدادات!$B$3,IF(H31="جرد فقط",الإعدادات!$B$4,0)))</f>
        <v>150</v>
      </c>
    </row>
    <row r="32">
      <c r="A32" s="4" t="inlineStr">
        <is>
          <t>2026-09-29</t>
        </is>
      </c>
      <c r="B32" s="5" t="str">
        <f>IF(A32="","",IFERROR(INDEX('جدول الجرد'!$A$2:$A$29,MATCH(A32,'جدول الجرد'!$B$2:$B$29,0)),""))</f>
        <v>الثلاثاء</v>
      </c>
      <c r="C32" s="5" t="str">
        <f>IF(A32="","",IFERROR(INDEX('جدول الجرد'!$E$2:$E$29,MATCH(A32,'جدول الجرد'!$B$2:$B$29,0)),""))</f>
        <v>الخرج</v>
      </c>
      <c r="D32" s="4" t="n">
        <v>21</v>
      </c>
      <c r="E32" s="4" t="inlineStr">
        <is>
          <t>د. أيمن حسين</t>
        </is>
      </c>
      <c r="F32" s="4" t="inlineStr"/>
      <c r="G32" s="4" t="inlineStr">
        <is>
          <t>نعم</t>
        </is>
      </c>
      <c r="H32" s="5" t="str">
        <f>IF(E32="","",IF(AND(F32="نعم",G32="نعم"),"جرد + مراجعة",IF(F32="نعم","جرد فقط",IF(G32="نعم","مراجعة فقط",""))))</f>
        <v>مراجعة فقط</v>
      </c>
      <c r="I32" s="9">
        <f>IF(H32="جرد + مراجعة",الإعدادات!$B$2,IF(H32="مراجعة فقط",الإعدادات!$B$3,IF(H32="جرد فقط",الإعدادات!$B$4,0)))</f>
        <v>150</v>
      </c>
    </row>
    <row r="33">
      <c r="A33" s="4" t="inlineStr">
        <is>
          <t>2026-09-29</t>
        </is>
      </c>
      <c r="B33" s="5" t="str">
        <f>IF(A33="","",IFERROR(INDEX('جدول الجرد'!$A$2:$A$29,MATCH(A33,'جدول الجرد'!$B$2:$B$29,0)),""))</f>
        <v>الثلاثاء</v>
      </c>
      <c r="C33" s="5" t="str">
        <f>IF(A33="","",IFERROR(INDEX('جدول الجرد'!$E$2:$E$29,MATCH(A33,'جدول الجرد'!$B$2:$B$29,0)),""))</f>
        <v>الخرج</v>
      </c>
      <c r="D33" s="4" t="n">
        <v>21</v>
      </c>
      <c r="E33" s="4" t="inlineStr">
        <is>
          <t>د. الحسن الغنيمي</t>
        </is>
      </c>
      <c r="F33" s="4" t="inlineStr"/>
      <c r="G33" s="4" t="inlineStr">
        <is>
          <t>نعم</t>
        </is>
      </c>
      <c r="H33" s="5" t="str">
        <f>IF(E33="","",IF(AND(F33="نعم",G33="نعم"),"جرد + مراجعة",IF(F33="نعم","جرد فقط",IF(G33="نعم","مراجعة فقط",""))))</f>
        <v>مراجعة فقط</v>
      </c>
      <c r="I33" s="9">
        <f>IF(H33="جرد + مراجعة",الإعدادات!$B$2,IF(H33="مراجعة فقط",الإعدادات!$B$3,IF(H33="جرد فقط",الإعدادات!$B$4,0)))</f>
        <v>150</v>
      </c>
    </row>
    <row r="34">
      <c r="A34" s="4" t="inlineStr">
        <is>
          <t>2026-09-29</t>
        </is>
      </c>
      <c r="B34" s="5" t="str">
        <f>IF(A34="","",IFERROR(INDEX('جدول الجرد'!$A$2:$A$29,MATCH(A34,'جدول الجرد'!$B$2:$B$29,0)),""))</f>
        <v>الثلاثاء</v>
      </c>
      <c r="C34" s="5" t="str">
        <f>IF(A34="","",IFERROR(INDEX('جدول الجرد'!$E$2:$E$29,MATCH(A34,'جدول الجرد'!$B$2:$B$29,0)),""))</f>
        <v>الخرج</v>
      </c>
      <c r="D34" s="4" t="n">
        <v>30</v>
      </c>
      <c r="E34" s="4" t="inlineStr">
        <is>
          <t>د. علي خليفة</t>
        </is>
      </c>
      <c r="F34" s="4" t="inlineStr">
        <is>
          <t>نعم</t>
        </is>
      </c>
      <c r="G34" s="4" t="inlineStr">
        <is>
          <t>نعم</t>
        </is>
      </c>
      <c r="H34" s="5" t="str">
        <f>IF(E34="","",IF(AND(F34="نعم",G34="نعم"),"جرد + مراجعة",IF(F34="نعم","جرد فقط",IF(G34="نعم","مراجعة فقط",""))))</f>
        <v>جرد + مراجعة</v>
      </c>
      <c r="I34" s="9">
        <f>IF(H34="جرد + مراجعة",الإعدادات!$B$2,IF(H34="مراجعة فقط",الإعدادات!$B$3,IF(H34="جرد فقط",الإعدادات!$B$4,0)))</f>
        <v>200</v>
      </c>
    </row>
    <row r="35">
      <c r="A35" s="4" t="inlineStr">
        <is>
          <t>2026-09-29</t>
        </is>
      </c>
      <c r="B35" s="5" t="str">
        <f>IF(A35="","",IFERROR(INDEX('جدول الجرد'!$A$2:$A$29,MATCH(A35,'جدول الجرد'!$B$2:$B$29,0)),""))</f>
        <v>الثلاثاء</v>
      </c>
      <c r="C35" s="5" t="str">
        <f>IF(A35="","",IFERROR(INDEX('جدول الجرد'!$E$2:$E$29,MATCH(A35,'جدول الجرد'!$B$2:$B$29,0)),""))</f>
        <v>الخرج</v>
      </c>
      <c r="D35" s="4" t="n">
        <v>30</v>
      </c>
      <c r="E35" s="4" t="inlineStr">
        <is>
          <t>د. السيد حسن</t>
        </is>
      </c>
      <c r="F35" s="4" t="inlineStr"/>
      <c r="G35" s="4" t="inlineStr">
        <is>
          <t>نعم</t>
        </is>
      </c>
      <c r="H35" s="5" t="str">
        <f>IF(E35="","",IF(AND(F35="نعم",G35="نعم"),"جرد + مراجعة",IF(F35="نعم","جرد فقط",IF(G35="نعم","مراجعة فقط",""))))</f>
        <v>مراجعة فقط</v>
      </c>
      <c r="I35" s="9">
        <f>IF(H35="جرد + مراجعة",الإعدادات!$B$2,IF(H35="مراجعة فقط",الإعدادات!$B$3,IF(H35="جرد فقط",الإعدادات!$B$4,0)))</f>
        <v>150</v>
      </c>
    </row>
    <row r="36">
      <c r="A36" s="4" t="inlineStr">
        <is>
          <t>2026-09-29</t>
        </is>
      </c>
      <c r="B36" s="5" t="str">
        <f>IF(A36="","",IFERROR(INDEX('جدول الجرد'!$A$2:$A$29,MATCH(A36,'جدول الجرد'!$B$2:$B$29,0)),""))</f>
        <v>الثلاثاء</v>
      </c>
      <c r="C36" s="5" t="str">
        <f>IF(A36="","",IFERROR(INDEX('جدول الجرد'!$E$2:$E$29,MATCH(A36,'جدول الجرد'!$B$2:$B$29,0)),""))</f>
        <v>الخرج</v>
      </c>
      <c r="D36" s="4" t="n">
        <v>30</v>
      </c>
      <c r="E36" s="4" t="inlineStr">
        <is>
          <t>د. حسام شلش</t>
        </is>
      </c>
      <c r="F36" s="4" t="inlineStr"/>
      <c r="G36" s="4" t="inlineStr">
        <is>
          <t>نعم</t>
        </is>
      </c>
      <c r="H36" s="5" t="str">
        <f>IF(E36="","",IF(AND(F36="نعم",G36="نعم"),"جرد + مراجعة",IF(F36="نعم","جرد فقط",IF(G36="نعم","مراجعة فقط",""))))</f>
        <v>مراجعة فقط</v>
      </c>
      <c r="I36" s="9">
        <f>IF(H36="جرد + مراجعة",الإعدادات!$B$2,IF(H36="مراجعة فقط",الإعدادات!$B$3,IF(H36="جرد فقط",الإعدادات!$B$4,0)))</f>
        <v>150</v>
      </c>
    </row>
    <row r="37">
      <c r="A37" s="4" t="inlineStr">
        <is>
          <t>2026-09-29</t>
        </is>
      </c>
      <c r="B37" s="5" t="str">
        <f>IF(A37="","",IFERROR(INDEX('جدول الجرد'!$A$2:$A$29,MATCH(A37,'جدول الجرد'!$B$2:$B$29,0)),""))</f>
        <v>الثلاثاء</v>
      </c>
      <c r="C37" s="5" t="str">
        <f>IF(A37="","",IFERROR(INDEX('جدول الجرد'!$E$2:$E$29,MATCH(A37,'جدول الجرد'!$B$2:$B$29,0)),""))</f>
        <v>الخرج</v>
      </c>
      <c r="D37" s="4" t="n">
        <v>30</v>
      </c>
      <c r="E37" s="4" t="inlineStr">
        <is>
          <t>د. أيمن حسين</t>
        </is>
      </c>
      <c r="F37" s="4" t="inlineStr"/>
      <c r="G37" s="4" t="inlineStr">
        <is>
          <t>نعم</t>
        </is>
      </c>
      <c r="H37" s="5" t="str">
        <f>IF(E37="","",IF(AND(F37="نعم",G37="نعم"),"جرد + مراجعة",IF(F37="نعم","جرد فقط",IF(G37="نعم","مراجعة فقط",""))))</f>
        <v>مراجعة فقط</v>
      </c>
      <c r="I37" s="9">
        <f>IF(H37="جرد + مراجعة",الإعدادات!$B$2,IF(H37="مراجعة فقط",الإعدادات!$B$3,IF(H37="جرد فقط",الإعدادات!$B$4,0)))</f>
        <v>150</v>
      </c>
    </row>
    <row r="38">
      <c r="A38" s="4" t="inlineStr">
        <is>
          <t>2026-09-29</t>
        </is>
      </c>
      <c r="B38" s="5" t="str">
        <f>IF(A38="","",IFERROR(INDEX('جدول الجرد'!$A$2:$A$29,MATCH(A38,'جدول الجرد'!$B$2:$B$29,0)),""))</f>
        <v>الثلاثاء</v>
      </c>
      <c r="C38" s="5" t="str">
        <f>IF(A38="","",IFERROR(INDEX('جدول الجرد'!$E$2:$E$29,MATCH(A38,'جدول الجرد'!$B$2:$B$29,0)),""))</f>
        <v>الخرج</v>
      </c>
      <c r="D38" s="4" t="n">
        <v>30</v>
      </c>
      <c r="E38" s="4" t="inlineStr">
        <is>
          <t>د. الحسن الغنيمي</t>
        </is>
      </c>
      <c r="F38" s="4" t="inlineStr"/>
      <c r="G38" s="4" t="inlineStr">
        <is>
          <t>نعم</t>
        </is>
      </c>
      <c r="H38" s="5" t="str">
        <f>IF(E38="","",IF(AND(F38="نعم",G38="نعم"),"جرد + مراجعة",IF(F38="نعم","جرد فقط",IF(G38="نعم","مراجعة فقط",""))))</f>
        <v>مراجعة فقط</v>
      </c>
      <c r="I38" s="9">
        <f>IF(H38="جرد + مراجعة",الإعدادات!$B$2,IF(H38="مراجعة فقط",الإعدادات!$B$3,IF(H38="جرد فقط",الإعدادات!$B$4,0)))</f>
        <v>150</v>
      </c>
    </row>
    <row r="39">
      <c r="A39" s="4" t="inlineStr">
        <is>
          <t>2026-09-30</t>
        </is>
      </c>
      <c r="B39" s="5" t="str">
        <f>IF(A39="","",IFERROR(INDEX('جدول الجرد'!$A$2:$A$29,MATCH(A39,'جدول الجرد'!$B$2:$B$29,0)),""))</f>
        <v>الأربعاء</v>
      </c>
      <c r="C39" s="5" t="str">
        <f>IF(A39="","",IFERROR(INDEX('جدول الجرد'!$E$2:$E$29,MATCH(A39,'جدول الجرد'!$B$2:$B$29,0)),""))</f>
        <v>الخرج</v>
      </c>
      <c r="D39" s="4" t="n">
        <v>10</v>
      </c>
      <c r="E39" s="4" t="inlineStr">
        <is>
          <t>د. حسام شلش</t>
        </is>
      </c>
      <c r="F39" s="4" t="inlineStr">
        <is>
          <t>نعم</t>
        </is>
      </c>
      <c r="G39" s="4" t="inlineStr">
        <is>
          <t>نعم</t>
        </is>
      </c>
      <c r="H39" s="5" t="str">
        <f>IF(E39="","",IF(AND(F39="نعم",G39="نعم"),"جرد + مراجعة",IF(F39="نعم","جرد فقط",IF(G39="نعم","مراجعة فقط",""))))</f>
        <v>جرد + مراجعة</v>
      </c>
      <c r="I39" s="9">
        <f>IF(H39="جرد + مراجعة",الإعدادات!$B$2,IF(H39="مراجعة فقط",الإعدادات!$B$3,IF(H39="جرد فقط",الإعدادات!$B$4,0)))</f>
        <v>200</v>
      </c>
    </row>
    <row r="40">
      <c r="A40" s="4" t="inlineStr">
        <is>
          <t>2026-09-30</t>
        </is>
      </c>
      <c r="B40" s="5" t="str">
        <f>IF(A40="","",IFERROR(INDEX('جدول الجرد'!$A$2:$A$29,MATCH(A40,'جدول الجرد'!$B$2:$B$29,0)),""))</f>
        <v>الأربعاء</v>
      </c>
      <c r="C40" s="5" t="str">
        <f>IF(A40="","",IFERROR(INDEX('جدول الجرد'!$E$2:$E$29,MATCH(A40,'جدول الجرد'!$B$2:$B$29,0)),""))</f>
        <v>الخرج</v>
      </c>
      <c r="D40" s="4" t="n">
        <v>10</v>
      </c>
      <c r="E40" s="4" t="inlineStr">
        <is>
          <t>د. علي خليفة</t>
        </is>
      </c>
      <c r="F40" s="4" t="inlineStr"/>
      <c r="G40" s="4" t="inlineStr">
        <is>
          <t>نعم</t>
        </is>
      </c>
      <c r="H40" s="5" t="str">
        <f>IF(E40="","",IF(AND(F40="نعم",G40="نعم"),"جرد + مراجعة",IF(F40="نعم","جرد فقط",IF(G40="نعم","مراجعة فقط",""))))</f>
        <v>مراجعة فقط</v>
      </c>
      <c r="I40" s="9">
        <f>IF(H40="جرد + مراجعة",الإعدادات!$B$2,IF(H40="مراجعة فقط",الإعدادات!$B$3,IF(H40="جرد فقط",الإعدادات!$B$4,0)))</f>
        <v>150</v>
      </c>
    </row>
    <row r="41">
      <c r="A41" s="4" t="inlineStr">
        <is>
          <t>2026-09-30</t>
        </is>
      </c>
      <c r="B41" s="5" t="str">
        <f>IF(A41="","",IFERROR(INDEX('جدول الجرد'!$A$2:$A$29,MATCH(A41,'جدول الجرد'!$B$2:$B$29,0)),""))</f>
        <v>الأربعاء</v>
      </c>
      <c r="C41" s="5" t="str">
        <f>IF(A41="","",IFERROR(INDEX('جدول الجرد'!$E$2:$E$29,MATCH(A41,'جدول الجرد'!$B$2:$B$29,0)),""))</f>
        <v>الخرج</v>
      </c>
      <c r="D41" s="4" t="n">
        <v>10</v>
      </c>
      <c r="E41" s="4" t="inlineStr">
        <is>
          <t>د. السيد حسن</t>
        </is>
      </c>
      <c r="F41" s="4" t="inlineStr"/>
      <c r="G41" s="4" t="inlineStr">
        <is>
          <t>نعم</t>
        </is>
      </c>
      <c r="H41" s="5" t="str">
        <f>IF(E41="","",IF(AND(F41="نعم",G41="نعم"),"جرد + مراجعة",IF(F41="نعم","جرد فقط",IF(G41="نعم","مراجعة فقط",""))))</f>
        <v>مراجعة فقط</v>
      </c>
      <c r="I41" s="9">
        <f>IF(H41="جرد + مراجعة",الإعدادات!$B$2,IF(H41="مراجعة فقط",الإعدادات!$B$3,IF(H41="جرد فقط",الإعدادات!$B$4,0)))</f>
        <v>150</v>
      </c>
    </row>
    <row r="42">
      <c r="A42" s="4" t="inlineStr">
        <is>
          <t>2026-09-30</t>
        </is>
      </c>
      <c r="B42" s="5" t="str">
        <f>IF(A42="","",IFERROR(INDEX('جدول الجرد'!$A$2:$A$29,MATCH(A42,'جدول الجرد'!$B$2:$B$29,0)),""))</f>
        <v>الأربعاء</v>
      </c>
      <c r="C42" s="5" t="str">
        <f>IF(A42="","",IFERROR(INDEX('جدول الجرد'!$E$2:$E$29,MATCH(A42,'جدول الجرد'!$B$2:$B$29,0)),""))</f>
        <v>الخرج</v>
      </c>
      <c r="D42" s="4" t="n">
        <v>10</v>
      </c>
      <c r="E42" s="4" t="inlineStr">
        <is>
          <t>د. أيمن حسين</t>
        </is>
      </c>
      <c r="F42" s="4" t="inlineStr"/>
      <c r="G42" s="4" t="inlineStr">
        <is>
          <t>نعم</t>
        </is>
      </c>
      <c r="H42" s="5" t="str">
        <f>IF(E42="","",IF(AND(F42="نعم",G42="نعم"),"جرد + مراجعة",IF(F42="نعم","جرد فقط",IF(G42="نعم","مراجعة فقط",""))))</f>
        <v>مراجعة فقط</v>
      </c>
      <c r="I42" s="9">
        <f>IF(H42="جرد + مراجعة",الإعدادات!$B$2,IF(H42="مراجعة فقط",الإعدادات!$B$3,IF(H42="جرد فقط",الإعدادات!$B$4,0)))</f>
        <v>150</v>
      </c>
    </row>
    <row r="43">
      <c r="A43" s="4" t="inlineStr">
        <is>
          <t>2026-09-30</t>
        </is>
      </c>
      <c r="B43" s="5" t="str">
        <f>IF(A43="","",IFERROR(INDEX('جدول الجرد'!$A$2:$A$29,MATCH(A43,'جدول الجرد'!$B$2:$B$29,0)),""))</f>
        <v>الأربعاء</v>
      </c>
      <c r="C43" s="5" t="str">
        <f>IF(A43="","",IFERROR(INDEX('جدول الجرد'!$E$2:$E$29,MATCH(A43,'جدول الجرد'!$B$2:$B$29,0)),""))</f>
        <v>الخرج</v>
      </c>
      <c r="D43" s="4" t="n">
        <v>17</v>
      </c>
      <c r="E43" s="4" t="inlineStr">
        <is>
          <t>د. حسام شلش</t>
        </is>
      </c>
      <c r="F43" s="4" t="inlineStr">
        <is>
          <t>نعم</t>
        </is>
      </c>
      <c r="G43" s="4" t="inlineStr">
        <is>
          <t>نعم</t>
        </is>
      </c>
      <c r="H43" s="5" t="str">
        <f>IF(E43="","",IF(AND(F43="نعم",G43="نعم"),"جرد + مراجعة",IF(F43="نعم","جرد فقط",IF(G43="نعم","مراجعة فقط",""))))</f>
        <v>جرد + مراجعة</v>
      </c>
      <c r="I43" s="9">
        <f>IF(H43="جرد + مراجعة",الإعدادات!$B$2,IF(H43="مراجعة فقط",الإعدادات!$B$3,IF(H43="جرد فقط",الإعدادات!$B$4,0)))</f>
        <v>200</v>
      </c>
    </row>
    <row r="44">
      <c r="A44" s="4" t="inlineStr">
        <is>
          <t>2026-09-30</t>
        </is>
      </c>
      <c r="B44" s="5" t="str">
        <f>IF(A44="","",IFERROR(INDEX('جدول الجرد'!$A$2:$A$29,MATCH(A44,'جدول الجرد'!$B$2:$B$29,0)),""))</f>
        <v>الأربعاء</v>
      </c>
      <c r="C44" s="5" t="str">
        <f>IF(A44="","",IFERROR(INDEX('جدول الجرد'!$E$2:$E$29,MATCH(A44,'جدول الجرد'!$B$2:$B$29,0)),""))</f>
        <v>الخرج</v>
      </c>
      <c r="D44" s="4" t="n">
        <v>17</v>
      </c>
      <c r="E44" s="4" t="inlineStr">
        <is>
          <t>د. علي خليفة</t>
        </is>
      </c>
      <c r="F44" s="4" t="inlineStr"/>
      <c r="G44" s="4" t="inlineStr">
        <is>
          <t>نعم</t>
        </is>
      </c>
      <c r="H44" s="5" t="str">
        <f>IF(E44="","",IF(AND(F44="نعم",G44="نعم"),"جرد + مراجعة",IF(F44="نعم","جرد فقط",IF(G44="نعم","مراجعة فقط",""))))</f>
        <v>مراجعة فقط</v>
      </c>
      <c r="I44" s="9">
        <f>IF(H44="جرد + مراجعة",الإعدادات!$B$2,IF(H44="مراجعة فقط",الإعدادات!$B$3,IF(H44="جرد فقط",الإعدادات!$B$4,0)))</f>
        <v>150</v>
      </c>
    </row>
    <row r="45">
      <c r="A45" s="4" t="inlineStr">
        <is>
          <t>2026-09-30</t>
        </is>
      </c>
      <c r="B45" s="5" t="str">
        <f>IF(A45="","",IFERROR(INDEX('جدول الجرد'!$A$2:$A$29,MATCH(A45,'جدول الجرد'!$B$2:$B$29,0)),""))</f>
        <v>الأربعاء</v>
      </c>
      <c r="C45" s="5" t="str">
        <f>IF(A45="","",IFERROR(INDEX('جدول الجرد'!$E$2:$E$29,MATCH(A45,'جدول الجرد'!$B$2:$B$29,0)),""))</f>
        <v>الخرج</v>
      </c>
      <c r="D45" s="4" t="n">
        <v>17</v>
      </c>
      <c r="E45" s="4" t="inlineStr">
        <is>
          <t>د. السيد حسن</t>
        </is>
      </c>
      <c r="F45" s="4" t="inlineStr"/>
      <c r="G45" s="4" t="inlineStr">
        <is>
          <t>نعم</t>
        </is>
      </c>
      <c r="H45" s="5" t="str">
        <f>IF(E45="","",IF(AND(F45="نعم",G45="نعم"),"جرد + مراجعة",IF(F45="نعم","جرد فقط",IF(G45="نعم","مراجعة فقط",""))))</f>
        <v>مراجعة فقط</v>
      </c>
      <c r="I45" s="9">
        <f>IF(H45="جرد + مراجعة",الإعدادات!$B$2,IF(H45="مراجعة فقط",الإعدادات!$B$3,IF(H45="جرد فقط",الإعدادات!$B$4,0)))</f>
        <v>150</v>
      </c>
    </row>
    <row r="46">
      <c r="A46" s="4" t="inlineStr">
        <is>
          <t>2026-09-30</t>
        </is>
      </c>
      <c r="B46" s="5" t="str">
        <f>IF(A46="","",IFERROR(INDEX('جدول الجرد'!$A$2:$A$29,MATCH(A46,'جدول الجرد'!$B$2:$B$29,0)),""))</f>
        <v>الأربعاء</v>
      </c>
      <c r="C46" s="5" t="str">
        <f>IF(A46="","",IFERROR(INDEX('جدول الجرد'!$E$2:$E$29,MATCH(A46,'جدول الجرد'!$B$2:$B$29,0)),""))</f>
        <v>الخرج</v>
      </c>
      <c r="D46" s="4" t="n">
        <v>17</v>
      </c>
      <c r="E46" s="4" t="inlineStr">
        <is>
          <t>د. أيمن حسين</t>
        </is>
      </c>
      <c r="F46" s="4" t="inlineStr"/>
      <c r="G46" s="4" t="inlineStr">
        <is>
          <t>نعم</t>
        </is>
      </c>
      <c r="H46" s="5" t="str">
        <f>IF(E46="","",IF(AND(F46="نعم",G46="نعم"),"جرد + مراجعة",IF(F46="نعم","جرد فقط",IF(G46="نعم","مراجعة فقط",""))))</f>
        <v>مراجعة فقط</v>
      </c>
      <c r="I46" s="9">
        <f>IF(H46="جرد + مراجعة",الإعدادات!$B$2,IF(H46="مراجعة فقط",الإعدادات!$B$3,IF(H46="جرد فقط",الإعدادات!$B$4,0)))</f>
        <v>150</v>
      </c>
    </row>
    <row r="47">
      <c r="A47" s="4" t="inlineStr">
        <is>
          <t>2026-09-30</t>
        </is>
      </c>
      <c r="B47" s="5" t="str">
        <f>IF(A47="","",IFERROR(INDEX('جدول الجرد'!$A$2:$A$29,MATCH(A47,'جدول الجرد'!$B$2:$B$29,0)),""))</f>
        <v>الأربعاء</v>
      </c>
      <c r="C47" s="5" t="str">
        <f>IF(A47="","",IFERROR(INDEX('جدول الجرد'!$E$2:$E$29,MATCH(A47,'جدول الجرد'!$B$2:$B$29,0)),""))</f>
        <v>الخرج</v>
      </c>
      <c r="D47" s="4" t="n">
        <v>17</v>
      </c>
      <c r="E47" s="4" t="inlineStr">
        <is>
          <t>د. الحسن الغنيمي</t>
        </is>
      </c>
      <c r="F47" s="4" t="inlineStr"/>
      <c r="G47" s="4" t="inlineStr">
        <is>
          <t>نعم</t>
        </is>
      </c>
      <c r="H47" s="5" t="str">
        <f>IF(E47="","",IF(AND(F47="نعم",G47="نعم"),"جرد + مراجعة",IF(F47="نعم","جرد فقط",IF(G47="نعم","مراجعة فقط",""))))</f>
        <v>مراجعة فقط</v>
      </c>
      <c r="I47" s="9">
        <f>IF(H47="جرد + مراجعة",الإعدادات!$B$2,IF(H47="مراجعة فقط",الإعدادات!$B$3,IF(H47="جرد فقط",الإعدادات!$B$4,0)))</f>
        <v>150</v>
      </c>
    </row>
    <row r="48">
      <c r="A48" s="4" t="inlineStr">
        <is>
          <t>2026-10-01</t>
        </is>
      </c>
      <c r="B48" s="5" t="str">
        <f>IF(A48="","",IFERROR(INDEX('جدول الجرد'!$A$2:$A$29,MATCH(A48,'جدول الجرد'!$B$2:$B$29,0)),""))</f>
        <v>الخميس</v>
      </c>
      <c r="C48" s="5" t="str">
        <f>IF(A48="","",IFERROR(INDEX('جدول الجرد'!$E$2:$E$29,MATCH(A48,'جدول الجرد'!$B$2:$B$29,0)),""))</f>
        <v>الدلم</v>
      </c>
      <c r="D48" s="4" t="n">
        <v>28</v>
      </c>
      <c r="E48" s="4" t="inlineStr">
        <is>
          <t>د. علي خليفة</t>
        </is>
      </c>
      <c r="F48" s="4" t="inlineStr">
        <is>
          <t>نعم</t>
        </is>
      </c>
      <c r="G48" s="4" t="inlineStr">
        <is>
          <t>نعم</t>
        </is>
      </c>
      <c r="H48" s="5" t="str">
        <f>IF(E48="","",IF(AND(F48="نعم",G48="نعم"),"جرد + مراجعة",IF(F48="نعم","جرد فقط",IF(G48="نعم","مراجعة فقط",""))))</f>
        <v>جرد + مراجعة</v>
      </c>
      <c r="I48" s="9">
        <f>IF(H48="جرد + مراجعة",الإعدادات!$B$2,IF(H48="مراجعة فقط",الإعدادات!$B$3,IF(H48="جرد فقط",الإعدادات!$B$4,0)))</f>
        <v>200</v>
      </c>
    </row>
    <row r="49">
      <c r="A49" s="4" t="inlineStr">
        <is>
          <t>2026-10-01</t>
        </is>
      </c>
      <c r="B49" s="5" t="str">
        <f>IF(A49="","",IFERROR(INDEX('جدول الجرد'!$A$2:$A$29,MATCH(A49,'جدول الجرد'!$B$2:$B$29,0)),""))</f>
        <v>الخميس</v>
      </c>
      <c r="C49" s="5" t="str">
        <f>IF(A49="","",IFERROR(INDEX('جدول الجرد'!$E$2:$E$29,MATCH(A49,'جدول الجرد'!$B$2:$B$29,0)),""))</f>
        <v>الدلم</v>
      </c>
      <c r="D49" s="4" t="n">
        <v>28</v>
      </c>
      <c r="E49" s="4" t="inlineStr">
        <is>
          <t>د. حسام شلش</t>
        </is>
      </c>
      <c r="F49" s="4" t="inlineStr"/>
      <c r="G49" s="4" t="inlineStr">
        <is>
          <t>نعم</t>
        </is>
      </c>
      <c r="H49" s="5" t="str">
        <f>IF(E49="","",IF(AND(F49="نعم",G49="نعم"),"جرد + مراجعة",IF(F49="نعم","جرد فقط",IF(G49="نعم","مراجعة فقط",""))))</f>
        <v>مراجعة فقط</v>
      </c>
      <c r="I49" s="9">
        <f>IF(H49="جرد + مراجعة",الإعدادات!$B$2,IF(H49="مراجعة فقط",الإعدادات!$B$3,IF(H49="جرد فقط",الإعدادات!$B$4,0)))</f>
        <v>150</v>
      </c>
    </row>
    <row r="50">
      <c r="A50" s="4" t="inlineStr">
        <is>
          <t>2026-10-01</t>
        </is>
      </c>
      <c r="B50" s="5" t="str">
        <f>IF(A50="","",IFERROR(INDEX('جدول الجرد'!$A$2:$A$29,MATCH(A50,'جدول الجرد'!$B$2:$B$29,0)),""))</f>
        <v>الخميس</v>
      </c>
      <c r="C50" s="5" t="str">
        <f>IF(A50="","",IFERROR(INDEX('جدول الجرد'!$E$2:$E$29,MATCH(A50,'جدول الجرد'!$B$2:$B$29,0)),""))</f>
        <v>الدلم</v>
      </c>
      <c r="D50" s="4" t="n">
        <v>28</v>
      </c>
      <c r="E50" s="4" t="inlineStr">
        <is>
          <t>د. السيد حسن</t>
        </is>
      </c>
      <c r="F50" s="4" t="inlineStr"/>
      <c r="G50" s="4" t="inlineStr">
        <is>
          <t>نعم</t>
        </is>
      </c>
      <c r="H50" s="5" t="str">
        <f>IF(E50="","",IF(AND(F50="نعم",G50="نعم"),"جرد + مراجعة",IF(F50="نعم","جرد فقط",IF(G50="نعم","مراجعة فقط",""))))</f>
        <v>مراجعة فقط</v>
      </c>
      <c r="I50" s="9">
        <f>IF(H50="جرد + مراجعة",الإعدادات!$B$2,IF(H50="مراجعة فقط",الإعدادات!$B$3,IF(H50="جرد فقط",الإعدادات!$B$4,0)))</f>
        <v>150</v>
      </c>
    </row>
    <row r="51">
      <c r="A51" s="4" t="inlineStr">
        <is>
          <t>2026-10-01</t>
        </is>
      </c>
      <c r="B51" s="5" t="str">
        <f>IF(A51="","",IFERROR(INDEX('جدول الجرد'!$A$2:$A$29,MATCH(A51,'جدول الجرد'!$B$2:$B$29,0)),""))</f>
        <v>الخميس</v>
      </c>
      <c r="C51" s="5" t="str">
        <f>IF(A51="","",IFERROR(INDEX('جدول الجرد'!$E$2:$E$29,MATCH(A51,'جدول الجرد'!$B$2:$B$29,0)),""))</f>
        <v>الدلم</v>
      </c>
      <c r="D51" s="4" t="n">
        <v>28</v>
      </c>
      <c r="E51" s="4" t="inlineStr">
        <is>
          <t>د. أيمن حسين</t>
        </is>
      </c>
      <c r="F51" s="4" t="inlineStr"/>
      <c r="G51" s="4" t="inlineStr">
        <is>
          <t>نعم</t>
        </is>
      </c>
      <c r="H51" s="5" t="str">
        <f>IF(E51="","",IF(AND(F51="نعم",G51="نعم"),"جرد + مراجعة",IF(F51="نعم","جرد فقط",IF(G51="نعم","مراجعة فقط",""))))</f>
        <v>مراجعة فقط</v>
      </c>
      <c r="I51" s="9">
        <f>IF(H51="جرد + مراجعة",الإعدادات!$B$2,IF(H51="مراجعة فقط",الإعدادات!$B$3,IF(H51="جرد فقط",الإعدادات!$B$4,0)))</f>
        <v>150</v>
      </c>
    </row>
    <row r="52">
      <c r="A52" s="4" t="inlineStr">
        <is>
          <t>2026-10-01</t>
        </is>
      </c>
      <c r="B52" s="5" t="str">
        <f>IF(A52="","",IFERROR(INDEX('جدول الجرد'!$A$2:$A$29,MATCH(A52,'جدول الجرد'!$B$2:$B$29,0)),""))</f>
        <v>الخميس</v>
      </c>
      <c r="C52" s="5" t="str">
        <f>IF(A52="","",IFERROR(INDEX('جدول الجرد'!$E$2:$E$29,MATCH(A52,'جدول الجرد'!$B$2:$B$29,0)),""))</f>
        <v>الدلم</v>
      </c>
      <c r="D52" s="4" t="n">
        <v>28</v>
      </c>
      <c r="E52" s="4" t="inlineStr">
        <is>
          <t>د. الحسن الغنيمي</t>
        </is>
      </c>
      <c r="F52" s="4" t="inlineStr"/>
      <c r="G52" s="4" t="inlineStr">
        <is>
          <t>نعم</t>
        </is>
      </c>
      <c r="H52" s="5" t="str">
        <f>IF(E52="","",IF(AND(F52="نعم",G52="نعم"),"جرد + مراجعة",IF(F52="نعم","جرد فقط",IF(G52="نعم","مراجعة فقط",""))))</f>
        <v>مراجعة فقط</v>
      </c>
      <c r="I52" s="9">
        <f>IF(H52="جرد + مراجعة",الإعدادات!$B$2,IF(H52="مراجعة فقط",الإعدادات!$B$3,IF(H52="جرد فقط",الإعدادات!$B$4,0)))</f>
        <v>150</v>
      </c>
    </row>
    <row r="53">
      <c r="A53" s="4" t="inlineStr">
        <is>
          <t>2026-10-02</t>
        </is>
      </c>
      <c r="B53" s="5" t="str">
        <f>IF(A53="","",IFERROR(INDEX('جدول الجرد'!$A$2:$A$29,MATCH(A53,'جدول الجرد'!$B$2:$B$29,0)),""))</f>
        <v>الجمعة</v>
      </c>
      <c r="C53" s="5" t="str">
        <f>IF(A53="","",IFERROR(INDEX('جدول الجرد'!$E$2:$E$29,MATCH(A53,'جدول الجرد'!$B$2:$B$29,0)),""))</f>
        <v>الدلم</v>
      </c>
      <c r="D53" s="4" t="n">
        <v>7</v>
      </c>
      <c r="E53" s="4" t="inlineStr">
        <is>
          <t>د. حسام شلش</t>
        </is>
      </c>
      <c r="F53" s="4" t="inlineStr">
        <is>
          <t>نعم</t>
        </is>
      </c>
      <c r="G53" s="4" t="inlineStr">
        <is>
          <t>نعم</t>
        </is>
      </c>
      <c r="H53" s="5" t="str">
        <f>IF(E53="","",IF(AND(F53="نعم",G53="نعم"),"جرد + مراجعة",IF(F53="نعم","جرد فقط",IF(G53="نعم","مراجعة فقط",""))))</f>
        <v>جرد + مراجعة</v>
      </c>
      <c r="I53" s="9">
        <f>IF(H53="جرد + مراجعة",الإعدادات!$B$2,IF(H53="مراجعة فقط",الإعدادات!$B$3,IF(H53="جرد فقط",الإعدادات!$B$4,0)))</f>
        <v>200</v>
      </c>
    </row>
    <row r="54">
      <c r="A54" s="4" t="inlineStr">
        <is>
          <t>2026-10-02</t>
        </is>
      </c>
      <c r="B54" s="5" t="str">
        <f>IF(A54="","",IFERROR(INDEX('جدول الجرد'!$A$2:$A$29,MATCH(A54,'جدول الجرد'!$B$2:$B$29,0)),""))</f>
        <v>الجمعة</v>
      </c>
      <c r="C54" s="5" t="str">
        <f>IF(A54="","",IFERROR(INDEX('جدول الجرد'!$E$2:$E$29,MATCH(A54,'جدول الجرد'!$B$2:$B$29,0)),""))</f>
        <v>الدلم</v>
      </c>
      <c r="D54" s="4" t="n">
        <v>7</v>
      </c>
      <c r="E54" s="4" t="inlineStr">
        <is>
          <t>د. السيد حسن</t>
        </is>
      </c>
      <c r="F54" s="4" t="inlineStr"/>
      <c r="G54" s="4" t="inlineStr">
        <is>
          <t>نعم</t>
        </is>
      </c>
      <c r="H54" s="5" t="str">
        <f>IF(E54="","",IF(AND(F54="نعم",G54="نعم"),"جرد + مراجعة",IF(F54="نعم","جرد فقط",IF(G54="نعم","مراجعة فقط",""))))</f>
        <v>مراجعة فقط</v>
      </c>
      <c r="I54" s="9">
        <f>IF(H54="جرد + مراجعة",الإعدادات!$B$2,IF(H54="مراجعة فقط",الإعدادات!$B$3,IF(H54="جرد فقط",الإعدادات!$B$4,0)))</f>
        <v>150</v>
      </c>
    </row>
    <row r="55">
      <c r="A55" s="4" t="inlineStr">
        <is>
          <t>2026-10-02</t>
        </is>
      </c>
      <c r="B55" s="5" t="str">
        <f>IF(A55="","",IFERROR(INDEX('جدول الجرد'!$A$2:$A$29,MATCH(A55,'جدول الجرد'!$B$2:$B$29,0)),""))</f>
        <v>الجمعة</v>
      </c>
      <c r="C55" s="5" t="str">
        <f>IF(A55="","",IFERROR(INDEX('جدول الجرد'!$E$2:$E$29,MATCH(A55,'جدول الجرد'!$B$2:$B$29,0)),""))</f>
        <v>الدلم</v>
      </c>
      <c r="D55" s="4" t="n">
        <v>7</v>
      </c>
      <c r="E55" s="4" t="inlineStr">
        <is>
          <t>د. علي خليفة</t>
        </is>
      </c>
      <c r="F55" s="4" t="inlineStr"/>
      <c r="G55" s="4" t="inlineStr">
        <is>
          <t>نعم</t>
        </is>
      </c>
      <c r="H55" s="5" t="str">
        <f>IF(E55="","",IF(AND(F55="نعم",G55="نعم"),"جرد + مراجعة",IF(F55="نعم","جرد فقط",IF(G55="نعم","مراجعة فقط",""))))</f>
        <v>مراجعة فقط</v>
      </c>
      <c r="I55" s="9">
        <f>IF(H55="جرد + مراجعة",الإعدادات!$B$2,IF(H55="مراجعة فقط",الإعدادات!$B$3,IF(H55="جرد فقط",الإعدادات!$B$4,0)))</f>
        <v>150</v>
      </c>
    </row>
    <row r="56">
      <c r="A56" s="4" t="inlineStr">
        <is>
          <t>2026-10-02</t>
        </is>
      </c>
      <c r="B56" s="5" t="str">
        <f>IF(A56="","",IFERROR(INDEX('جدول الجرد'!$A$2:$A$29,MATCH(A56,'جدول الجرد'!$B$2:$B$29,0)),""))</f>
        <v>الجمعة</v>
      </c>
      <c r="C56" s="5" t="str">
        <f>IF(A56="","",IFERROR(INDEX('جدول الجرد'!$E$2:$E$29,MATCH(A56,'جدول الجرد'!$B$2:$B$29,0)),""))</f>
        <v>الدلم</v>
      </c>
      <c r="D56" s="4" t="n">
        <v>7</v>
      </c>
      <c r="E56" s="4" t="inlineStr">
        <is>
          <t>د. أيمن حسين</t>
        </is>
      </c>
      <c r="F56" s="4" t="inlineStr"/>
      <c r="G56" s="4" t="inlineStr">
        <is>
          <t>نعم</t>
        </is>
      </c>
      <c r="H56" s="5" t="str">
        <f>IF(E56="","",IF(AND(F56="نعم",G56="نعم"),"جرد + مراجعة",IF(F56="نعم","جرد فقط",IF(G56="نعم","مراجعة فقط",""))))</f>
        <v>مراجعة فقط</v>
      </c>
      <c r="I56" s="9">
        <f>IF(H56="جرد + مراجعة",الإعدادات!$B$2,IF(H56="مراجعة فقط",الإعدادات!$B$3,IF(H56="جرد فقط",الإعدادات!$B$4,0)))</f>
        <v>150</v>
      </c>
    </row>
    <row r="57">
      <c r="A57" s="4" t="inlineStr">
        <is>
          <t>2026-10-02</t>
        </is>
      </c>
      <c r="B57" s="5" t="str">
        <f>IF(A57="","",IFERROR(INDEX('جدول الجرد'!$A$2:$A$29,MATCH(A57,'جدول الجرد'!$B$2:$B$29,0)),""))</f>
        <v>الجمعة</v>
      </c>
      <c r="C57" s="5" t="str">
        <f>IF(A57="","",IFERROR(INDEX('جدول الجرد'!$E$2:$E$29,MATCH(A57,'جدول الجرد'!$B$2:$B$29,0)),""))</f>
        <v>الدلم</v>
      </c>
      <c r="D57" s="4" t="n">
        <v>7</v>
      </c>
      <c r="E57" s="4" t="inlineStr">
        <is>
          <t>د. الحسن الغنيمي</t>
        </is>
      </c>
      <c r="F57" s="4" t="inlineStr"/>
      <c r="G57" s="4" t="inlineStr">
        <is>
          <t>نعم</t>
        </is>
      </c>
      <c r="H57" s="5" t="str">
        <f>IF(E57="","",IF(AND(F57="نعم",G57="نعم"),"جرد + مراجعة",IF(F57="نعم","جرد فقط",IF(G57="نعم","مراجعة فقط",""))))</f>
        <v>مراجعة فقط</v>
      </c>
      <c r="I57" s="9">
        <f>IF(H57="جرد + مراجعة",الإعدادات!$B$2,IF(H57="مراجعة فقط",الإعدادات!$B$3,IF(H57="جرد فقط",الإعدادات!$B$4,0)))</f>
        <v>150</v>
      </c>
    </row>
    <row r="58">
      <c r="A58" s="4" t="inlineStr">
        <is>
          <t>2026-10-03</t>
        </is>
      </c>
      <c r="B58" s="5" t="str">
        <f>IF(A58="","",IFERROR(INDEX('جدول الجرد'!$A$2:$A$29,MATCH(A58,'جدول الجرد'!$B$2:$B$29,0)),""))</f>
        <v>السبت</v>
      </c>
      <c r="C58" s="5" t="str">
        <f>IF(A58="","",IFERROR(INDEX('جدول الجرد'!$E$2:$E$29,MATCH(A58,'جدول الجرد'!$B$2:$B$29,0)),""))</f>
        <v>الدلم</v>
      </c>
      <c r="D58" s="4" t="n">
        <v>9</v>
      </c>
      <c r="E58" s="4" t="inlineStr">
        <is>
          <t>د. علي خليفة</t>
        </is>
      </c>
      <c r="F58" s="4" t="inlineStr">
        <is>
          <t>نعم</t>
        </is>
      </c>
      <c r="G58" s="4" t="inlineStr">
        <is>
          <t>نعم</t>
        </is>
      </c>
      <c r="H58" s="5" t="str">
        <f>IF(E58="","",IF(AND(F58="نعم",G58="نعم"),"جرد + مراجعة",IF(F58="نعم","جرد فقط",IF(G58="نعم","مراجعة فقط",""))))</f>
        <v>جرد + مراجعة</v>
      </c>
      <c r="I58" s="9">
        <f>IF(H58="جرد + مراجعة",الإعدادات!$B$2,IF(H58="مراجعة فقط",الإعدادات!$B$3,IF(H58="جرد فقط",الإعدادات!$B$4,0)))</f>
        <v>200</v>
      </c>
    </row>
    <row r="59">
      <c r="A59" s="4" t="inlineStr">
        <is>
          <t>2026-10-03</t>
        </is>
      </c>
      <c r="B59" s="5" t="str">
        <f>IF(A59="","",IFERROR(INDEX('جدول الجرد'!$A$2:$A$29,MATCH(A59,'جدول الجرد'!$B$2:$B$29,0)),""))</f>
        <v>السبت</v>
      </c>
      <c r="C59" s="5" t="str">
        <f>IF(A59="","",IFERROR(INDEX('جدول الجرد'!$E$2:$E$29,MATCH(A59,'جدول الجرد'!$B$2:$B$29,0)),""))</f>
        <v>الدلم</v>
      </c>
      <c r="D59" s="4" t="n">
        <v>9</v>
      </c>
      <c r="E59" s="4" t="inlineStr">
        <is>
          <t>د. حسام شلش</t>
        </is>
      </c>
      <c r="F59" s="4" t="inlineStr"/>
      <c r="G59" s="4" t="inlineStr">
        <is>
          <t>نعم</t>
        </is>
      </c>
      <c r="H59" s="5" t="str">
        <f>IF(E59="","",IF(AND(F59="نعم",G59="نعم"),"جرد + مراجعة",IF(F59="نعم","جرد فقط",IF(G59="نعم","مراجعة فقط",""))))</f>
        <v>مراجعة فقط</v>
      </c>
      <c r="I59" s="9">
        <f>IF(H59="جرد + مراجعة",الإعدادات!$B$2,IF(H59="مراجعة فقط",الإعدادات!$B$3,IF(H59="جرد فقط",الإعدادات!$B$4,0)))</f>
        <v>150</v>
      </c>
    </row>
    <row r="60">
      <c r="A60" s="4" t="inlineStr">
        <is>
          <t>2026-10-03</t>
        </is>
      </c>
      <c r="B60" s="5" t="str">
        <f>IF(A60="","",IFERROR(INDEX('جدول الجرد'!$A$2:$A$29,MATCH(A60,'جدول الجرد'!$B$2:$B$29,0)),""))</f>
        <v>السبت</v>
      </c>
      <c r="C60" s="5" t="str">
        <f>IF(A60="","",IFERROR(INDEX('جدول الجرد'!$E$2:$E$29,MATCH(A60,'جدول الجرد'!$B$2:$B$29,0)),""))</f>
        <v>الدلم</v>
      </c>
      <c r="D60" s="4" t="n">
        <v>9</v>
      </c>
      <c r="E60" s="4" t="inlineStr">
        <is>
          <t>د. السيد حسن</t>
        </is>
      </c>
      <c r="F60" s="4" t="inlineStr"/>
      <c r="G60" s="4" t="inlineStr">
        <is>
          <t>نعم</t>
        </is>
      </c>
      <c r="H60" s="5" t="str">
        <f>IF(E60="","",IF(AND(F60="نعم",G60="نعم"),"جرد + مراجعة",IF(F60="نعم","جرد فقط",IF(G60="نعم","مراجعة فقط",""))))</f>
        <v>مراجعة فقط</v>
      </c>
      <c r="I60" s="9">
        <f>IF(H60="جرد + مراجعة",الإعدادات!$B$2,IF(H60="مراجعة فقط",الإعدادات!$B$3,IF(H60="جرد فقط",الإعدادات!$B$4,0)))</f>
        <v>150</v>
      </c>
    </row>
    <row r="61">
      <c r="A61" s="4" t="inlineStr">
        <is>
          <t>2026-10-03</t>
        </is>
      </c>
      <c r="B61" s="5" t="str">
        <f>IF(A61="","",IFERROR(INDEX('جدول الجرد'!$A$2:$A$29,MATCH(A61,'جدول الجرد'!$B$2:$B$29,0)),""))</f>
        <v>السبت</v>
      </c>
      <c r="C61" s="5" t="str">
        <f>IF(A61="","",IFERROR(INDEX('جدول الجرد'!$E$2:$E$29,MATCH(A61,'جدول الجرد'!$B$2:$B$29,0)),""))</f>
        <v>الدلم</v>
      </c>
      <c r="D61" s="4" t="n">
        <v>9</v>
      </c>
      <c r="E61" s="4" t="inlineStr">
        <is>
          <t>د. أيمن حسين</t>
        </is>
      </c>
      <c r="F61" s="4" t="inlineStr"/>
      <c r="G61" s="4" t="inlineStr">
        <is>
          <t>نعم</t>
        </is>
      </c>
      <c r="H61" s="5" t="str">
        <f>IF(E61="","",IF(AND(F61="نعم",G61="نعم"),"جرد + مراجعة",IF(F61="نعم","جرد فقط",IF(G61="نعم","مراجعة فقط",""))))</f>
        <v>مراجعة فقط</v>
      </c>
      <c r="I61" s="9">
        <f>IF(H61="جرد + مراجعة",الإعدادات!$B$2,IF(H61="مراجعة فقط",الإعدادات!$B$3,IF(H61="جرد فقط",الإعدادات!$B$4,0)))</f>
        <v>150</v>
      </c>
    </row>
    <row r="62">
      <c r="A62" s="4" t="inlineStr">
        <is>
          <t>2026-10-03</t>
        </is>
      </c>
      <c r="B62" s="5" t="str">
        <f>IF(A62="","",IFERROR(INDEX('جدول الجرد'!$A$2:$A$29,MATCH(A62,'جدول الجرد'!$B$2:$B$29,0)),""))</f>
        <v>السبت</v>
      </c>
      <c r="C62" s="5" t="str">
        <f>IF(A62="","",IFERROR(INDEX('جدول الجرد'!$E$2:$E$29,MATCH(A62,'جدول الجرد'!$B$2:$B$29,0)),""))</f>
        <v>الدلم</v>
      </c>
      <c r="D62" s="4" t="n">
        <v>9</v>
      </c>
      <c r="E62" s="4" t="inlineStr">
        <is>
          <t>د. الحسن الغنيمي</t>
        </is>
      </c>
      <c r="F62" s="4" t="inlineStr"/>
      <c r="G62" s="4" t="inlineStr">
        <is>
          <t>نعم</t>
        </is>
      </c>
      <c r="H62" s="5" t="str">
        <f>IF(E62="","",IF(AND(F62="نعم",G62="نعم"),"جرد + مراجعة",IF(F62="نعم","جرد فقط",IF(G62="نعم","مراجعة فقط",""))))</f>
        <v>مراجعة فقط</v>
      </c>
      <c r="I62" s="9">
        <f>IF(H62="جرد + مراجعة",الإعدادات!$B$2,IF(H62="مراجعة فقط",الإعدادات!$B$3,IF(H62="جرد فقط",الإعدادات!$B$4,0)))</f>
        <v>150</v>
      </c>
    </row>
    <row r="63">
      <c r="A63" s="4" t="inlineStr">
        <is>
          <t>2026-10-04</t>
        </is>
      </c>
      <c r="B63" s="5" t="str">
        <f>IF(A63="","",IFERROR(INDEX('جدول الجرد'!$A$2:$A$29,MATCH(A63,'جدول الجرد'!$B$2:$B$29,0)),""))</f>
        <v>الأحد</v>
      </c>
      <c r="C63" s="5" t="str">
        <f>IF(A63="","",IFERROR(INDEX('جدول الجرد'!$E$2:$E$29,MATCH(A63,'جدول الجرد'!$B$2:$B$29,0)),""))</f>
        <v>الحوطة</v>
      </c>
      <c r="D63" s="4" t="n">
        <v>32</v>
      </c>
      <c r="E63" s="4" t="inlineStr">
        <is>
          <t>د. حسام شلش</t>
        </is>
      </c>
      <c r="F63" s="4" t="inlineStr">
        <is>
          <t>نعم</t>
        </is>
      </c>
      <c r="G63" s="4" t="inlineStr">
        <is>
          <t>نعم</t>
        </is>
      </c>
      <c r="H63" s="5" t="str">
        <f>IF(E63="","",IF(AND(F63="نعم",G63="نعم"),"جرد + مراجعة",IF(F63="نعم","جرد فقط",IF(G63="نعم","مراجعة فقط",""))))</f>
        <v>جرد + مراجعة</v>
      </c>
      <c r="I63" s="9">
        <f>IF(H63="جرد + مراجعة",الإعدادات!$B$2,IF(H63="مراجعة فقط",الإعدادات!$B$3,IF(H63="جرد فقط",الإعدادات!$B$4,0)))</f>
        <v>200</v>
      </c>
    </row>
    <row r="64">
      <c r="A64" s="4" t="inlineStr">
        <is>
          <t>2026-10-04</t>
        </is>
      </c>
      <c r="B64" s="5" t="str">
        <f>IF(A64="","",IFERROR(INDEX('جدول الجرد'!$A$2:$A$29,MATCH(A64,'جدول الجرد'!$B$2:$B$29,0)),""))</f>
        <v>الأحد</v>
      </c>
      <c r="C64" s="5" t="str">
        <f>IF(A64="","",IFERROR(INDEX('جدول الجرد'!$E$2:$E$29,MATCH(A64,'جدول الجرد'!$B$2:$B$29,0)),""))</f>
        <v>الحوطة</v>
      </c>
      <c r="D64" s="4" t="n">
        <v>32</v>
      </c>
      <c r="E64" s="4" t="inlineStr">
        <is>
          <t>د. السيد حسن</t>
        </is>
      </c>
      <c r="F64" s="4" t="inlineStr"/>
      <c r="G64" s="4" t="inlineStr">
        <is>
          <t>نعم</t>
        </is>
      </c>
      <c r="H64" s="5" t="str">
        <f>IF(E64="","",IF(AND(F64="نعم",G64="نعم"),"جرد + مراجعة",IF(F64="نعم","جرد فقط",IF(G64="نعم","مراجعة فقط",""))))</f>
        <v>مراجعة فقط</v>
      </c>
      <c r="I64" s="9">
        <f>IF(H64="جرد + مراجعة",الإعدادات!$B$2,IF(H64="مراجعة فقط",الإعدادات!$B$3,IF(H64="جرد فقط",الإعدادات!$B$4,0)))</f>
        <v>150</v>
      </c>
    </row>
    <row r="65">
      <c r="A65" s="4" t="inlineStr">
        <is>
          <t>2026-10-04</t>
        </is>
      </c>
      <c r="B65" s="5" t="str">
        <f>IF(A65="","",IFERROR(INDEX('جدول الجرد'!$A$2:$A$29,MATCH(A65,'جدول الجرد'!$B$2:$B$29,0)),""))</f>
        <v>الأحد</v>
      </c>
      <c r="C65" s="5" t="str">
        <f>IF(A65="","",IFERROR(INDEX('جدول الجرد'!$E$2:$E$29,MATCH(A65,'جدول الجرد'!$B$2:$B$29,0)),""))</f>
        <v>الحوطة</v>
      </c>
      <c r="D65" s="4" t="n">
        <v>32</v>
      </c>
      <c r="E65" s="4" t="inlineStr">
        <is>
          <t>د. الحسن الغنيمي</t>
        </is>
      </c>
      <c r="F65" s="4" t="inlineStr"/>
      <c r="G65" s="4" t="inlineStr">
        <is>
          <t>نعم</t>
        </is>
      </c>
      <c r="H65" s="5" t="str">
        <f>IF(E65="","",IF(AND(F65="نعم",G65="نعم"),"جرد + مراجعة",IF(F65="نعم","جرد فقط",IF(G65="نعم","مراجعة فقط",""))))</f>
        <v>مراجعة فقط</v>
      </c>
      <c r="I65" s="9">
        <f>IF(H65="جرد + مراجعة",الإعدادات!$B$2,IF(H65="مراجعة فقط",الإعدادات!$B$3,IF(H65="جرد فقط",الإعدادات!$B$4,0)))</f>
        <v>150</v>
      </c>
    </row>
    <row r="66">
      <c r="A66" s="4" t="inlineStr">
        <is>
          <t>2026-10-04</t>
        </is>
      </c>
      <c r="B66" s="5" t="str">
        <f>IF(A66="","",IFERROR(INDEX('جدول الجرد'!$A$2:$A$29,MATCH(A66,'جدول الجرد'!$B$2:$B$29,0)),""))</f>
        <v>الأحد</v>
      </c>
      <c r="C66" s="5" t="str">
        <f>IF(A66="","",IFERROR(INDEX('جدول الجرد'!$E$2:$E$29,MATCH(A66,'جدول الجرد'!$B$2:$B$29,0)),""))</f>
        <v>الحوطة</v>
      </c>
      <c r="D66" s="4" t="n">
        <v>32</v>
      </c>
      <c r="E66" s="4" t="inlineStr">
        <is>
          <t>د. محمد جمال</t>
        </is>
      </c>
      <c r="F66" s="4" t="inlineStr"/>
      <c r="G66" s="4" t="inlineStr">
        <is>
          <t>نعم</t>
        </is>
      </c>
      <c r="H66" s="5" t="str">
        <f>IF(E66="","",IF(AND(F66="نعم",G66="نعم"),"جرد + مراجعة",IF(F66="نعم","جرد فقط",IF(G66="نعم","مراجعة فقط",""))))</f>
        <v>مراجعة فقط</v>
      </c>
      <c r="I66" s="9">
        <f>IF(H66="جرد + مراجعة",الإعدادات!$B$2,IF(H66="مراجعة فقط",الإعدادات!$B$3,IF(H66="جرد فقط",الإعدادات!$B$4,0)))</f>
        <v>150</v>
      </c>
    </row>
    <row r="67">
      <c r="A67" s="4" t="inlineStr">
        <is>
          <t>2026-10-04</t>
        </is>
      </c>
      <c r="B67" s="5" t="str">
        <f>IF(A67="","",IFERROR(INDEX('جدول الجرد'!$A$2:$A$29,MATCH(A67,'جدول الجرد'!$B$2:$B$29,0)),""))</f>
        <v>الأحد</v>
      </c>
      <c r="C67" s="5" t="str">
        <f>IF(A67="","",IFERROR(INDEX('جدول الجرد'!$E$2:$E$29,MATCH(A67,'جدول الجرد'!$B$2:$B$29,0)),""))</f>
        <v>الحوطة</v>
      </c>
      <c r="D67" s="4" t="n">
        <v>39</v>
      </c>
      <c r="E67" s="4" t="inlineStr">
        <is>
          <t>د. حسام شلش</t>
        </is>
      </c>
      <c r="F67" s="4" t="inlineStr">
        <is>
          <t>نعم</t>
        </is>
      </c>
      <c r="G67" s="4" t="inlineStr">
        <is>
          <t>نعم</t>
        </is>
      </c>
      <c r="H67" s="5" t="str">
        <f>IF(E67="","",IF(AND(F67="نعم",G67="نعم"),"جرد + مراجعة",IF(F67="نعم","جرد فقط",IF(G67="نعم","مراجعة فقط",""))))</f>
        <v>جرد + مراجعة</v>
      </c>
      <c r="I67" s="9">
        <f>IF(H67="جرد + مراجعة",الإعدادات!$B$2,IF(H67="مراجعة فقط",الإعدادات!$B$3,IF(H67="جرد فقط",الإعدادات!$B$4,0)))</f>
        <v>200</v>
      </c>
    </row>
    <row r="68">
      <c r="A68" s="4" t="inlineStr">
        <is>
          <t>2026-10-04</t>
        </is>
      </c>
      <c r="B68" s="5" t="str">
        <f>IF(A68="","",IFERROR(INDEX('جدول الجرد'!$A$2:$A$29,MATCH(A68,'جدول الجرد'!$B$2:$B$29,0)),""))</f>
        <v>الأحد</v>
      </c>
      <c r="C68" s="5" t="str">
        <f>IF(A68="","",IFERROR(INDEX('جدول الجرد'!$E$2:$E$29,MATCH(A68,'جدول الجرد'!$B$2:$B$29,0)),""))</f>
        <v>الحوطة</v>
      </c>
      <c r="D68" s="4" t="n">
        <v>39</v>
      </c>
      <c r="E68" s="4" t="inlineStr">
        <is>
          <t>د. السيد حسن</t>
        </is>
      </c>
      <c r="F68" s="4" t="inlineStr"/>
      <c r="G68" s="4" t="inlineStr">
        <is>
          <t>نعم</t>
        </is>
      </c>
      <c r="H68" s="5" t="str">
        <f>IF(E68="","",IF(AND(F68="نعم",G68="نعم"),"جرد + مراجعة",IF(F68="نعم","جرد فقط",IF(G68="نعم","مراجعة فقط",""))))</f>
        <v>مراجعة فقط</v>
      </c>
      <c r="I68" s="9">
        <f>IF(H68="جرد + مراجعة",الإعدادات!$B$2,IF(H68="مراجعة فقط",الإعدادات!$B$3,IF(H68="جرد فقط",الإعدادات!$B$4,0)))</f>
        <v>150</v>
      </c>
    </row>
    <row r="69">
      <c r="A69" s="4" t="inlineStr">
        <is>
          <t>2026-10-04</t>
        </is>
      </c>
      <c r="B69" s="5" t="str">
        <f>IF(A69="","",IFERROR(INDEX('جدول الجرد'!$A$2:$A$29,MATCH(A69,'جدول الجرد'!$B$2:$B$29,0)),""))</f>
        <v>الأحد</v>
      </c>
      <c r="C69" s="5" t="str">
        <f>IF(A69="","",IFERROR(INDEX('جدول الجرد'!$E$2:$E$29,MATCH(A69,'جدول الجرد'!$B$2:$B$29,0)),""))</f>
        <v>الحوطة</v>
      </c>
      <c r="D69" s="4" t="n">
        <v>39</v>
      </c>
      <c r="E69" s="4" t="inlineStr">
        <is>
          <t>د. الحسن الغنيمي</t>
        </is>
      </c>
      <c r="F69" s="4" t="inlineStr"/>
      <c r="G69" s="4" t="inlineStr">
        <is>
          <t>نعم</t>
        </is>
      </c>
      <c r="H69" s="5" t="str">
        <f>IF(E69="","",IF(AND(F69="نعم",G69="نعم"),"جرد + مراجعة",IF(F69="نعم","جرد فقط",IF(G69="نعم","مراجعة فقط",""))))</f>
        <v>مراجعة فقط</v>
      </c>
      <c r="I69" s="9">
        <f>IF(H69="جرد + مراجعة",الإعدادات!$B$2,IF(H69="مراجعة فقط",الإعدادات!$B$3,IF(H69="جرد فقط",الإعدادات!$B$4,0)))</f>
        <v>150</v>
      </c>
    </row>
    <row r="70">
      <c r="A70" s="4" t="inlineStr">
        <is>
          <t>2026-10-04</t>
        </is>
      </c>
      <c r="B70" s="5" t="str">
        <f>IF(A70="","",IFERROR(INDEX('جدول الجرد'!$A$2:$A$29,MATCH(A70,'جدول الجرد'!$B$2:$B$29,0)),""))</f>
        <v>الأحد</v>
      </c>
      <c r="C70" s="5" t="str">
        <f>IF(A70="","",IFERROR(INDEX('جدول الجرد'!$E$2:$E$29,MATCH(A70,'جدول الجرد'!$B$2:$B$29,0)),""))</f>
        <v>الحوطة</v>
      </c>
      <c r="D70" s="4" t="n">
        <v>39</v>
      </c>
      <c r="E70" s="4" t="inlineStr">
        <is>
          <t>د. محمد جمال</t>
        </is>
      </c>
      <c r="F70" s="4" t="inlineStr"/>
      <c r="G70" s="4" t="inlineStr">
        <is>
          <t>نعم</t>
        </is>
      </c>
      <c r="H70" s="5" t="str">
        <f>IF(E70="","",IF(AND(F70="نعم",G70="نعم"),"جرد + مراجعة",IF(F70="نعم","جرد فقط",IF(G70="نعم","مراجعة فقط",""))))</f>
        <v>مراجعة فقط</v>
      </c>
      <c r="I70" s="9">
        <f>IF(H70="جرد + مراجعة",الإعدادات!$B$2,IF(H70="مراجعة فقط",الإعدادات!$B$3,IF(H70="جرد فقط",الإعدادات!$B$4,0)))</f>
        <v>150</v>
      </c>
    </row>
    <row r="71">
      <c r="A71" s="4" t="inlineStr">
        <is>
          <t>2026-10-05</t>
        </is>
      </c>
      <c r="B71" s="5" t="str">
        <f>IF(A71="","",IFERROR(INDEX('جدول الجرد'!$A$2:$A$29,MATCH(A71,'جدول الجرد'!$B$2:$B$29,0)),""))</f>
        <v>الاثنين</v>
      </c>
      <c r="C71" s="5" t="str">
        <f>IF(A71="","",IFERROR(INDEX('جدول الجرد'!$E$2:$E$29,MATCH(A71,'جدول الجرد'!$B$2:$B$29,0)),""))</f>
        <v>الأفلاج</v>
      </c>
      <c r="D71" s="4" t="n">
        <v>33</v>
      </c>
      <c r="E71" s="4" t="inlineStr">
        <is>
          <t>د. السيد حسن</t>
        </is>
      </c>
      <c r="F71" s="4" t="inlineStr">
        <is>
          <t>نعم</t>
        </is>
      </c>
      <c r="G71" s="4" t="inlineStr">
        <is>
          <t>نعم</t>
        </is>
      </c>
      <c r="H71" s="5" t="str">
        <f>IF(E71="","",IF(AND(F71="نعم",G71="نعم"),"جرد + مراجعة",IF(F71="نعم","جرد فقط",IF(G71="نعم","مراجعة فقط",""))))</f>
        <v>جرد + مراجعة</v>
      </c>
      <c r="I71" s="9">
        <f>IF(H71="جرد + مراجعة",الإعدادات!$B$2,IF(H71="مراجعة فقط",الإعدادات!$B$3,IF(H71="جرد فقط",الإعدادات!$B$4,0)))</f>
        <v>200</v>
      </c>
    </row>
    <row r="72">
      <c r="A72" s="4" t="inlineStr">
        <is>
          <t>2026-10-05</t>
        </is>
      </c>
      <c r="B72" s="5" t="str">
        <f>IF(A72="","",IFERROR(INDEX('جدول الجرد'!$A$2:$A$29,MATCH(A72,'جدول الجرد'!$B$2:$B$29,0)),""))</f>
        <v>الاثنين</v>
      </c>
      <c r="C72" s="5" t="str">
        <f>IF(A72="","",IFERROR(INDEX('جدول الجرد'!$E$2:$E$29,MATCH(A72,'جدول الجرد'!$B$2:$B$29,0)),""))</f>
        <v>الأفلاج</v>
      </c>
      <c r="D72" s="4" t="n">
        <v>33</v>
      </c>
      <c r="E72" s="4" t="inlineStr">
        <is>
          <t>د. حسام شلش</t>
        </is>
      </c>
      <c r="F72" s="4" t="inlineStr"/>
      <c r="G72" s="4" t="inlineStr">
        <is>
          <t>نعم</t>
        </is>
      </c>
      <c r="H72" s="5" t="str">
        <f>IF(E72="","",IF(AND(F72="نعم",G72="نعم"),"جرد + مراجعة",IF(F72="نعم","جرد فقط",IF(G72="نعم","مراجعة فقط",""))))</f>
        <v>مراجعة فقط</v>
      </c>
      <c r="I72" s="9">
        <f>IF(H72="جرد + مراجعة",الإعدادات!$B$2,IF(H72="مراجعة فقط",الإعدادات!$B$3,IF(H72="جرد فقط",الإعدادات!$B$4,0)))</f>
        <v>150</v>
      </c>
    </row>
    <row r="73">
      <c r="A73" s="4" t="inlineStr">
        <is>
          <t>2026-10-05</t>
        </is>
      </c>
      <c r="B73" s="5" t="str">
        <f>IF(A73="","",IFERROR(INDEX('جدول الجرد'!$A$2:$A$29,MATCH(A73,'جدول الجرد'!$B$2:$B$29,0)),""))</f>
        <v>الاثنين</v>
      </c>
      <c r="C73" s="5" t="str">
        <f>IF(A73="","",IFERROR(INDEX('جدول الجرد'!$E$2:$E$29,MATCH(A73,'جدول الجرد'!$B$2:$B$29,0)),""))</f>
        <v>الأفلاج</v>
      </c>
      <c r="D73" s="4" t="n">
        <v>33</v>
      </c>
      <c r="E73" s="4" t="inlineStr">
        <is>
          <t>د. الحسن الغنيمي</t>
        </is>
      </c>
      <c r="F73" s="4" t="inlineStr"/>
      <c r="G73" s="4" t="inlineStr">
        <is>
          <t>نعم</t>
        </is>
      </c>
      <c r="H73" s="5" t="str">
        <f>IF(E73="","",IF(AND(F73="نعم",G73="نعم"),"جرد + مراجعة",IF(F73="نعم","جرد فقط",IF(G73="نعم","مراجعة فقط",""))))</f>
        <v>مراجعة فقط</v>
      </c>
      <c r="I73" s="9">
        <f>IF(H73="جرد + مراجعة",الإعدادات!$B$2,IF(H73="مراجعة فقط",الإعدادات!$B$3,IF(H73="جرد فقط",الإعدادات!$B$4,0)))</f>
        <v>150</v>
      </c>
    </row>
    <row r="74">
      <c r="A74" s="4" t="inlineStr">
        <is>
          <t>2026-10-05</t>
        </is>
      </c>
      <c r="B74" s="5" t="str">
        <f>IF(A74="","",IFERROR(INDEX('جدول الجرد'!$A$2:$A$29,MATCH(A74,'جدول الجرد'!$B$2:$B$29,0)),""))</f>
        <v>الاثنين</v>
      </c>
      <c r="C74" s="5" t="str">
        <f>IF(A74="","",IFERROR(INDEX('جدول الجرد'!$E$2:$E$29,MATCH(A74,'جدول الجرد'!$B$2:$B$29,0)),""))</f>
        <v>الأفلاج</v>
      </c>
      <c r="D74" s="4" t="n">
        <v>33</v>
      </c>
      <c r="E74" s="4" t="inlineStr">
        <is>
          <t>د. محمد جمال</t>
        </is>
      </c>
      <c r="F74" s="4" t="inlineStr"/>
      <c r="G74" s="4" t="inlineStr">
        <is>
          <t>نعم</t>
        </is>
      </c>
      <c r="H74" s="5" t="str">
        <f>IF(E74="","",IF(AND(F74="نعم",G74="نعم"),"جرد + مراجعة",IF(F74="نعم","جرد فقط",IF(G74="نعم","مراجعة فقط",""))))</f>
        <v>مراجعة فقط</v>
      </c>
      <c r="I74" s="9">
        <f>IF(H74="جرد + مراجعة",الإعدادات!$B$2,IF(H74="مراجعة فقط",الإعدادات!$B$3,IF(H74="جرد فقط",الإعدادات!$B$4,0)))</f>
        <v>150</v>
      </c>
    </row>
    <row r="75">
      <c r="A75" s="4" t="inlineStr">
        <is>
          <t>2026-10-05</t>
        </is>
      </c>
      <c r="B75" s="5" t="str">
        <f>IF(A75="","",IFERROR(INDEX('جدول الجرد'!$A$2:$A$29,MATCH(A75,'جدول الجرد'!$B$2:$B$29,0)),""))</f>
        <v>الاثنين</v>
      </c>
      <c r="C75" s="5" t="str">
        <f>IF(A75="","",IFERROR(INDEX('جدول الجرد'!$E$2:$E$29,MATCH(A75,'جدول الجرد'!$B$2:$B$29,0)),""))</f>
        <v>الأفلاج</v>
      </c>
      <c r="D75" s="4" t="n">
        <v>34</v>
      </c>
      <c r="E75" s="4" t="inlineStr">
        <is>
          <t>د. السيد حسن</t>
        </is>
      </c>
      <c r="F75" s="4" t="inlineStr">
        <is>
          <t>نعم</t>
        </is>
      </c>
      <c r="G75" s="4" t="inlineStr">
        <is>
          <t>نعم</t>
        </is>
      </c>
      <c r="H75" s="5" t="str">
        <f>IF(E75="","",IF(AND(F75="نعم",G75="نعم"),"جرد + مراجعة",IF(F75="نعم","جرد فقط",IF(G75="نعم","مراجعة فقط",""))))</f>
        <v>جرد + مراجعة</v>
      </c>
      <c r="I75" s="9">
        <f>IF(H75="جرد + مراجعة",الإعدادات!$B$2,IF(H75="مراجعة فقط",الإعدادات!$B$3,IF(H75="جرد فقط",الإعدادات!$B$4,0)))</f>
        <v>200</v>
      </c>
    </row>
    <row r="76">
      <c r="A76" s="4" t="inlineStr">
        <is>
          <t>2026-10-05</t>
        </is>
      </c>
      <c r="B76" s="5" t="str">
        <f>IF(A76="","",IFERROR(INDEX('جدول الجرد'!$A$2:$A$29,MATCH(A76,'جدول الجرد'!$B$2:$B$29,0)),""))</f>
        <v>الاثنين</v>
      </c>
      <c r="C76" s="5" t="str">
        <f>IF(A76="","",IFERROR(INDEX('جدول الجرد'!$E$2:$E$29,MATCH(A76,'جدول الجرد'!$B$2:$B$29,0)),""))</f>
        <v>الأفلاج</v>
      </c>
      <c r="D76" s="4" t="n">
        <v>34</v>
      </c>
      <c r="E76" s="4" t="inlineStr">
        <is>
          <t>د. حسام شلش</t>
        </is>
      </c>
      <c r="F76" s="4" t="inlineStr"/>
      <c r="G76" s="4" t="inlineStr">
        <is>
          <t>نعم</t>
        </is>
      </c>
      <c r="H76" s="5" t="str">
        <f>IF(E76="","",IF(AND(F76="نعم",G76="نعم"),"جرد + مراجعة",IF(F76="نعم","جرد فقط",IF(G76="نعم","مراجعة فقط",""))))</f>
        <v>مراجعة فقط</v>
      </c>
      <c r="I76" s="9">
        <f>IF(H76="جرد + مراجعة",الإعدادات!$B$2,IF(H76="مراجعة فقط",الإعدادات!$B$3,IF(H76="جرد فقط",الإعدادات!$B$4,0)))</f>
        <v>150</v>
      </c>
    </row>
    <row r="77">
      <c r="A77" s="4" t="inlineStr">
        <is>
          <t>2026-10-05</t>
        </is>
      </c>
      <c r="B77" s="5" t="str">
        <f>IF(A77="","",IFERROR(INDEX('جدول الجرد'!$A$2:$A$29,MATCH(A77,'جدول الجرد'!$B$2:$B$29,0)),""))</f>
        <v>الاثنين</v>
      </c>
      <c r="C77" s="5" t="str">
        <f>IF(A77="","",IFERROR(INDEX('جدول الجرد'!$E$2:$E$29,MATCH(A77,'جدول الجرد'!$B$2:$B$29,0)),""))</f>
        <v>الأفلاج</v>
      </c>
      <c r="D77" s="4" t="n">
        <v>34</v>
      </c>
      <c r="E77" s="4" t="inlineStr">
        <is>
          <t>د. الحسن الغنيمي</t>
        </is>
      </c>
      <c r="F77" s="4" t="inlineStr"/>
      <c r="G77" s="4" t="inlineStr">
        <is>
          <t>نعم</t>
        </is>
      </c>
      <c r="H77" s="5" t="str">
        <f>IF(E77="","",IF(AND(F77="نعم",G77="نعم"),"جرد + مراجعة",IF(F77="نعم","جرد فقط",IF(G77="نعم","مراجعة فقط",""))))</f>
        <v>مراجعة فقط</v>
      </c>
      <c r="I77" s="9">
        <f>IF(H77="جرد + مراجعة",الإعدادات!$B$2,IF(H77="مراجعة فقط",الإعدادات!$B$3,IF(H77="جرد فقط",الإعدادات!$B$4,0)))</f>
        <v>150</v>
      </c>
    </row>
    <row r="78">
      <c r="A78" s="4" t="inlineStr">
        <is>
          <t>2026-10-05</t>
        </is>
      </c>
      <c r="B78" s="5" t="str">
        <f>IF(A78="","",IFERROR(INDEX('جدول الجرد'!$A$2:$A$29,MATCH(A78,'جدول الجرد'!$B$2:$B$29,0)),""))</f>
        <v>الاثنين</v>
      </c>
      <c r="C78" s="5" t="str">
        <f>IF(A78="","",IFERROR(INDEX('جدول الجرد'!$E$2:$E$29,MATCH(A78,'جدول الجرد'!$B$2:$B$29,0)),""))</f>
        <v>الأفلاج</v>
      </c>
      <c r="D78" s="4" t="n">
        <v>34</v>
      </c>
      <c r="E78" s="4" t="inlineStr">
        <is>
          <t>د. محمد جمال</t>
        </is>
      </c>
      <c r="F78" s="4" t="inlineStr"/>
      <c r="G78" s="4" t="inlineStr">
        <is>
          <t>نعم</t>
        </is>
      </c>
      <c r="H78" s="5" t="str">
        <f>IF(E78="","",IF(AND(F78="نعم",G78="نعم"),"جرد + مراجعة",IF(F78="نعم","جرد فقط",IF(G78="نعم","مراجعة فقط",""))))</f>
        <v>مراجعة فقط</v>
      </c>
      <c r="I78" s="9">
        <f>IF(H78="جرد + مراجعة",الإعدادات!$B$2,IF(H78="مراجعة فقط",الإعدادات!$B$3,IF(H78="جرد فقط",الإعدادات!$B$4,0)))</f>
        <v>150</v>
      </c>
    </row>
    <row r="79">
      <c r="A79" s="4" t="inlineStr">
        <is>
          <t>2026-10-06</t>
        </is>
      </c>
      <c r="B79" s="5" t="str">
        <f>IF(A79="","",IFERROR(INDEX('جدول الجرد'!$A$2:$A$29,MATCH(A79,'جدول الجرد'!$B$2:$B$29,0)),""))</f>
        <v>الثلاثاء</v>
      </c>
      <c r="C79" s="5" t="str">
        <f>IF(A79="","",IFERROR(INDEX('جدول الجرد'!$E$2:$E$29,MATCH(A79,'جدول الجرد'!$B$2:$B$29,0)),""))</f>
        <v>السليل</v>
      </c>
      <c r="D79" s="4" t="n">
        <v>35</v>
      </c>
      <c r="E79" s="4" t="inlineStr">
        <is>
          <t>د. حسام شلش</t>
        </is>
      </c>
      <c r="F79" s="4" t="inlineStr">
        <is>
          <t>نعم</t>
        </is>
      </c>
      <c r="G79" s="4" t="inlineStr">
        <is>
          <t>نعم</t>
        </is>
      </c>
      <c r="H79" s="5" t="str">
        <f>IF(E79="","",IF(AND(F79="نعم",G79="نعم"),"جرد + مراجعة",IF(F79="نعم","جرد فقط",IF(G79="نعم","مراجعة فقط",""))))</f>
        <v>جرد + مراجعة</v>
      </c>
      <c r="I79" s="9">
        <f>IF(H79="جرد + مراجعة",الإعدادات!$B$2,IF(H79="مراجعة فقط",الإعدادات!$B$3,IF(H79="جرد فقط",الإعدادات!$B$4,0)))</f>
        <v>200</v>
      </c>
    </row>
    <row r="80">
      <c r="A80" s="4" t="inlineStr">
        <is>
          <t>2026-10-06</t>
        </is>
      </c>
      <c r="B80" s="5" t="str">
        <f>IF(A80="","",IFERROR(INDEX('جدول الجرد'!$A$2:$A$29,MATCH(A80,'جدول الجرد'!$B$2:$B$29,0)),""))</f>
        <v>الثلاثاء</v>
      </c>
      <c r="C80" s="5" t="str">
        <f>IF(A80="","",IFERROR(INDEX('جدول الجرد'!$E$2:$E$29,MATCH(A80,'جدول الجرد'!$B$2:$B$29,0)),""))</f>
        <v>السليل</v>
      </c>
      <c r="D80" s="4" t="n">
        <v>35</v>
      </c>
      <c r="E80" s="4" t="inlineStr">
        <is>
          <t>د. السيد حسن</t>
        </is>
      </c>
      <c r="F80" s="4" t="inlineStr"/>
      <c r="G80" s="4" t="inlineStr">
        <is>
          <t>نعم</t>
        </is>
      </c>
      <c r="H80" s="5" t="str">
        <f>IF(E80="","",IF(AND(F80="نعم",G80="نعم"),"جرد + مراجعة",IF(F80="نعم","جرد فقط",IF(G80="نعم","مراجعة فقط",""))))</f>
        <v>مراجعة فقط</v>
      </c>
      <c r="I80" s="9">
        <f>IF(H80="جرد + مراجعة",الإعدادات!$B$2,IF(H80="مراجعة فقط",الإعدادات!$B$3,IF(H80="جرد فقط",الإعدادات!$B$4,0)))</f>
        <v>150</v>
      </c>
    </row>
    <row r="81">
      <c r="A81" s="4" t="inlineStr">
        <is>
          <t>2026-10-06</t>
        </is>
      </c>
      <c r="B81" s="5" t="str">
        <f>IF(A81="","",IFERROR(INDEX('جدول الجرد'!$A$2:$A$29,MATCH(A81,'جدول الجرد'!$B$2:$B$29,0)),""))</f>
        <v>الثلاثاء</v>
      </c>
      <c r="C81" s="5" t="str">
        <f>IF(A81="","",IFERROR(INDEX('جدول الجرد'!$E$2:$E$29,MATCH(A81,'جدول الجرد'!$B$2:$B$29,0)),""))</f>
        <v>السليل</v>
      </c>
      <c r="D81" s="4" t="n">
        <v>35</v>
      </c>
      <c r="E81" s="4" t="inlineStr">
        <is>
          <t>د. الحسن الغنيمي</t>
        </is>
      </c>
      <c r="F81" s="4" t="inlineStr"/>
      <c r="G81" s="4" t="inlineStr">
        <is>
          <t>نعم</t>
        </is>
      </c>
      <c r="H81" s="5" t="str">
        <f>IF(E81="","",IF(AND(F81="نعم",G81="نعم"),"جرد + مراجعة",IF(F81="نعم","جرد فقط",IF(G81="نعم","مراجعة فقط",""))))</f>
        <v>مراجعة فقط</v>
      </c>
      <c r="I81" s="9">
        <f>IF(H81="جرد + مراجعة",الإعدادات!$B$2,IF(H81="مراجعة فقط",الإعدادات!$B$3,IF(H81="جرد فقط",الإعدادات!$B$4,0)))</f>
        <v>150</v>
      </c>
    </row>
    <row r="82">
      <c r="A82" s="4" t="inlineStr">
        <is>
          <t>2026-10-06</t>
        </is>
      </c>
      <c r="B82" s="5" t="str">
        <f>IF(A82="","",IFERROR(INDEX('جدول الجرد'!$A$2:$A$29,MATCH(A82,'جدول الجرد'!$B$2:$B$29,0)),""))</f>
        <v>الثلاثاء</v>
      </c>
      <c r="C82" s="5" t="str">
        <f>IF(A82="","",IFERROR(INDEX('جدول الجرد'!$E$2:$E$29,MATCH(A82,'جدول الجرد'!$B$2:$B$29,0)),""))</f>
        <v>السليل</v>
      </c>
      <c r="D82" s="4" t="n">
        <v>35</v>
      </c>
      <c r="E82" s="4" t="inlineStr">
        <is>
          <t>د. محمد جمال</t>
        </is>
      </c>
      <c r="F82" s="4" t="inlineStr"/>
      <c r="G82" s="4" t="inlineStr">
        <is>
          <t>نعم</t>
        </is>
      </c>
      <c r="H82" s="5" t="str">
        <f>IF(E82="","",IF(AND(F82="نعم",G82="نعم"),"جرد + مراجعة",IF(F82="نعم","جرد فقط",IF(G82="نعم","مراجعة فقط",""))))</f>
        <v>مراجعة فقط</v>
      </c>
      <c r="I82" s="9">
        <f>IF(H82="جرد + مراجعة",الإعدادات!$B$2,IF(H82="مراجعة فقط",الإعدادات!$B$3,IF(H82="جرد فقط",الإعدادات!$B$4,0)))</f>
        <v>150</v>
      </c>
    </row>
    <row r="83">
      <c r="A83" s="4" t="inlineStr">
        <is>
          <t>2026-10-06</t>
        </is>
      </c>
      <c r="B83" s="5" t="str">
        <f>IF(A83="","",IFERROR(INDEX('جدول الجرد'!$A$2:$A$29,MATCH(A83,'جدول الجرد'!$B$2:$B$29,0)),""))</f>
        <v>الثلاثاء</v>
      </c>
      <c r="C83" s="5" t="str">
        <f>IF(A83="","",IFERROR(INDEX('جدول الجرد'!$E$2:$E$29,MATCH(A83,'جدول الجرد'!$B$2:$B$29,0)),""))</f>
        <v>السليل</v>
      </c>
      <c r="D83" s="4" t="n">
        <v>53</v>
      </c>
      <c r="E83" s="4" t="inlineStr">
        <is>
          <t>د. حسام شلش</t>
        </is>
      </c>
      <c r="F83" s="4" t="inlineStr">
        <is>
          <t>نعم</t>
        </is>
      </c>
      <c r="G83" s="4" t="inlineStr">
        <is>
          <t>نعم</t>
        </is>
      </c>
      <c r="H83" s="5" t="str">
        <f>IF(E83="","",IF(AND(F83="نعم",G83="نعم"),"جرد + مراجعة",IF(F83="نعم","جرد فقط",IF(G83="نعم","مراجعة فقط",""))))</f>
        <v>جرد + مراجعة</v>
      </c>
      <c r="I83" s="9">
        <f>IF(H83="جرد + مراجعة",الإعدادات!$B$2,IF(H83="مراجعة فقط",الإعدادات!$B$3,IF(H83="جرد فقط",الإعدادات!$B$4,0)))</f>
        <v>200</v>
      </c>
    </row>
    <row r="84">
      <c r="A84" s="4" t="inlineStr">
        <is>
          <t>2026-10-06</t>
        </is>
      </c>
      <c r="B84" s="5" t="str">
        <f>IF(A84="","",IFERROR(INDEX('جدول الجرد'!$A$2:$A$29,MATCH(A84,'جدول الجرد'!$B$2:$B$29,0)),""))</f>
        <v>الثلاثاء</v>
      </c>
      <c r="C84" s="5" t="str">
        <f>IF(A84="","",IFERROR(INDEX('جدول الجرد'!$E$2:$E$29,MATCH(A84,'جدول الجرد'!$B$2:$B$29,0)),""))</f>
        <v>السليل</v>
      </c>
      <c r="D84" s="4" t="n">
        <v>53</v>
      </c>
      <c r="E84" s="4" t="inlineStr">
        <is>
          <t>د. السيد حسن</t>
        </is>
      </c>
      <c r="F84" s="4" t="inlineStr"/>
      <c r="G84" s="4" t="inlineStr">
        <is>
          <t>نعم</t>
        </is>
      </c>
      <c r="H84" s="5" t="str">
        <f>IF(E84="","",IF(AND(F84="نعم",G84="نعم"),"جرد + مراجعة",IF(F84="نعم","جرد فقط",IF(G84="نعم","مراجعة فقط",""))))</f>
        <v>مراجعة فقط</v>
      </c>
      <c r="I84" s="9">
        <f>IF(H84="جرد + مراجعة",الإعدادات!$B$2,IF(H84="مراجعة فقط",الإعدادات!$B$3,IF(H84="جرد فقط",الإعدادات!$B$4,0)))</f>
        <v>150</v>
      </c>
    </row>
    <row r="85">
      <c r="A85" s="4" t="inlineStr">
        <is>
          <t>2026-10-06</t>
        </is>
      </c>
      <c r="B85" s="5" t="str">
        <f>IF(A85="","",IFERROR(INDEX('جدول الجرد'!$A$2:$A$29,MATCH(A85,'جدول الجرد'!$B$2:$B$29,0)),""))</f>
        <v>الثلاثاء</v>
      </c>
      <c r="C85" s="5" t="str">
        <f>IF(A85="","",IFERROR(INDEX('جدول الجرد'!$E$2:$E$29,MATCH(A85,'جدول الجرد'!$B$2:$B$29,0)),""))</f>
        <v>السليل</v>
      </c>
      <c r="D85" s="4" t="n">
        <v>53</v>
      </c>
      <c r="E85" s="4" t="inlineStr">
        <is>
          <t>د. الحسن الغنيمي</t>
        </is>
      </c>
      <c r="F85" s="4" t="inlineStr"/>
      <c r="G85" s="4" t="inlineStr">
        <is>
          <t>نعم</t>
        </is>
      </c>
      <c r="H85" s="5" t="str">
        <f>IF(E85="","",IF(AND(F85="نعم",G85="نعم"),"جرد + مراجعة",IF(F85="نعم","جرد فقط",IF(G85="نعم","مراجعة فقط",""))))</f>
        <v>مراجعة فقط</v>
      </c>
      <c r="I85" s="9">
        <f>IF(H85="جرد + مراجعة",الإعدادات!$B$2,IF(H85="مراجعة فقط",الإعدادات!$B$3,IF(H85="جرد فقط",الإعدادات!$B$4,0)))</f>
        <v>150</v>
      </c>
    </row>
    <row r="86">
      <c r="A86" s="4" t="inlineStr">
        <is>
          <t>2026-10-06</t>
        </is>
      </c>
      <c r="B86" s="5" t="str">
        <f>IF(A86="","",IFERROR(INDEX('جدول الجرد'!$A$2:$A$29,MATCH(A86,'جدول الجرد'!$B$2:$B$29,0)),""))</f>
        <v>الثلاثاء</v>
      </c>
      <c r="C86" s="5" t="str">
        <f>IF(A86="","",IFERROR(INDEX('جدول الجرد'!$E$2:$E$29,MATCH(A86,'جدول الجرد'!$B$2:$B$29,0)),""))</f>
        <v>السليل</v>
      </c>
      <c r="D86" s="4" t="n">
        <v>53</v>
      </c>
      <c r="E86" s="4" t="inlineStr">
        <is>
          <t>د. محمد جمال</t>
        </is>
      </c>
      <c r="F86" s="4" t="inlineStr"/>
      <c r="G86" s="4" t="inlineStr">
        <is>
          <t>نعم</t>
        </is>
      </c>
      <c r="H86" s="5" t="str">
        <f>IF(E86="","",IF(AND(F86="نعم",G86="نعم"),"جرد + مراجعة",IF(F86="نعم","جرد فقط",IF(G86="نعم","مراجعة فقط",""))))</f>
        <v>مراجعة فقط</v>
      </c>
      <c r="I86" s="9">
        <f>IF(H86="جرد + مراجعة",الإعدادات!$B$2,IF(H86="مراجعة فقط",الإعدادات!$B$3,IF(H86="جرد فقط",الإعدادات!$B$4,0)))</f>
        <v>150</v>
      </c>
    </row>
    <row r="87">
      <c r="A87" s="4" t="inlineStr">
        <is>
          <t>2026-10-07</t>
        </is>
      </c>
      <c r="B87" s="5" t="str">
        <f>IF(A87="","",IFERROR(INDEX('جدول الجرد'!$A$2:$A$29,MATCH(A87,'جدول الجرد'!$B$2:$B$29,0)),""))</f>
        <v>الأربعاء</v>
      </c>
      <c r="C87" s="5" t="str">
        <f>IF(A87="","",IFERROR(INDEX('جدول الجرد'!$E$2:$E$29,MATCH(A87,'جدول الجرد'!$B$2:$B$29,0)),""))</f>
        <v>تمرة - الدواسر</v>
      </c>
      <c r="D87" s="4" t="n">
        <v>46</v>
      </c>
      <c r="E87" s="4" t="inlineStr">
        <is>
          <t>د. السيد حسن</t>
        </is>
      </c>
      <c r="F87" s="4" t="inlineStr">
        <is>
          <t>نعم</t>
        </is>
      </c>
      <c r="G87" s="4" t="inlineStr">
        <is>
          <t>نعم</t>
        </is>
      </c>
      <c r="H87" s="5" t="str">
        <f>IF(E87="","",IF(AND(F87="نعم",G87="نعم"),"جرد + مراجعة",IF(F87="نعم","جرد فقط",IF(G87="نعم","مراجعة فقط",""))))</f>
        <v>جرد + مراجعة</v>
      </c>
      <c r="I87" s="9">
        <f>IF(H87="جرد + مراجعة",الإعدادات!$B$2,IF(H87="مراجعة فقط",الإعدادات!$B$3,IF(H87="جرد فقط",الإعدادات!$B$4,0)))</f>
        <v>200</v>
      </c>
    </row>
    <row r="88">
      <c r="A88" s="4" t="inlineStr">
        <is>
          <t>2026-10-07</t>
        </is>
      </c>
      <c r="B88" s="5" t="str">
        <f>IF(A88="","",IFERROR(INDEX('جدول الجرد'!$A$2:$A$29,MATCH(A88,'جدول الجرد'!$B$2:$B$29,0)),""))</f>
        <v>الأربعاء</v>
      </c>
      <c r="C88" s="5" t="str">
        <f>IF(A88="","",IFERROR(INDEX('جدول الجرد'!$E$2:$E$29,MATCH(A88,'جدول الجرد'!$B$2:$B$29,0)),""))</f>
        <v>تمرة - الدواسر</v>
      </c>
      <c r="D88" s="4" t="n">
        <v>46</v>
      </c>
      <c r="E88" s="4" t="inlineStr">
        <is>
          <t>د. حسام شلش</t>
        </is>
      </c>
      <c r="F88" s="4" t="inlineStr"/>
      <c r="G88" s="4" t="inlineStr">
        <is>
          <t>نعم</t>
        </is>
      </c>
      <c r="H88" s="5" t="str">
        <f>IF(E88="","",IF(AND(F88="نعم",G88="نعم"),"جرد + مراجعة",IF(F88="نعم","جرد فقط",IF(G88="نعم","مراجعة فقط",""))))</f>
        <v>مراجعة فقط</v>
      </c>
      <c r="I88" s="9">
        <f>IF(H88="جرد + مراجعة",الإعدادات!$B$2,IF(H88="مراجعة فقط",الإعدادات!$B$3,IF(H88="جرد فقط",الإعدادات!$B$4,0)))</f>
        <v>150</v>
      </c>
    </row>
    <row r="89">
      <c r="A89" s="4" t="inlineStr">
        <is>
          <t>2026-10-07</t>
        </is>
      </c>
      <c r="B89" s="5" t="str">
        <f>IF(A89="","",IFERROR(INDEX('جدول الجرد'!$A$2:$A$29,MATCH(A89,'جدول الجرد'!$B$2:$B$29,0)),""))</f>
        <v>الأربعاء</v>
      </c>
      <c r="C89" s="5" t="str">
        <f>IF(A89="","",IFERROR(INDEX('جدول الجرد'!$E$2:$E$29,MATCH(A89,'جدول الجرد'!$B$2:$B$29,0)),""))</f>
        <v>تمرة - الدواسر</v>
      </c>
      <c r="D89" s="4" t="n">
        <v>46</v>
      </c>
      <c r="E89" s="4" t="inlineStr">
        <is>
          <t>د. الحسن الغنيمي</t>
        </is>
      </c>
      <c r="F89" s="4" t="inlineStr"/>
      <c r="G89" s="4" t="inlineStr">
        <is>
          <t>نعم</t>
        </is>
      </c>
      <c r="H89" s="5" t="str">
        <f>IF(E89="","",IF(AND(F89="نعم",G89="نعم"),"جرد + مراجعة",IF(F89="نعم","جرد فقط",IF(G89="نعم","مراجعة فقط",""))))</f>
        <v>مراجعة فقط</v>
      </c>
      <c r="I89" s="9">
        <f>IF(H89="جرد + مراجعة",الإعدادات!$B$2,IF(H89="مراجعة فقط",الإعدادات!$B$3,IF(H89="جرد فقط",الإعدادات!$B$4,0)))</f>
        <v>150</v>
      </c>
    </row>
    <row r="90">
      <c r="A90" s="4" t="inlineStr">
        <is>
          <t>2026-10-07</t>
        </is>
      </c>
      <c r="B90" s="5" t="str">
        <f>IF(A90="","",IFERROR(INDEX('جدول الجرد'!$A$2:$A$29,MATCH(A90,'جدول الجرد'!$B$2:$B$29,0)),""))</f>
        <v>الأربعاء</v>
      </c>
      <c r="C90" s="5" t="str">
        <f>IF(A90="","",IFERROR(INDEX('جدول الجرد'!$E$2:$E$29,MATCH(A90,'جدول الجرد'!$B$2:$B$29,0)),""))</f>
        <v>تمرة - الدواسر</v>
      </c>
      <c r="D90" s="4" t="n">
        <v>46</v>
      </c>
      <c r="E90" s="4" t="inlineStr">
        <is>
          <t>د. محمد جمال</t>
        </is>
      </c>
      <c r="F90" s="4" t="inlineStr"/>
      <c r="G90" s="4" t="inlineStr">
        <is>
          <t>نعم</t>
        </is>
      </c>
      <c r="H90" s="5" t="str">
        <f>IF(E90="","",IF(AND(F90="نعم",G90="نعم"),"جرد + مراجعة",IF(F90="نعم","جرد فقط",IF(G90="نعم","مراجعة فقط",""))))</f>
        <v>مراجعة فقط</v>
      </c>
      <c r="I90" s="9">
        <f>IF(H90="جرد + مراجعة",الإعدادات!$B$2,IF(H90="مراجعة فقط",الإعدادات!$B$3,IF(H90="جرد فقط",الإعدادات!$B$4,0)))</f>
        <v>150</v>
      </c>
    </row>
    <row r="91">
      <c r="A91" s="4" t="inlineStr">
        <is>
          <t>2026-10-07</t>
        </is>
      </c>
      <c r="B91" s="5" t="str">
        <f>IF(A91="","",IFERROR(INDEX('جدول الجرد'!$A$2:$A$29,MATCH(A91,'جدول الجرد'!$B$2:$B$29,0)),""))</f>
        <v>الأربعاء</v>
      </c>
      <c r="C91" s="5" t="str">
        <f>IF(A91="","",IFERROR(INDEX('جدول الجرد'!$E$2:$E$29,MATCH(A91,'جدول الجرد'!$B$2:$B$29,0)),""))</f>
        <v>تمرة - الدواسر</v>
      </c>
      <c r="D91" s="4" t="n">
        <v>56</v>
      </c>
      <c r="E91" s="4" t="inlineStr">
        <is>
          <t>د. السيد حسن</t>
        </is>
      </c>
      <c r="F91" s="4" t="inlineStr">
        <is>
          <t>نعم</t>
        </is>
      </c>
      <c r="G91" s="4" t="inlineStr">
        <is>
          <t>نعم</t>
        </is>
      </c>
      <c r="H91" s="5" t="str">
        <f>IF(E91="","",IF(AND(F91="نعم",G91="نعم"),"جرد + مراجعة",IF(F91="نعم","جرد فقط",IF(G91="نعم","مراجعة فقط",""))))</f>
        <v>جرد + مراجعة</v>
      </c>
      <c r="I91" s="9">
        <f>IF(H91="جرد + مراجعة",الإعدادات!$B$2,IF(H91="مراجعة فقط",الإعدادات!$B$3,IF(H91="جرد فقط",الإعدادات!$B$4,0)))</f>
        <v>200</v>
      </c>
    </row>
    <row r="92">
      <c r="A92" s="4" t="inlineStr">
        <is>
          <t>2026-10-07</t>
        </is>
      </c>
      <c r="B92" s="5" t="str">
        <f>IF(A92="","",IFERROR(INDEX('جدول الجرد'!$A$2:$A$29,MATCH(A92,'جدول الجرد'!$B$2:$B$29,0)),""))</f>
        <v>الأربعاء</v>
      </c>
      <c r="C92" s="5" t="str">
        <f>IF(A92="","",IFERROR(INDEX('جدول الجرد'!$E$2:$E$29,MATCH(A92,'جدول الجرد'!$B$2:$B$29,0)),""))</f>
        <v>تمرة - الدواسر</v>
      </c>
      <c r="D92" s="4" t="n">
        <v>56</v>
      </c>
      <c r="E92" s="4" t="inlineStr">
        <is>
          <t>د. حسام شلش</t>
        </is>
      </c>
      <c r="F92" s="4" t="inlineStr"/>
      <c r="G92" s="4" t="inlineStr">
        <is>
          <t>نعم</t>
        </is>
      </c>
      <c r="H92" s="5" t="str">
        <f>IF(E92="","",IF(AND(F92="نعم",G92="نعم"),"جرد + مراجعة",IF(F92="نعم","جرد فقط",IF(G92="نعم","مراجعة فقط",""))))</f>
        <v>مراجعة فقط</v>
      </c>
      <c r="I92" s="9">
        <f>IF(H92="جرد + مراجعة",الإعدادات!$B$2,IF(H92="مراجعة فقط",الإعدادات!$B$3,IF(H92="جرد فقط",الإعدادات!$B$4,0)))</f>
        <v>150</v>
      </c>
    </row>
    <row r="93">
      <c r="A93" s="4" t="inlineStr">
        <is>
          <t>2026-10-07</t>
        </is>
      </c>
      <c r="B93" s="5" t="str">
        <f>IF(A93="","",IFERROR(INDEX('جدول الجرد'!$A$2:$A$29,MATCH(A93,'جدول الجرد'!$B$2:$B$29,0)),""))</f>
        <v>الأربعاء</v>
      </c>
      <c r="C93" s="5" t="str">
        <f>IF(A93="","",IFERROR(INDEX('جدول الجرد'!$E$2:$E$29,MATCH(A93,'جدول الجرد'!$B$2:$B$29,0)),""))</f>
        <v>تمرة - الدواسر</v>
      </c>
      <c r="D93" s="4" t="n">
        <v>56</v>
      </c>
      <c r="E93" s="4" t="inlineStr">
        <is>
          <t>د. الحسن الغنيمي</t>
        </is>
      </c>
      <c r="F93" s="4" t="inlineStr"/>
      <c r="G93" s="4" t="inlineStr">
        <is>
          <t>نعم</t>
        </is>
      </c>
      <c r="H93" s="5" t="str">
        <f>IF(E93="","",IF(AND(F93="نعم",G93="نعم"),"جرد + مراجعة",IF(F93="نعم","جرد فقط",IF(G93="نعم","مراجعة فقط",""))))</f>
        <v>مراجعة فقط</v>
      </c>
      <c r="I93" s="9">
        <f>IF(H93="جرد + مراجعة",الإعدادات!$B$2,IF(H93="مراجعة فقط",الإعدادات!$B$3,IF(H93="جرد فقط",الإعدادات!$B$4,0)))</f>
        <v>150</v>
      </c>
    </row>
    <row r="94">
      <c r="A94" s="4" t="inlineStr">
        <is>
          <t>2026-10-07</t>
        </is>
      </c>
      <c r="B94" s="5" t="str">
        <f>IF(A94="","",IFERROR(INDEX('جدول الجرد'!$A$2:$A$29,MATCH(A94,'جدول الجرد'!$B$2:$B$29,0)),""))</f>
        <v>الأربعاء</v>
      </c>
      <c r="C94" s="5" t="str">
        <f>IF(A94="","",IFERROR(INDEX('جدول الجرد'!$E$2:$E$29,MATCH(A94,'جدول الجرد'!$B$2:$B$29,0)),""))</f>
        <v>تمرة - الدواسر</v>
      </c>
      <c r="D94" s="4" t="n">
        <v>56</v>
      </c>
      <c r="E94" s="4" t="inlineStr">
        <is>
          <t>د. محمد جمال</t>
        </is>
      </c>
      <c r="F94" s="4" t="inlineStr"/>
      <c r="G94" s="4" t="inlineStr">
        <is>
          <t>نعم</t>
        </is>
      </c>
      <c r="H94" s="5" t="str">
        <f>IF(E94="","",IF(AND(F94="نعم",G94="نعم"),"جرد + مراجعة",IF(F94="نعم","جرد فقط",IF(G94="نعم","مراجعة فقط",""))))</f>
        <v>مراجعة فقط</v>
      </c>
      <c r="I94" s="9">
        <f>IF(H94="جرد + مراجعة",الإعدادات!$B$2,IF(H94="مراجعة فقط",الإعدادات!$B$3,IF(H94="جرد فقط",الإعدادات!$B$4,0)))</f>
        <v>150</v>
      </c>
    </row>
    <row r="95">
      <c r="A95" s="4" t="inlineStr">
        <is>
          <t>2026-10-08</t>
        </is>
      </c>
      <c r="B95" s="5" t="str">
        <f>IF(A95="","",IFERROR(INDEX('جدول الجرد'!$A$2:$A$29,MATCH(A95,'جدول الجرد'!$B$2:$B$29,0)),""))</f>
        <v>الخميس</v>
      </c>
      <c r="C95" s="5" t="str">
        <f>IF(A95="","",IFERROR(INDEX('جدول الجرد'!$E$2:$E$29,MATCH(A95,'جدول الجرد'!$B$2:$B$29,0)),""))</f>
        <v>الدواسر</v>
      </c>
      <c r="D95" s="4" t="n">
        <v>47</v>
      </c>
      <c r="E95" s="4" t="inlineStr">
        <is>
          <t>د. حسام شلش</t>
        </is>
      </c>
      <c r="F95" s="4" t="inlineStr">
        <is>
          <t>نعم</t>
        </is>
      </c>
      <c r="G95" s="4" t="inlineStr">
        <is>
          <t>نعم</t>
        </is>
      </c>
      <c r="H95" s="5" t="str">
        <f>IF(E95="","",IF(AND(F95="نعم",G95="نعم"),"جرد + مراجعة",IF(F95="نعم","جرد فقط",IF(G95="نعم","مراجعة فقط",""))))</f>
        <v>جرد + مراجعة</v>
      </c>
      <c r="I95" s="9">
        <f>IF(H95="جرد + مراجعة",الإعدادات!$B$2,IF(H95="مراجعة فقط",الإعدادات!$B$3,IF(H95="جرد فقط",الإعدادات!$B$4,0)))</f>
        <v>200</v>
      </c>
    </row>
    <row r="96">
      <c r="A96" s="4" t="inlineStr">
        <is>
          <t>2026-10-08</t>
        </is>
      </c>
      <c r="B96" s="5" t="str">
        <f>IF(A96="","",IFERROR(INDEX('جدول الجرد'!$A$2:$A$29,MATCH(A96,'جدول الجرد'!$B$2:$B$29,0)),""))</f>
        <v>الخميس</v>
      </c>
      <c r="C96" s="5" t="str">
        <f>IF(A96="","",IFERROR(INDEX('جدول الجرد'!$E$2:$E$29,MATCH(A96,'جدول الجرد'!$B$2:$B$29,0)),""))</f>
        <v>الدواسر</v>
      </c>
      <c r="D96" s="4" t="n">
        <v>47</v>
      </c>
      <c r="E96" s="4" t="inlineStr">
        <is>
          <t>د. السيد حسن</t>
        </is>
      </c>
      <c r="F96" s="4" t="inlineStr"/>
      <c r="G96" s="4" t="inlineStr">
        <is>
          <t>نعم</t>
        </is>
      </c>
      <c r="H96" s="5" t="str">
        <f>IF(E96="","",IF(AND(F96="نعم",G96="نعم"),"جرد + مراجعة",IF(F96="نعم","جرد فقط",IF(G96="نعم","مراجعة فقط",""))))</f>
        <v>مراجعة فقط</v>
      </c>
      <c r="I96" s="9">
        <f>IF(H96="جرد + مراجعة",الإعدادات!$B$2,IF(H96="مراجعة فقط",الإعدادات!$B$3,IF(H96="جرد فقط",الإعدادات!$B$4,0)))</f>
        <v>150</v>
      </c>
    </row>
    <row r="97">
      <c r="A97" s="4" t="inlineStr">
        <is>
          <t>2026-10-08</t>
        </is>
      </c>
      <c r="B97" s="5" t="str">
        <f>IF(A97="","",IFERROR(INDEX('جدول الجرد'!$A$2:$A$29,MATCH(A97,'جدول الجرد'!$B$2:$B$29,0)),""))</f>
        <v>الخميس</v>
      </c>
      <c r="C97" s="5" t="str">
        <f>IF(A97="","",IFERROR(INDEX('جدول الجرد'!$E$2:$E$29,MATCH(A97,'جدول الجرد'!$B$2:$B$29,0)),""))</f>
        <v>الدواسر</v>
      </c>
      <c r="D97" s="4" t="n">
        <v>47</v>
      </c>
      <c r="E97" s="4" t="inlineStr">
        <is>
          <t>د. الحسن الغنيمي</t>
        </is>
      </c>
      <c r="F97" s="4" t="inlineStr"/>
      <c r="G97" s="4" t="inlineStr">
        <is>
          <t>نعم</t>
        </is>
      </c>
      <c r="H97" s="5" t="str">
        <f>IF(E97="","",IF(AND(F97="نعم",G97="نعم"),"جرد + مراجعة",IF(F97="نعم","جرد فقط",IF(G97="نعم","مراجعة فقط",""))))</f>
        <v>مراجعة فقط</v>
      </c>
      <c r="I97" s="9">
        <f>IF(H97="جرد + مراجعة",الإعدادات!$B$2,IF(H97="مراجعة فقط",الإعدادات!$B$3,IF(H97="جرد فقط",الإعدادات!$B$4,0)))</f>
        <v>150</v>
      </c>
    </row>
    <row r="98">
      <c r="A98" s="4" t="inlineStr">
        <is>
          <t>2026-10-08</t>
        </is>
      </c>
      <c r="B98" s="5" t="str">
        <f>IF(A98="","",IFERROR(INDEX('جدول الجرد'!$A$2:$A$29,MATCH(A98,'جدول الجرد'!$B$2:$B$29,0)),""))</f>
        <v>الخميس</v>
      </c>
      <c r="C98" s="5" t="str">
        <f>IF(A98="","",IFERROR(INDEX('جدول الجرد'!$E$2:$E$29,MATCH(A98,'جدول الجرد'!$B$2:$B$29,0)),""))</f>
        <v>الدواسر</v>
      </c>
      <c r="D98" s="4" t="n">
        <v>47</v>
      </c>
      <c r="E98" s="4" t="inlineStr">
        <is>
          <t>د. محمد جمال</t>
        </is>
      </c>
      <c r="F98" s="4" t="inlineStr"/>
      <c r="G98" s="4" t="inlineStr">
        <is>
          <t>نعم</t>
        </is>
      </c>
      <c r="H98" s="5" t="str">
        <f>IF(E98="","",IF(AND(F98="نعم",G98="نعم"),"جرد + مراجعة",IF(F98="نعم","جرد فقط",IF(G98="نعم","مراجعة فقط",""))))</f>
        <v>مراجعة فقط</v>
      </c>
      <c r="I98" s="9">
        <f>IF(H98="جرد + مراجعة",الإعدادات!$B$2,IF(H98="مراجعة فقط",الإعدادات!$B$3,IF(H98="جرد فقط",الإعدادات!$B$4,0)))</f>
        <v>150</v>
      </c>
    </row>
    <row r="99">
      <c r="A99" s="4" t="inlineStr">
        <is>
          <t>2026-10-08</t>
        </is>
      </c>
      <c r="B99" s="5" t="str">
        <f>IF(A99="","",IFERROR(INDEX('جدول الجرد'!$A$2:$A$29,MATCH(A99,'جدول الجرد'!$B$2:$B$29,0)),""))</f>
        <v>الخميس</v>
      </c>
      <c r="C99" s="5" t="str">
        <f>IF(A99="","",IFERROR(INDEX('جدول الجرد'!$E$2:$E$29,MATCH(A99,'جدول الجرد'!$B$2:$B$29,0)),""))</f>
        <v>الدواسر</v>
      </c>
      <c r="D99" s="4" t="n">
        <v>37</v>
      </c>
      <c r="E99" s="4" t="inlineStr">
        <is>
          <t>د. حسام شلش</t>
        </is>
      </c>
      <c r="F99" s="4" t="inlineStr">
        <is>
          <t>نعم</t>
        </is>
      </c>
      <c r="G99" s="4" t="inlineStr">
        <is>
          <t>نعم</t>
        </is>
      </c>
      <c r="H99" s="5" t="str">
        <f>IF(E99="","",IF(AND(F99="نعم",G99="نعم"),"جرد + مراجعة",IF(F99="نعم","جرد فقط",IF(G99="نعم","مراجعة فقط",""))))</f>
        <v>جرد + مراجعة</v>
      </c>
      <c r="I99" s="9">
        <f>IF(H99="جرد + مراجعة",الإعدادات!$B$2,IF(H99="مراجعة فقط",الإعدادات!$B$3,IF(H99="جرد فقط",الإعدادات!$B$4,0)))</f>
        <v>200</v>
      </c>
    </row>
    <row r="100">
      <c r="A100" s="4" t="inlineStr">
        <is>
          <t>2026-10-08</t>
        </is>
      </c>
      <c r="B100" s="5" t="str">
        <f>IF(A100="","",IFERROR(INDEX('جدول الجرد'!$A$2:$A$29,MATCH(A100,'جدول الجرد'!$B$2:$B$29,0)),""))</f>
        <v>الخميس</v>
      </c>
      <c r="C100" s="5" t="str">
        <f>IF(A100="","",IFERROR(INDEX('جدول الجرد'!$E$2:$E$29,MATCH(A100,'جدول الجرد'!$B$2:$B$29,0)),""))</f>
        <v>الدواسر</v>
      </c>
      <c r="D100" s="4" t="n">
        <v>37</v>
      </c>
      <c r="E100" s="4" t="inlineStr">
        <is>
          <t>د. السيد حسن</t>
        </is>
      </c>
      <c r="F100" s="4" t="inlineStr"/>
      <c r="G100" s="4" t="inlineStr">
        <is>
          <t>نعم</t>
        </is>
      </c>
      <c r="H100" s="5" t="str">
        <f>IF(E100="","",IF(AND(F100="نعم",G100="نعم"),"جرد + مراجعة",IF(F100="نعم","جرد فقط",IF(G100="نعم","مراجعة فقط",""))))</f>
        <v>مراجعة فقط</v>
      </c>
      <c r="I100" s="9">
        <f>IF(H100="جرد + مراجعة",الإعدادات!$B$2,IF(H100="مراجعة فقط",الإعدادات!$B$3,IF(H100="جرد فقط",الإعدادات!$B$4,0)))</f>
        <v>150</v>
      </c>
    </row>
    <row r="101">
      <c r="A101" s="4" t="inlineStr">
        <is>
          <t>2026-10-08</t>
        </is>
      </c>
      <c r="B101" s="5" t="str">
        <f>IF(A101="","",IFERROR(INDEX('جدول الجرد'!$A$2:$A$29,MATCH(A101,'جدول الجرد'!$B$2:$B$29,0)),""))</f>
        <v>الخميس</v>
      </c>
      <c r="C101" s="5" t="str">
        <f>IF(A101="","",IFERROR(INDEX('جدول الجرد'!$E$2:$E$29,MATCH(A101,'جدول الجرد'!$B$2:$B$29,0)),""))</f>
        <v>الدواسر</v>
      </c>
      <c r="D101" s="4" t="n">
        <v>37</v>
      </c>
      <c r="E101" s="4" t="inlineStr">
        <is>
          <t>د. الحسن الغنيمي</t>
        </is>
      </c>
      <c r="F101" s="4" t="inlineStr"/>
      <c r="G101" s="4" t="inlineStr">
        <is>
          <t>نعم</t>
        </is>
      </c>
      <c r="H101" s="5" t="str">
        <f>IF(E101="","",IF(AND(F101="نعم",G101="نعم"),"جرد + مراجعة",IF(F101="نعم","جرد فقط",IF(G101="نعم","مراجعة فقط",""))))</f>
        <v>مراجعة فقط</v>
      </c>
      <c r="I101" s="9">
        <f>IF(H101="جرد + مراجعة",الإعدادات!$B$2,IF(H101="مراجعة فقط",الإعدادات!$B$3,IF(H101="جرد فقط",الإعدادات!$B$4,0)))</f>
        <v>150</v>
      </c>
    </row>
    <row r="102">
      <c r="A102" s="4" t="inlineStr">
        <is>
          <t>2026-10-08</t>
        </is>
      </c>
      <c r="B102" s="5" t="str">
        <f>IF(A102="","",IFERROR(INDEX('جدول الجرد'!$A$2:$A$29,MATCH(A102,'جدول الجرد'!$B$2:$B$29,0)),""))</f>
        <v>الخميس</v>
      </c>
      <c r="C102" s="5" t="str">
        <f>IF(A102="","",IFERROR(INDEX('جدول الجرد'!$E$2:$E$29,MATCH(A102,'جدول الجرد'!$B$2:$B$29,0)),""))</f>
        <v>الدواسر</v>
      </c>
      <c r="D102" s="4" t="n">
        <v>37</v>
      </c>
      <c r="E102" s="4" t="inlineStr">
        <is>
          <t>د. محمد جمال</t>
        </is>
      </c>
      <c r="F102" s="4" t="inlineStr"/>
      <c r="G102" s="4" t="inlineStr">
        <is>
          <t>نعم</t>
        </is>
      </c>
      <c r="H102" s="5" t="str">
        <f>IF(E102="","",IF(AND(F102="نعم",G102="نعم"),"جرد + مراجعة",IF(F102="نعم","جرد فقط",IF(G102="نعم","مراجعة فقط",""))))</f>
        <v>مراجعة فقط</v>
      </c>
      <c r="I102" s="9">
        <f>IF(H102="جرد + مراجعة",الإعدادات!$B$2,IF(H102="مراجعة فقط",الإعدادات!$B$3,IF(H102="جرد فقط",الإعدادات!$B$4,0)))</f>
        <v>150</v>
      </c>
    </row>
    <row r="103">
      <c r="A103" s="4" t="inlineStr">
        <is>
          <t>2026-10-09</t>
        </is>
      </c>
      <c r="B103" s="5" t="str">
        <f>IF(A103="","",IFERROR(INDEX('جدول الجرد'!$A$2:$A$29,MATCH(A103,'جدول الجرد'!$B$2:$B$29,0)),""))</f>
        <v>الجمعة</v>
      </c>
      <c r="C103" s="5" t="str">
        <f>IF(A103="","",IFERROR(INDEX('جدول الجرد'!$E$2:$E$29,MATCH(A103,'جدول الجرد'!$B$2:$B$29,0)),""))</f>
        <v>الدواسر</v>
      </c>
      <c r="D103" s="4" t="n">
        <v>38</v>
      </c>
      <c r="E103" s="4" t="inlineStr">
        <is>
          <t>د. السيد حسن</t>
        </is>
      </c>
      <c r="F103" s="4" t="inlineStr">
        <is>
          <t>نعم</t>
        </is>
      </c>
      <c r="G103" s="4" t="inlineStr">
        <is>
          <t>نعم</t>
        </is>
      </c>
      <c r="H103" s="5" t="str">
        <f>IF(E103="","",IF(AND(F103="نعم",G103="نعم"),"جرد + مراجعة",IF(F103="نعم","جرد فقط",IF(G103="نعم","مراجعة فقط",""))))</f>
        <v>جرد + مراجعة</v>
      </c>
      <c r="I103" s="9">
        <f>IF(H103="جرد + مراجعة",الإعدادات!$B$2,IF(H103="مراجعة فقط",الإعدادات!$B$3,IF(H103="جرد فقط",الإعدادات!$B$4,0)))</f>
        <v>200</v>
      </c>
    </row>
    <row r="104">
      <c r="A104" s="4" t="inlineStr">
        <is>
          <t>2026-10-09</t>
        </is>
      </c>
      <c r="B104" s="5" t="str">
        <f>IF(A104="","",IFERROR(INDEX('جدول الجرد'!$A$2:$A$29,MATCH(A104,'جدول الجرد'!$B$2:$B$29,0)),""))</f>
        <v>الجمعة</v>
      </c>
      <c r="C104" s="5" t="str">
        <f>IF(A104="","",IFERROR(INDEX('جدول الجرد'!$E$2:$E$29,MATCH(A104,'جدول الجرد'!$B$2:$B$29,0)),""))</f>
        <v>الدواسر</v>
      </c>
      <c r="D104" s="4" t="n">
        <v>38</v>
      </c>
      <c r="E104" s="4" t="inlineStr">
        <is>
          <t>د. حسام شلش</t>
        </is>
      </c>
      <c r="F104" s="4" t="inlineStr"/>
      <c r="G104" s="4" t="inlineStr">
        <is>
          <t>نعم</t>
        </is>
      </c>
      <c r="H104" s="5" t="str">
        <f>IF(E104="","",IF(AND(F104="نعم",G104="نعم"),"جرد + مراجعة",IF(F104="نعم","جرد فقط",IF(G104="نعم","مراجعة فقط",""))))</f>
        <v>مراجعة فقط</v>
      </c>
      <c r="I104" s="9">
        <f>IF(H104="جرد + مراجعة",الإعدادات!$B$2,IF(H104="مراجعة فقط",الإعدادات!$B$3,IF(H104="جرد فقط",الإعدادات!$B$4,0)))</f>
        <v>150</v>
      </c>
    </row>
    <row r="105">
      <c r="A105" s="4" t="inlineStr">
        <is>
          <t>2026-10-09</t>
        </is>
      </c>
      <c r="B105" s="5" t="str">
        <f>IF(A105="","",IFERROR(INDEX('جدول الجرد'!$A$2:$A$29,MATCH(A105,'جدول الجرد'!$B$2:$B$29,0)),""))</f>
        <v>الجمعة</v>
      </c>
      <c r="C105" s="5" t="str">
        <f>IF(A105="","",IFERROR(INDEX('جدول الجرد'!$E$2:$E$29,MATCH(A105,'جدول الجرد'!$B$2:$B$29,0)),""))</f>
        <v>الدواسر</v>
      </c>
      <c r="D105" s="4" t="n">
        <v>38</v>
      </c>
      <c r="E105" s="4" t="inlineStr">
        <is>
          <t>د. الحسن الغنيمي</t>
        </is>
      </c>
      <c r="F105" s="4" t="inlineStr"/>
      <c r="G105" s="4" t="inlineStr">
        <is>
          <t>نعم</t>
        </is>
      </c>
      <c r="H105" s="5" t="str">
        <f>IF(E105="","",IF(AND(F105="نعم",G105="نعم"),"جرد + مراجعة",IF(F105="نعم","جرد فقط",IF(G105="نعم","مراجعة فقط",""))))</f>
        <v>مراجعة فقط</v>
      </c>
      <c r="I105" s="9">
        <f>IF(H105="جرد + مراجعة",الإعدادات!$B$2,IF(H105="مراجعة فقط",الإعدادات!$B$3,IF(H105="جرد فقط",الإعدادات!$B$4,0)))</f>
        <v>150</v>
      </c>
    </row>
    <row r="106">
      <c r="A106" s="4" t="inlineStr">
        <is>
          <t>2026-10-09</t>
        </is>
      </c>
      <c r="B106" s="5" t="str">
        <f>IF(A106="","",IFERROR(INDEX('جدول الجرد'!$A$2:$A$29,MATCH(A106,'جدول الجرد'!$B$2:$B$29,0)),""))</f>
        <v>الجمعة</v>
      </c>
      <c r="C106" s="5" t="str">
        <f>IF(A106="","",IFERROR(INDEX('جدول الجرد'!$E$2:$E$29,MATCH(A106,'جدول الجرد'!$B$2:$B$29,0)),""))</f>
        <v>الدواسر</v>
      </c>
      <c r="D106" s="4" t="n">
        <v>38</v>
      </c>
      <c r="E106" s="4" t="inlineStr">
        <is>
          <t>د. محمد جمال</t>
        </is>
      </c>
      <c r="F106" s="4" t="inlineStr"/>
      <c r="G106" s="4" t="inlineStr">
        <is>
          <t>نعم</t>
        </is>
      </c>
      <c r="H106" s="5" t="str">
        <f>IF(E106="","",IF(AND(F106="نعم",G106="نعم"),"جرد + مراجعة",IF(F106="نعم","جرد فقط",IF(G106="نعم","مراجعة فقط",""))))</f>
        <v>مراجعة فقط</v>
      </c>
      <c r="I106" s="9">
        <f>IF(H106="جرد + مراجعة",الإعدادات!$B$2,IF(H106="مراجعة فقط",الإعدادات!$B$3,IF(H106="جرد فقط",الإعدادات!$B$4,0)))</f>
        <v>150</v>
      </c>
    </row>
    <row r="107">
      <c r="A107" s="4" t="inlineStr">
        <is>
          <t>2026-10-09</t>
        </is>
      </c>
      <c r="B107" s="5" t="str">
        <f>IF(A107="","",IFERROR(INDEX('جدول الجرد'!$A$2:$A$29,MATCH(A107,'جدول الجرد'!$B$2:$B$29,0)),""))</f>
        <v>الجمعة</v>
      </c>
      <c r="C107" s="5" t="str">
        <f>IF(A107="","",IFERROR(INDEX('جدول الجرد'!$E$2:$E$29,MATCH(A107,'جدول الجرد'!$B$2:$B$29,0)),""))</f>
        <v>الدواسر</v>
      </c>
      <c r="D107" s="4" t="n">
        <v>59</v>
      </c>
      <c r="E107" s="4" t="inlineStr">
        <is>
          <t>د. السيد حسن</t>
        </is>
      </c>
      <c r="F107" s="4" t="inlineStr">
        <is>
          <t>نعم</t>
        </is>
      </c>
      <c r="G107" s="4" t="inlineStr">
        <is>
          <t>نعم</t>
        </is>
      </c>
      <c r="H107" s="5" t="str">
        <f>IF(E107="","",IF(AND(F107="نعم",G107="نعم"),"جرد + مراجعة",IF(F107="نعم","جرد فقط",IF(G107="نعم","مراجعة فقط",""))))</f>
        <v>جرد + مراجعة</v>
      </c>
      <c r="I107" s="9">
        <f>IF(H107="جرد + مراجعة",الإعدادات!$B$2,IF(H107="مراجعة فقط",الإعدادات!$B$3,IF(H107="جرد فقط",الإعدادات!$B$4,0)))</f>
        <v>200</v>
      </c>
    </row>
    <row r="108">
      <c r="A108" s="4" t="inlineStr">
        <is>
          <t>2026-10-09</t>
        </is>
      </c>
      <c r="B108" s="5" t="str">
        <f>IF(A108="","",IFERROR(INDEX('جدول الجرد'!$A$2:$A$29,MATCH(A108,'جدول الجرد'!$B$2:$B$29,0)),""))</f>
        <v>الجمعة</v>
      </c>
      <c r="C108" s="5" t="str">
        <f>IF(A108="","",IFERROR(INDEX('جدول الجرد'!$E$2:$E$29,MATCH(A108,'جدول الجرد'!$B$2:$B$29,0)),""))</f>
        <v>الدواسر</v>
      </c>
      <c r="D108" s="4" t="n">
        <v>59</v>
      </c>
      <c r="E108" s="4" t="inlineStr">
        <is>
          <t>د. حسام شلش</t>
        </is>
      </c>
      <c r="F108" s="4" t="inlineStr"/>
      <c r="G108" s="4" t="inlineStr">
        <is>
          <t>نعم</t>
        </is>
      </c>
      <c r="H108" s="5" t="str">
        <f>IF(E108="","",IF(AND(F108="نعم",G108="نعم"),"جرد + مراجعة",IF(F108="نعم","جرد فقط",IF(G108="نعم","مراجعة فقط",""))))</f>
        <v>مراجعة فقط</v>
      </c>
      <c r="I108" s="9">
        <f>IF(H108="جرد + مراجعة",الإعدادات!$B$2,IF(H108="مراجعة فقط",الإعدادات!$B$3,IF(H108="جرد فقط",الإعدادات!$B$4,0)))</f>
        <v>150</v>
      </c>
    </row>
    <row r="109">
      <c r="A109" s="4" t="inlineStr">
        <is>
          <t>2026-10-09</t>
        </is>
      </c>
      <c r="B109" s="5" t="str">
        <f>IF(A109="","",IFERROR(INDEX('جدول الجرد'!$A$2:$A$29,MATCH(A109,'جدول الجرد'!$B$2:$B$29,0)),""))</f>
        <v>الجمعة</v>
      </c>
      <c r="C109" s="5" t="str">
        <f>IF(A109="","",IFERROR(INDEX('جدول الجرد'!$E$2:$E$29,MATCH(A109,'جدول الجرد'!$B$2:$B$29,0)),""))</f>
        <v>الدواسر</v>
      </c>
      <c r="D109" s="4" t="n">
        <v>59</v>
      </c>
      <c r="E109" s="4" t="inlineStr">
        <is>
          <t>د. الحسن الغنيمي</t>
        </is>
      </c>
      <c r="F109" s="4" t="inlineStr"/>
      <c r="G109" s="4" t="inlineStr">
        <is>
          <t>نعم</t>
        </is>
      </c>
      <c r="H109" s="5" t="str">
        <f>IF(E109="","",IF(AND(F109="نعم",G109="نعم"),"جرد + مراجعة",IF(F109="نعم","جرد فقط",IF(G109="نعم","مراجعة فقط",""))))</f>
        <v>مراجعة فقط</v>
      </c>
      <c r="I109" s="9">
        <f>IF(H109="جرد + مراجعة",الإعدادات!$B$2,IF(H109="مراجعة فقط",الإعدادات!$B$3,IF(H109="جرد فقط",الإعدادات!$B$4,0)))</f>
        <v>150</v>
      </c>
    </row>
    <row r="110">
      <c r="A110" s="4" t="inlineStr">
        <is>
          <t>2026-10-09</t>
        </is>
      </c>
      <c r="B110" s="5" t="str">
        <f>IF(A110="","",IFERROR(INDEX('جدول الجرد'!$A$2:$A$29,MATCH(A110,'جدول الجرد'!$B$2:$B$29,0)),""))</f>
        <v>الجمعة</v>
      </c>
      <c r="C110" s="5" t="str">
        <f>IF(A110="","",IFERROR(INDEX('جدول الجرد'!$E$2:$E$29,MATCH(A110,'جدول الجرد'!$B$2:$B$29,0)),""))</f>
        <v>الدواسر</v>
      </c>
      <c r="D110" s="4" t="n">
        <v>59</v>
      </c>
      <c r="E110" s="4" t="inlineStr">
        <is>
          <t>د. محمد جمال</t>
        </is>
      </c>
      <c r="F110" s="4" t="inlineStr"/>
      <c r="G110" s="4" t="inlineStr">
        <is>
          <t>نعم</t>
        </is>
      </c>
      <c r="H110" s="5" t="str">
        <f>IF(E110="","",IF(AND(F110="نعم",G110="نعم"),"جرد + مراجعة",IF(F110="نعم","جرد فقط",IF(G110="نعم","مراجعة فقط",""))))</f>
        <v>مراجعة فقط</v>
      </c>
      <c r="I110" s="9">
        <f>IF(H110="جرد + مراجعة",الإعدادات!$B$2,IF(H110="مراجعة فقط",الإعدادات!$B$3,IF(H110="جرد فقط",الإعدادات!$B$4,0)))</f>
        <v>150</v>
      </c>
    </row>
    <row r="111">
      <c r="A111" s="4" t="inlineStr">
        <is>
          <t>2026-10-10</t>
        </is>
      </c>
      <c r="B111" s="5" t="str">
        <f>IF(A111="","",IFERROR(INDEX('جدول الجرد'!$A$2:$A$29,MATCH(A111,'جدول الجرد'!$B$2:$B$29,0)),""))</f>
        <v>السبت</v>
      </c>
      <c r="C111" s="5" t="str">
        <f>IF(A111="","",IFERROR(INDEX('جدول الجرد'!$E$2:$E$29,MATCH(A111,'جدول الجرد'!$B$2:$B$29,0)),""))</f>
        <v>الدواسر</v>
      </c>
      <c r="D111" s="4" t="n">
        <v>36</v>
      </c>
      <c r="E111" s="4" t="inlineStr">
        <is>
          <t>د. حسام شلش</t>
        </is>
      </c>
      <c r="F111" s="4" t="inlineStr">
        <is>
          <t>نعم</t>
        </is>
      </c>
      <c r="G111" s="4" t="inlineStr">
        <is>
          <t>نعم</t>
        </is>
      </c>
      <c r="H111" s="5" t="str">
        <f>IF(E111="","",IF(AND(F111="نعم",G111="نعم"),"جرد + مراجعة",IF(F111="نعم","جرد فقط",IF(G111="نعم","مراجعة فقط",""))))</f>
        <v>جرد + مراجعة</v>
      </c>
      <c r="I111" s="9">
        <f>IF(H111="جرد + مراجعة",الإعدادات!$B$2,IF(H111="مراجعة فقط",الإعدادات!$B$3,IF(H111="جرد فقط",الإعدادات!$B$4,0)))</f>
        <v>200</v>
      </c>
    </row>
    <row r="112">
      <c r="A112" s="4" t="inlineStr">
        <is>
          <t>2026-10-10</t>
        </is>
      </c>
      <c r="B112" s="5" t="str">
        <f>IF(A112="","",IFERROR(INDEX('جدول الجرد'!$A$2:$A$29,MATCH(A112,'جدول الجرد'!$B$2:$B$29,0)),""))</f>
        <v>السبت</v>
      </c>
      <c r="C112" s="5" t="str">
        <f>IF(A112="","",IFERROR(INDEX('جدول الجرد'!$E$2:$E$29,MATCH(A112,'جدول الجرد'!$B$2:$B$29,0)),""))</f>
        <v>الدواسر</v>
      </c>
      <c r="D112" s="4" t="n">
        <v>36</v>
      </c>
      <c r="E112" s="4" t="inlineStr">
        <is>
          <t>د. السيد حسن</t>
        </is>
      </c>
      <c r="F112" s="4" t="inlineStr"/>
      <c r="G112" s="4" t="inlineStr">
        <is>
          <t>نعم</t>
        </is>
      </c>
      <c r="H112" s="5" t="str">
        <f>IF(E112="","",IF(AND(F112="نعم",G112="نعم"),"جرد + مراجعة",IF(F112="نعم","جرد فقط",IF(G112="نعم","مراجعة فقط",""))))</f>
        <v>مراجعة فقط</v>
      </c>
      <c r="I112" s="9">
        <f>IF(H112="جرد + مراجعة",الإعدادات!$B$2,IF(H112="مراجعة فقط",الإعدادات!$B$3,IF(H112="جرد فقط",الإعدادات!$B$4,0)))</f>
        <v>150</v>
      </c>
    </row>
    <row r="113">
      <c r="A113" s="4" t="inlineStr">
        <is>
          <t>2026-10-10</t>
        </is>
      </c>
      <c r="B113" s="5" t="str">
        <f>IF(A113="","",IFERROR(INDEX('جدول الجرد'!$A$2:$A$29,MATCH(A113,'جدول الجرد'!$B$2:$B$29,0)),""))</f>
        <v>السبت</v>
      </c>
      <c r="C113" s="5" t="str">
        <f>IF(A113="","",IFERROR(INDEX('جدول الجرد'!$E$2:$E$29,MATCH(A113,'جدول الجرد'!$B$2:$B$29,0)),""))</f>
        <v>الدواسر</v>
      </c>
      <c r="D113" s="4" t="n">
        <v>36</v>
      </c>
      <c r="E113" s="4" t="inlineStr">
        <is>
          <t>د. الحسن الغنيمي</t>
        </is>
      </c>
      <c r="F113" s="4" t="inlineStr"/>
      <c r="G113" s="4" t="inlineStr">
        <is>
          <t>نعم</t>
        </is>
      </c>
      <c r="H113" s="5" t="str">
        <f>IF(E113="","",IF(AND(F113="نعم",G113="نعم"),"جرد + مراجعة",IF(F113="نعم","جرد فقط",IF(G113="نعم","مراجعة فقط",""))))</f>
        <v>مراجعة فقط</v>
      </c>
      <c r="I113" s="9">
        <f>IF(H113="جرد + مراجعة",الإعدادات!$B$2,IF(H113="مراجعة فقط",الإعدادات!$B$3,IF(H113="جرد فقط",الإعدادات!$B$4,0)))</f>
        <v>150</v>
      </c>
    </row>
    <row r="114">
      <c r="A114" s="4" t="inlineStr">
        <is>
          <t>2026-10-10</t>
        </is>
      </c>
      <c r="B114" s="5" t="str">
        <f>IF(A114="","",IFERROR(INDEX('جدول الجرد'!$A$2:$A$29,MATCH(A114,'جدول الجرد'!$B$2:$B$29,0)),""))</f>
        <v>السبت</v>
      </c>
      <c r="C114" s="5" t="str">
        <f>IF(A114="","",IFERROR(INDEX('جدول الجرد'!$E$2:$E$29,MATCH(A114,'جدول الجرد'!$B$2:$B$29,0)),""))</f>
        <v>الدواسر</v>
      </c>
      <c r="D114" s="4" t="n">
        <v>36</v>
      </c>
      <c r="E114" s="4" t="inlineStr">
        <is>
          <t>د. محمد جمال</t>
        </is>
      </c>
      <c r="F114" s="4" t="inlineStr"/>
      <c r="G114" s="4" t="inlineStr">
        <is>
          <t>نعم</t>
        </is>
      </c>
      <c r="H114" s="5" t="str">
        <f>IF(E114="","",IF(AND(F114="نعم",G114="نعم"),"جرد + مراجعة",IF(F114="نعم","جرد فقط",IF(G114="نعم","مراجعة فقط",""))))</f>
        <v>مراجعة فقط</v>
      </c>
      <c r="I114" s="9">
        <f>IF(H114="جرد + مراجعة",الإعدادات!$B$2,IF(H114="مراجعة فقط",الإعدادات!$B$3,IF(H114="جرد فقط",الإعدادات!$B$4,0)))</f>
        <v>150</v>
      </c>
    </row>
    <row r="115">
      <c r="A115" s="4" t="inlineStr">
        <is>
          <t>2026-10-10</t>
        </is>
      </c>
      <c r="B115" s="5" t="str">
        <f>IF(A115="","",IFERROR(INDEX('جدول الجرد'!$A$2:$A$29,MATCH(A115,'جدول الجرد'!$B$2:$B$29,0)),""))</f>
        <v>السبت</v>
      </c>
      <c r="C115" s="5" t="str">
        <f>IF(A115="","",IFERROR(INDEX('جدول الجرد'!$E$2:$E$29,MATCH(A115,'جدول الجرد'!$B$2:$B$29,0)),""))</f>
        <v>الدواسر</v>
      </c>
      <c r="D115" s="4" t="n">
        <v>57</v>
      </c>
      <c r="E115" s="4" t="inlineStr">
        <is>
          <t>د. حسام شلش</t>
        </is>
      </c>
      <c r="F115" s="4" t="inlineStr">
        <is>
          <t>نعم</t>
        </is>
      </c>
      <c r="G115" s="4" t="inlineStr">
        <is>
          <t>نعم</t>
        </is>
      </c>
      <c r="H115" s="5" t="str">
        <f>IF(E115="","",IF(AND(F115="نعم",G115="نعم"),"جرد + مراجعة",IF(F115="نعم","جرد فقط",IF(G115="نعم","مراجعة فقط",""))))</f>
        <v>جرد + مراجعة</v>
      </c>
      <c r="I115" s="9">
        <f>IF(H115="جرد + مراجعة",الإعدادات!$B$2,IF(H115="مراجعة فقط",الإعدادات!$B$3,IF(H115="جرد فقط",الإعدادات!$B$4,0)))</f>
        <v>200</v>
      </c>
    </row>
    <row r="116">
      <c r="A116" s="4" t="inlineStr">
        <is>
          <t>2026-10-10</t>
        </is>
      </c>
      <c r="B116" s="5" t="str">
        <f>IF(A116="","",IFERROR(INDEX('جدول الجرد'!$A$2:$A$29,MATCH(A116,'جدول الجرد'!$B$2:$B$29,0)),""))</f>
        <v>السبت</v>
      </c>
      <c r="C116" s="5" t="str">
        <f>IF(A116="","",IFERROR(INDEX('جدول الجرد'!$E$2:$E$29,MATCH(A116,'جدول الجرد'!$B$2:$B$29,0)),""))</f>
        <v>الدواسر</v>
      </c>
      <c r="D116" s="4" t="n">
        <v>57</v>
      </c>
      <c r="E116" s="4" t="inlineStr">
        <is>
          <t>د. السيد حسن</t>
        </is>
      </c>
      <c r="F116" s="4" t="inlineStr"/>
      <c r="G116" s="4" t="inlineStr">
        <is>
          <t>نعم</t>
        </is>
      </c>
      <c r="H116" s="5" t="str">
        <f>IF(E116="","",IF(AND(F116="نعم",G116="نعم"),"جرد + مراجعة",IF(F116="نعم","جرد فقط",IF(G116="نعم","مراجعة فقط",""))))</f>
        <v>مراجعة فقط</v>
      </c>
      <c r="I116" s="9">
        <f>IF(H116="جرد + مراجعة",الإعدادات!$B$2,IF(H116="مراجعة فقط",الإعدادات!$B$3,IF(H116="جرد فقط",الإعدادات!$B$4,0)))</f>
        <v>150</v>
      </c>
    </row>
    <row r="117">
      <c r="A117" s="4" t="inlineStr">
        <is>
          <t>2026-10-10</t>
        </is>
      </c>
      <c r="B117" s="5" t="str">
        <f>IF(A117="","",IFERROR(INDEX('جدول الجرد'!$A$2:$A$29,MATCH(A117,'جدول الجرد'!$B$2:$B$29,0)),""))</f>
        <v>السبت</v>
      </c>
      <c r="C117" s="5" t="str">
        <f>IF(A117="","",IFERROR(INDEX('جدول الجرد'!$E$2:$E$29,MATCH(A117,'جدول الجرد'!$B$2:$B$29,0)),""))</f>
        <v>الدواسر</v>
      </c>
      <c r="D117" s="4" t="n">
        <v>57</v>
      </c>
      <c r="E117" s="4" t="inlineStr">
        <is>
          <t>د. الحسن الغنيمي</t>
        </is>
      </c>
      <c r="F117" s="4" t="inlineStr"/>
      <c r="G117" s="4" t="inlineStr">
        <is>
          <t>نعم</t>
        </is>
      </c>
      <c r="H117" s="5" t="str">
        <f>IF(E117="","",IF(AND(F117="نعم",G117="نعم"),"جرد + مراجعة",IF(F117="نعم","جرد فقط",IF(G117="نعم","مراجعة فقط",""))))</f>
        <v>مراجعة فقط</v>
      </c>
      <c r="I117" s="9">
        <f>IF(H117="جرد + مراجعة",الإعدادات!$B$2,IF(H117="مراجعة فقط",الإعدادات!$B$3,IF(H117="جرد فقط",الإعدادات!$B$4,0)))</f>
        <v>150</v>
      </c>
    </row>
    <row r="118">
      <c r="A118" s="4" t="inlineStr">
        <is>
          <t>2026-10-10</t>
        </is>
      </c>
      <c r="B118" s="5" t="str">
        <f>IF(A118="","",IFERROR(INDEX('جدول الجرد'!$A$2:$A$29,MATCH(A118,'جدول الجرد'!$B$2:$B$29,0)),""))</f>
        <v>السبت</v>
      </c>
      <c r="C118" s="5" t="str">
        <f>IF(A118="","",IFERROR(INDEX('جدول الجرد'!$E$2:$E$29,MATCH(A118,'جدول الجرد'!$B$2:$B$29,0)),""))</f>
        <v>الدواسر</v>
      </c>
      <c r="D118" s="4" t="n">
        <v>57</v>
      </c>
      <c r="E118" s="4" t="inlineStr">
        <is>
          <t>د. محمد جمال</t>
        </is>
      </c>
      <c r="F118" s="4" t="inlineStr"/>
      <c r="G118" s="4" t="inlineStr">
        <is>
          <t>نعم</t>
        </is>
      </c>
      <c r="H118" s="5" t="str">
        <f>IF(E118="","",IF(AND(F118="نعم",G118="نعم"),"جرد + مراجعة",IF(F118="نعم","جرد فقط",IF(G118="نعم","مراجعة فقط",""))))</f>
        <v>مراجعة فقط</v>
      </c>
      <c r="I118" s="9">
        <f>IF(H118="جرد + مراجعة",الإعدادات!$B$2,IF(H118="مراجعة فقط",الإعدادات!$B$3,IF(H118="جرد فقط",الإعدادات!$B$4,0)))</f>
        <v>150</v>
      </c>
    </row>
    <row r="119">
      <c r="A119" s="4" t="inlineStr">
        <is>
          <t>2026-10-11</t>
        </is>
      </c>
      <c r="B119" s="5" t="str">
        <f>IF(A119="","",IFERROR(INDEX('جدول الجرد'!$A$2:$A$29,MATCH(A119,'جدول الجرد'!$B$2:$B$29,0)),""))</f>
        <v>الأحد</v>
      </c>
      <c r="C119" s="5" t="str">
        <f>IF(A119="","",IFERROR(INDEX('جدول الجرد'!$E$2:$E$29,MATCH(A119,'جدول الجرد'!$B$2:$B$29,0)),""))</f>
        <v>رنية</v>
      </c>
      <c r="D119" s="4" t="n">
        <v>48</v>
      </c>
      <c r="E119" s="4" t="inlineStr">
        <is>
          <t>د. السيد حسن</t>
        </is>
      </c>
      <c r="F119" s="4" t="inlineStr">
        <is>
          <t>نعم</t>
        </is>
      </c>
      <c r="G119" s="4" t="inlineStr">
        <is>
          <t>نعم</t>
        </is>
      </c>
      <c r="H119" s="5" t="str">
        <f>IF(E119="","",IF(AND(F119="نعم",G119="نعم"),"جرد + مراجعة",IF(F119="نعم","جرد فقط",IF(G119="نعم","مراجعة فقط",""))))</f>
        <v>جرد + مراجعة</v>
      </c>
      <c r="I119" s="9">
        <f>IF(H119="جرد + مراجعة",الإعدادات!$B$2,IF(H119="مراجعة فقط",الإعدادات!$B$3,IF(H119="جرد فقط",الإعدادات!$B$4,0)))</f>
        <v>200</v>
      </c>
    </row>
    <row r="120">
      <c r="A120" s="4" t="inlineStr">
        <is>
          <t>2026-10-11</t>
        </is>
      </c>
      <c r="B120" s="5" t="str">
        <f>IF(A120="","",IFERROR(INDEX('جدول الجرد'!$A$2:$A$29,MATCH(A120,'جدول الجرد'!$B$2:$B$29,0)),""))</f>
        <v>الأحد</v>
      </c>
      <c r="C120" s="5" t="str">
        <f>IF(A120="","",IFERROR(INDEX('جدول الجرد'!$E$2:$E$29,MATCH(A120,'جدول الجرد'!$B$2:$B$29,0)),""))</f>
        <v>رنية</v>
      </c>
      <c r="D120" s="4" t="n">
        <v>48</v>
      </c>
      <c r="E120" s="4" t="inlineStr">
        <is>
          <t>د. حسام شلش</t>
        </is>
      </c>
      <c r="F120" s="4" t="inlineStr"/>
      <c r="G120" s="4" t="inlineStr">
        <is>
          <t>نعم</t>
        </is>
      </c>
      <c r="H120" s="5" t="str">
        <f>IF(E120="","",IF(AND(F120="نعم",G120="نعم"),"جرد + مراجعة",IF(F120="نعم","جرد فقط",IF(G120="نعم","مراجعة فقط",""))))</f>
        <v>مراجعة فقط</v>
      </c>
      <c r="I120" s="9">
        <f>IF(H120="جرد + مراجعة",الإعدادات!$B$2,IF(H120="مراجعة فقط",الإعدادات!$B$3,IF(H120="جرد فقط",الإعدادات!$B$4,0)))</f>
        <v>150</v>
      </c>
    </row>
    <row r="121">
      <c r="A121" s="4" t="inlineStr">
        <is>
          <t>2026-10-11</t>
        </is>
      </c>
      <c r="B121" s="5" t="str">
        <f>IF(A121="","",IFERROR(INDEX('جدول الجرد'!$A$2:$A$29,MATCH(A121,'جدول الجرد'!$B$2:$B$29,0)),""))</f>
        <v>الأحد</v>
      </c>
      <c r="C121" s="5" t="str">
        <f>IF(A121="","",IFERROR(INDEX('جدول الجرد'!$E$2:$E$29,MATCH(A121,'جدول الجرد'!$B$2:$B$29,0)),""))</f>
        <v>رنية</v>
      </c>
      <c r="D121" s="4" t="n">
        <v>48</v>
      </c>
      <c r="E121" s="4" t="inlineStr">
        <is>
          <t>د. الحسن الغنيمي</t>
        </is>
      </c>
      <c r="F121" s="4" t="inlineStr"/>
      <c r="G121" s="4" t="inlineStr">
        <is>
          <t>نعم</t>
        </is>
      </c>
      <c r="H121" s="5" t="str">
        <f>IF(E121="","",IF(AND(F121="نعم",G121="نعم"),"جرد + مراجعة",IF(F121="نعم","جرد فقط",IF(G121="نعم","مراجعة فقط",""))))</f>
        <v>مراجعة فقط</v>
      </c>
      <c r="I121" s="9">
        <f>IF(H121="جرد + مراجعة",الإعدادات!$B$2,IF(H121="مراجعة فقط",الإعدادات!$B$3,IF(H121="جرد فقط",الإعدادات!$B$4,0)))</f>
        <v>150</v>
      </c>
    </row>
    <row r="122">
      <c r="A122" s="4" t="inlineStr">
        <is>
          <t>2026-10-11</t>
        </is>
      </c>
      <c r="B122" s="5" t="str">
        <f>IF(A122="","",IFERROR(INDEX('جدول الجرد'!$A$2:$A$29,MATCH(A122,'جدول الجرد'!$B$2:$B$29,0)),""))</f>
        <v>الأحد</v>
      </c>
      <c r="C122" s="5" t="str">
        <f>IF(A122="","",IFERROR(INDEX('جدول الجرد'!$E$2:$E$29,MATCH(A122,'جدول الجرد'!$B$2:$B$29,0)),""))</f>
        <v>رنية</v>
      </c>
      <c r="D122" s="4" t="n">
        <v>48</v>
      </c>
      <c r="E122" s="4" t="inlineStr">
        <is>
          <t>د. محمد جمال</t>
        </is>
      </c>
      <c r="F122" s="4" t="inlineStr"/>
      <c r="G122" s="4" t="inlineStr">
        <is>
          <t>نعم</t>
        </is>
      </c>
      <c r="H122" s="5" t="str">
        <f>IF(E122="","",IF(AND(F122="نعم",G122="نعم"),"جرد + مراجعة",IF(F122="نعم","جرد فقط",IF(G122="نعم","مراجعة فقط",""))))</f>
        <v>مراجعة فقط</v>
      </c>
      <c r="I122" s="9">
        <f>IF(H122="جرد + مراجعة",الإعدادات!$B$2,IF(H122="مراجعة فقط",الإعدادات!$B$3,IF(H122="جرد فقط",الإعدادات!$B$4,0)))</f>
        <v>150</v>
      </c>
    </row>
    <row r="123">
      <c r="A123" s="4" t="inlineStr">
        <is>
          <t>2026-10-11</t>
        </is>
      </c>
      <c r="B123" s="5" t="str">
        <f>IF(A123="","",IFERROR(INDEX('جدول الجرد'!$A$2:$A$29,MATCH(A123,'جدول الجرد'!$B$2:$B$29,0)),""))</f>
        <v>الأحد</v>
      </c>
      <c r="C123" s="5" t="str">
        <f>IF(A123="","",IFERROR(INDEX('جدول الجرد'!$E$2:$E$29,MATCH(A123,'جدول الجرد'!$B$2:$B$29,0)),""))</f>
        <v>رنية</v>
      </c>
      <c r="D123" s="4" t="n">
        <v>49</v>
      </c>
      <c r="E123" s="4" t="inlineStr">
        <is>
          <t>د. السيد حسن</t>
        </is>
      </c>
      <c r="F123" s="4" t="inlineStr">
        <is>
          <t>نعم</t>
        </is>
      </c>
      <c r="G123" s="4" t="inlineStr">
        <is>
          <t>نعم</t>
        </is>
      </c>
      <c r="H123" s="5" t="str">
        <f>IF(E123="","",IF(AND(F123="نعم",G123="نعم"),"جرد + مراجعة",IF(F123="نعم","جرد فقط",IF(G123="نعم","مراجعة فقط",""))))</f>
        <v>جرد + مراجعة</v>
      </c>
      <c r="I123" s="9">
        <f>IF(H123="جرد + مراجعة",الإعدادات!$B$2,IF(H123="مراجعة فقط",الإعدادات!$B$3,IF(H123="جرد فقط",الإعدادات!$B$4,0)))</f>
        <v>200</v>
      </c>
    </row>
    <row r="124">
      <c r="A124" s="4" t="inlineStr">
        <is>
          <t>2026-10-11</t>
        </is>
      </c>
      <c r="B124" s="5" t="str">
        <f>IF(A124="","",IFERROR(INDEX('جدول الجرد'!$A$2:$A$29,MATCH(A124,'جدول الجرد'!$B$2:$B$29,0)),""))</f>
        <v>الأحد</v>
      </c>
      <c r="C124" s="5" t="str">
        <f>IF(A124="","",IFERROR(INDEX('جدول الجرد'!$E$2:$E$29,MATCH(A124,'جدول الجرد'!$B$2:$B$29,0)),""))</f>
        <v>رنية</v>
      </c>
      <c r="D124" s="4" t="n">
        <v>49</v>
      </c>
      <c r="E124" s="4" t="inlineStr">
        <is>
          <t>د. حسام شلش</t>
        </is>
      </c>
      <c r="F124" s="4" t="inlineStr"/>
      <c r="G124" s="4" t="inlineStr">
        <is>
          <t>نعم</t>
        </is>
      </c>
      <c r="H124" s="5" t="str">
        <f>IF(E124="","",IF(AND(F124="نعم",G124="نعم"),"جرد + مراجعة",IF(F124="نعم","جرد فقط",IF(G124="نعم","مراجعة فقط",""))))</f>
        <v>مراجعة فقط</v>
      </c>
      <c r="I124" s="9">
        <f>IF(H124="جرد + مراجعة",الإعدادات!$B$2,IF(H124="مراجعة فقط",الإعدادات!$B$3,IF(H124="جرد فقط",الإعدادات!$B$4,0)))</f>
        <v>150</v>
      </c>
    </row>
    <row r="125">
      <c r="A125" s="4" t="inlineStr">
        <is>
          <t>2026-10-11</t>
        </is>
      </c>
      <c r="B125" s="5" t="str">
        <f>IF(A125="","",IFERROR(INDEX('جدول الجرد'!$A$2:$A$29,MATCH(A125,'جدول الجرد'!$B$2:$B$29,0)),""))</f>
        <v>الأحد</v>
      </c>
      <c r="C125" s="5" t="str">
        <f>IF(A125="","",IFERROR(INDEX('جدول الجرد'!$E$2:$E$29,MATCH(A125,'جدول الجرد'!$B$2:$B$29,0)),""))</f>
        <v>رنية</v>
      </c>
      <c r="D125" s="4" t="n">
        <v>49</v>
      </c>
      <c r="E125" s="4" t="inlineStr">
        <is>
          <t>د. الحسن الغنيمي</t>
        </is>
      </c>
      <c r="F125" s="4" t="inlineStr"/>
      <c r="G125" s="4" t="inlineStr">
        <is>
          <t>نعم</t>
        </is>
      </c>
      <c r="H125" s="5" t="str">
        <f>IF(E125="","",IF(AND(F125="نعم",G125="نعم"),"جرد + مراجعة",IF(F125="نعم","جرد فقط",IF(G125="نعم","مراجعة فقط",""))))</f>
        <v>مراجعة فقط</v>
      </c>
      <c r="I125" s="9">
        <f>IF(H125="جرد + مراجعة",الإعدادات!$B$2,IF(H125="مراجعة فقط",الإعدادات!$B$3,IF(H125="جرد فقط",الإعدادات!$B$4,0)))</f>
        <v>150</v>
      </c>
    </row>
    <row r="126">
      <c r="A126" s="4" t="inlineStr">
        <is>
          <t>2026-10-11</t>
        </is>
      </c>
      <c r="B126" s="5" t="str">
        <f>IF(A126="","",IFERROR(INDEX('جدول الجرد'!$A$2:$A$29,MATCH(A126,'جدول الجرد'!$B$2:$B$29,0)),""))</f>
        <v>الأحد</v>
      </c>
      <c r="C126" s="5" t="str">
        <f>IF(A126="","",IFERROR(INDEX('جدول الجرد'!$E$2:$E$29,MATCH(A126,'جدول الجرد'!$B$2:$B$29,0)),""))</f>
        <v>رنية</v>
      </c>
      <c r="D126" s="4" t="n">
        <v>49</v>
      </c>
      <c r="E126" s="4" t="inlineStr">
        <is>
          <t>د. محمد جمال</t>
        </is>
      </c>
      <c r="F126" s="4" t="inlineStr"/>
      <c r="G126" s="4" t="inlineStr">
        <is>
          <t>نعم</t>
        </is>
      </c>
      <c r="H126" s="5" t="str">
        <f>IF(E126="","",IF(AND(F126="نعم",G126="نعم"),"جرد + مراجعة",IF(F126="نعم","جرد فقط",IF(G126="نعم","مراجعة فقط",""))))</f>
        <v>مراجعة فقط</v>
      </c>
      <c r="I126" s="9">
        <f>IF(H126="جرد + مراجعة",الإعدادات!$B$2,IF(H126="مراجعة فقط",الإعدادات!$B$3,IF(H126="جرد فقط",الإعدادات!$B$4,0)))</f>
        <v>150</v>
      </c>
    </row>
    <row r="127">
      <c r="A127" s="4" t="inlineStr">
        <is>
          <t>2026-10-13</t>
        </is>
      </c>
      <c r="B127" s="5" t="str">
        <f>IF(A127="","",IFERROR(INDEX('جدول الجرد'!$A$2:$A$29,MATCH(A127,'جدول الجرد'!$B$2:$B$29,0)),""))</f>
        <v>الثلاثاء</v>
      </c>
      <c r="C127" s="5" t="str">
        <f>IF(A127="","",IFERROR(INDEX('جدول الجرد'!$E$2:$E$29,MATCH(A127,'جدول الجرد'!$B$2:$B$29,0)),""))</f>
        <v>الخرج</v>
      </c>
      <c r="D127" s="4" t="n">
        <v>8</v>
      </c>
      <c r="E127" s="4" t="inlineStr">
        <is>
          <t>د. علي خليفة</t>
        </is>
      </c>
      <c r="F127" s="4" t="inlineStr">
        <is>
          <t>نعم</t>
        </is>
      </c>
      <c r="G127" s="4" t="inlineStr">
        <is>
          <t>نعم</t>
        </is>
      </c>
      <c r="H127" s="5" t="str">
        <f>IF(E127="","",IF(AND(F127="نعم",G127="نعم"),"جرد + مراجعة",IF(F127="نعم","جرد فقط",IF(G127="نعم","مراجعة فقط",""))))</f>
        <v>جرد + مراجعة</v>
      </c>
      <c r="I127" s="9">
        <f>IF(H127="جرد + مراجعة",الإعدادات!$B$2,IF(H127="مراجعة فقط",الإعدادات!$B$3,IF(H127="جرد فقط",الإعدادات!$B$4,0)))</f>
        <v>200</v>
      </c>
    </row>
    <row r="128">
      <c r="A128" s="4" t="inlineStr">
        <is>
          <t>2026-10-13</t>
        </is>
      </c>
      <c r="B128" s="5" t="str">
        <f>IF(A128="","",IFERROR(INDEX('جدول الجرد'!$A$2:$A$29,MATCH(A128,'جدول الجرد'!$B$2:$B$29,0)),""))</f>
        <v>الثلاثاء</v>
      </c>
      <c r="C128" s="5" t="str">
        <f>IF(A128="","",IFERROR(INDEX('جدول الجرد'!$E$2:$E$29,MATCH(A128,'جدول الجرد'!$B$2:$B$29,0)),""))</f>
        <v>الخرج</v>
      </c>
      <c r="D128" s="4" t="n">
        <v>8</v>
      </c>
      <c r="E128" s="4" t="inlineStr">
        <is>
          <t>د. السيد حسن</t>
        </is>
      </c>
      <c r="F128" s="4" t="inlineStr"/>
      <c r="G128" s="4" t="inlineStr">
        <is>
          <t>نعم</t>
        </is>
      </c>
      <c r="H128" s="5" t="str">
        <f>IF(E128="","",IF(AND(F128="نعم",G128="نعم"),"جرد + مراجعة",IF(F128="نعم","جرد فقط",IF(G128="نعم","مراجعة فقط",""))))</f>
        <v>مراجعة فقط</v>
      </c>
      <c r="I128" s="9">
        <f>IF(H128="جرد + مراجعة",الإعدادات!$B$2,IF(H128="مراجعة فقط",الإعدادات!$B$3,IF(H128="جرد فقط",الإعدادات!$B$4,0)))</f>
        <v>150</v>
      </c>
    </row>
    <row r="129">
      <c r="A129" s="4" t="inlineStr">
        <is>
          <t>2026-10-13</t>
        </is>
      </c>
      <c r="B129" s="5" t="str">
        <f>IF(A129="","",IFERROR(INDEX('جدول الجرد'!$A$2:$A$29,MATCH(A129,'جدول الجرد'!$B$2:$B$29,0)),""))</f>
        <v>الثلاثاء</v>
      </c>
      <c r="C129" s="5" t="str">
        <f>IF(A129="","",IFERROR(INDEX('جدول الجرد'!$E$2:$E$29,MATCH(A129,'جدول الجرد'!$B$2:$B$29,0)),""))</f>
        <v>الخرج</v>
      </c>
      <c r="D129" s="4" t="n">
        <v>8</v>
      </c>
      <c r="E129" s="4" t="inlineStr">
        <is>
          <t>د. محمد جمال</t>
        </is>
      </c>
      <c r="F129" s="4" t="inlineStr"/>
      <c r="G129" s="4" t="inlineStr">
        <is>
          <t>نعم</t>
        </is>
      </c>
      <c r="H129" s="5" t="str">
        <f>IF(E129="","",IF(AND(F129="نعم",G129="نعم"),"جرد + مراجعة",IF(F129="نعم","جرد فقط",IF(G129="نعم","مراجعة فقط",""))))</f>
        <v>مراجعة فقط</v>
      </c>
      <c r="I129" s="9">
        <f>IF(H129="جرد + مراجعة",الإعدادات!$B$2,IF(H129="مراجعة فقط",الإعدادات!$B$3,IF(H129="جرد فقط",الإعدادات!$B$4,0)))</f>
        <v>150</v>
      </c>
    </row>
    <row r="130">
      <c r="A130" s="4" t="inlineStr">
        <is>
          <t>2026-10-13</t>
        </is>
      </c>
      <c r="B130" s="5" t="str">
        <f>IF(A130="","",IFERROR(INDEX('جدول الجرد'!$A$2:$A$29,MATCH(A130,'جدول الجرد'!$B$2:$B$29,0)),""))</f>
        <v>الثلاثاء</v>
      </c>
      <c r="C130" s="5" t="str">
        <f>IF(A130="","",IFERROR(INDEX('جدول الجرد'!$E$2:$E$29,MATCH(A130,'جدول الجرد'!$B$2:$B$29,0)),""))</f>
        <v>الخرج</v>
      </c>
      <c r="D130" s="4" t="n">
        <v>8</v>
      </c>
      <c r="E130" s="4" t="inlineStr">
        <is>
          <t>د. حسام شلش</t>
        </is>
      </c>
      <c r="F130" s="4" t="inlineStr"/>
      <c r="G130" s="4" t="inlineStr">
        <is>
          <t>نعم</t>
        </is>
      </c>
      <c r="H130" s="5" t="str">
        <f>IF(E130="","",IF(AND(F130="نعم",G130="نعم"),"جرد + مراجعة",IF(F130="نعم","جرد فقط",IF(G130="نعم","مراجعة فقط",""))))</f>
        <v>مراجعة فقط</v>
      </c>
      <c r="I130" s="9">
        <f>IF(H130="جرد + مراجعة",الإعدادات!$B$2,IF(H130="مراجعة فقط",الإعدادات!$B$3,IF(H130="جرد فقط",الإعدادات!$B$4,0)))</f>
        <v>150</v>
      </c>
    </row>
    <row r="131">
      <c r="A131" s="4" t="inlineStr">
        <is>
          <t>2026-10-13</t>
        </is>
      </c>
      <c r="B131" s="5" t="str">
        <f>IF(A131="","",IFERROR(INDEX('جدول الجرد'!$A$2:$A$29,MATCH(A131,'جدول الجرد'!$B$2:$B$29,0)),""))</f>
        <v>الثلاثاء</v>
      </c>
      <c r="C131" s="5" t="str">
        <f>IF(A131="","",IFERROR(INDEX('جدول الجرد'!$E$2:$E$29,MATCH(A131,'جدول الجرد'!$B$2:$B$29,0)),""))</f>
        <v>الخرج</v>
      </c>
      <c r="D131" s="4" t="n">
        <v>60</v>
      </c>
      <c r="E131" s="4" t="inlineStr">
        <is>
          <t>د. علي خليفة</t>
        </is>
      </c>
      <c r="F131" s="4" t="inlineStr">
        <is>
          <t>نعم</t>
        </is>
      </c>
      <c r="G131" s="4" t="inlineStr">
        <is>
          <t>نعم</t>
        </is>
      </c>
      <c r="H131" s="5" t="str">
        <f>IF(E131="","",IF(AND(F131="نعم",G131="نعم"),"جرد + مراجعة",IF(F131="نعم","جرد فقط",IF(G131="نعم","مراجعة فقط",""))))</f>
        <v>جرد + مراجعة</v>
      </c>
      <c r="I131" s="9">
        <f>IF(H131="جرد + مراجعة",الإعدادات!$B$2,IF(H131="مراجعة فقط",الإعدادات!$B$3,IF(H131="جرد فقط",الإعدادات!$B$4,0)))</f>
        <v>200</v>
      </c>
    </row>
    <row r="132">
      <c r="A132" s="4" t="inlineStr">
        <is>
          <t>2026-10-13</t>
        </is>
      </c>
      <c r="B132" s="5" t="str">
        <f>IF(A132="","",IFERROR(INDEX('جدول الجرد'!$A$2:$A$29,MATCH(A132,'جدول الجرد'!$B$2:$B$29,0)),""))</f>
        <v>الثلاثاء</v>
      </c>
      <c r="C132" s="5" t="str">
        <f>IF(A132="","",IFERROR(INDEX('جدول الجرد'!$E$2:$E$29,MATCH(A132,'جدول الجرد'!$B$2:$B$29,0)),""))</f>
        <v>الخرج</v>
      </c>
      <c r="D132" s="4" t="n">
        <v>60</v>
      </c>
      <c r="E132" s="4" t="inlineStr">
        <is>
          <t>د. السيد حسن</t>
        </is>
      </c>
      <c r="F132" s="4" t="inlineStr"/>
      <c r="G132" s="4" t="inlineStr">
        <is>
          <t>نعم</t>
        </is>
      </c>
      <c r="H132" s="5" t="str">
        <f>IF(E132="","",IF(AND(F132="نعم",G132="نعم"),"جرد + مراجعة",IF(F132="نعم","جرد فقط",IF(G132="نعم","مراجعة فقط",""))))</f>
        <v>مراجعة فقط</v>
      </c>
      <c r="I132" s="9">
        <f>IF(H132="جرد + مراجعة",الإعدادات!$B$2,IF(H132="مراجعة فقط",الإعدادات!$B$3,IF(H132="جرد فقط",الإعدادات!$B$4,0)))</f>
        <v>150</v>
      </c>
    </row>
    <row r="133">
      <c r="A133" s="4" t="inlineStr">
        <is>
          <t>2026-10-13</t>
        </is>
      </c>
      <c r="B133" s="5" t="str">
        <f>IF(A133="","",IFERROR(INDEX('جدول الجرد'!$A$2:$A$29,MATCH(A133,'جدول الجرد'!$B$2:$B$29,0)),""))</f>
        <v>الثلاثاء</v>
      </c>
      <c r="C133" s="5" t="str">
        <f>IF(A133="","",IFERROR(INDEX('جدول الجرد'!$E$2:$E$29,MATCH(A133,'جدول الجرد'!$B$2:$B$29,0)),""))</f>
        <v>الخرج</v>
      </c>
      <c r="D133" s="4" t="n">
        <v>60</v>
      </c>
      <c r="E133" s="4" t="inlineStr">
        <is>
          <t>د. محمد جمال</t>
        </is>
      </c>
      <c r="F133" s="4" t="inlineStr"/>
      <c r="G133" s="4" t="inlineStr">
        <is>
          <t>نعم</t>
        </is>
      </c>
      <c r="H133" s="5" t="str">
        <f>IF(E133="","",IF(AND(F133="نعم",G133="نعم"),"جرد + مراجعة",IF(F133="نعم","جرد فقط",IF(G133="نعم","مراجعة فقط",""))))</f>
        <v>مراجعة فقط</v>
      </c>
      <c r="I133" s="9">
        <f>IF(H133="جرد + مراجعة",الإعدادات!$B$2,IF(H133="مراجعة فقط",الإعدادات!$B$3,IF(H133="جرد فقط",الإعدادات!$B$4,0)))</f>
        <v>150</v>
      </c>
    </row>
    <row r="134">
      <c r="A134" s="4" t="inlineStr">
        <is>
          <t>2026-10-13</t>
        </is>
      </c>
      <c r="B134" s="5" t="str">
        <f>IF(A134="","",IFERROR(INDEX('جدول الجرد'!$A$2:$A$29,MATCH(A134,'جدول الجرد'!$B$2:$B$29,0)),""))</f>
        <v>الثلاثاء</v>
      </c>
      <c r="C134" s="5" t="str">
        <f>IF(A134="","",IFERROR(INDEX('جدول الجرد'!$E$2:$E$29,MATCH(A134,'جدول الجرد'!$B$2:$B$29,0)),""))</f>
        <v>الخرج</v>
      </c>
      <c r="D134" s="4" t="n">
        <v>60</v>
      </c>
      <c r="E134" s="4" t="inlineStr">
        <is>
          <t>د. حسام شلش</t>
        </is>
      </c>
      <c r="F134" s="4" t="inlineStr"/>
      <c r="G134" s="4" t="inlineStr">
        <is>
          <t>نعم</t>
        </is>
      </c>
      <c r="H134" s="5" t="str">
        <f>IF(E134="","",IF(AND(F134="نعم",G134="نعم"),"جرد + مراجعة",IF(F134="نعم","جرد فقط",IF(G134="نعم","مراجعة فقط",""))))</f>
        <v>مراجعة فقط</v>
      </c>
      <c r="I134" s="9">
        <f>IF(H134="جرد + مراجعة",الإعدادات!$B$2,IF(H134="مراجعة فقط",الإعدادات!$B$3,IF(H134="جرد فقط",الإعدادات!$B$4,0)))</f>
        <v>150</v>
      </c>
    </row>
    <row r="135">
      <c r="A135" s="4" t="inlineStr">
        <is>
          <t>2026-10-14</t>
        </is>
      </c>
      <c r="B135" s="5" t="str">
        <f>IF(A135="","",IFERROR(INDEX('جدول الجرد'!$A$2:$A$29,MATCH(A135,'جدول الجرد'!$B$2:$B$29,0)),""))</f>
        <v>الأربعاء</v>
      </c>
      <c r="C135" s="5" t="str">
        <f>IF(A135="","",IFERROR(INDEX('جدول الجرد'!$E$2:$E$29,MATCH(A135,'جدول الجرد'!$B$2:$B$29,0)),""))</f>
        <v>الخرج</v>
      </c>
      <c r="D135" s="4" t="n">
        <v>24</v>
      </c>
      <c r="E135" s="4" t="inlineStr">
        <is>
          <t>د. حسام شلش</t>
        </is>
      </c>
      <c r="F135" s="4" t="inlineStr">
        <is>
          <t>نعم</t>
        </is>
      </c>
      <c r="G135" s="4" t="inlineStr">
        <is>
          <t>نعم</t>
        </is>
      </c>
      <c r="H135" s="5" t="str">
        <f>IF(E135="","",IF(AND(F135="نعم",G135="نعم"),"جرد + مراجعة",IF(F135="نعم","جرد فقط",IF(G135="نعم","مراجعة فقط",""))))</f>
        <v>جرد + مراجعة</v>
      </c>
      <c r="I135" s="9">
        <f>IF(H135="جرد + مراجعة",الإعدادات!$B$2,IF(H135="مراجعة فقط",الإعدادات!$B$3,IF(H135="جرد فقط",الإعدادات!$B$4,0)))</f>
        <v>200</v>
      </c>
    </row>
    <row r="136">
      <c r="A136" s="4" t="inlineStr">
        <is>
          <t>2026-10-14</t>
        </is>
      </c>
      <c r="B136" s="5" t="str">
        <f>IF(A136="","",IFERROR(INDEX('جدول الجرد'!$A$2:$A$29,MATCH(A136,'جدول الجرد'!$B$2:$B$29,0)),""))</f>
        <v>الأربعاء</v>
      </c>
      <c r="C136" s="5" t="str">
        <f>IF(A136="","",IFERROR(INDEX('جدول الجرد'!$E$2:$E$29,MATCH(A136,'جدول الجرد'!$B$2:$B$29,0)),""))</f>
        <v>الخرج</v>
      </c>
      <c r="D136" s="4" t="n">
        <v>24</v>
      </c>
      <c r="E136" s="4" t="inlineStr">
        <is>
          <t>د. علي خليفة</t>
        </is>
      </c>
      <c r="F136" s="4" t="inlineStr"/>
      <c r="G136" s="4" t="inlineStr">
        <is>
          <t>نعم</t>
        </is>
      </c>
      <c r="H136" s="5" t="str">
        <f>IF(E136="","",IF(AND(F136="نعم",G136="نعم"),"جرد + مراجعة",IF(F136="نعم","جرد فقط",IF(G136="نعم","مراجعة فقط",""))))</f>
        <v>مراجعة فقط</v>
      </c>
      <c r="I136" s="9">
        <f>IF(H136="جرد + مراجعة",الإعدادات!$B$2,IF(H136="مراجعة فقط",الإعدادات!$B$3,IF(H136="جرد فقط",الإعدادات!$B$4,0)))</f>
        <v>150</v>
      </c>
    </row>
    <row r="137">
      <c r="A137" s="4" t="inlineStr">
        <is>
          <t>2026-10-14</t>
        </is>
      </c>
      <c r="B137" s="5" t="str">
        <f>IF(A137="","",IFERROR(INDEX('جدول الجرد'!$A$2:$A$29,MATCH(A137,'جدول الجرد'!$B$2:$B$29,0)),""))</f>
        <v>الأربعاء</v>
      </c>
      <c r="C137" s="5" t="str">
        <f>IF(A137="","",IFERROR(INDEX('جدول الجرد'!$E$2:$E$29,MATCH(A137,'جدول الجرد'!$B$2:$B$29,0)),""))</f>
        <v>الخرج</v>
      </c>
      <c r="D137" s="4" t="n">
        <v>24</v>
      </c>
      <c r="E137" s="4" t="inlineStr">
        <is>
          <t>د. السيد حسن</t>
        </is>
      </c>
      <c r="F137" s="4" t="inlineStr"/>
      <c r="G137" s="4" t="inlineStr">
        <is>
          <t>نعم</t>
        </is>
      </c>
      <c r="H137" s="5" t="str">
        <f>IF(E137="","",IF(AND(F137="نعم",G137="نعم"),"جرد + مراجعة",IF(F137="نعم","جرد فقط",IF(G137="نعم","مراجعة فقط",""))))</f>
        <v>مراجعة فقط</v>
      </c>
      <c r="I137" s="9">
        <f>IF(H137="جرد + مراجعة",الإعدادات!$B$2,IF(H137="مراجعة فقط",الإعدادات!$B$3,IF(H137="جرد فقط",الإعدادات!$B$4,0)))</f>
        <v>150</v>
      </c>
    </row>
    <row r="138">
      <c r="A138" s="4" t="inlineStr">
        <is>
          <t>2026-10-14</t>
        </is>
      </c>
      <c r="B138" s="5" t="str">
        <f>IF(A138="","",IFERROR(INDEX('جدول الجرد'!$A$2:$A$29,MATCH(A138,'جدول الجرد'!$B$2:$B$29,0)),""))</f>
        <v>الأربعاء</v>
      </c>
      <c r="C138" s="5" t="str">
        <f>IF(A138="","",IFERROR(INDEX('جدول الجرد'!$E$2:$E$29,MATCH(A138,'جدول الجرد'!$B$2:$B$29,0)),""))</f>
        <v>الخرج</v>
      </c>
      <c r="D138" s="4" t="n">
        <v>27</v>
      </c>
      <c r="E138" s="4" t="inlineStr">
        <is>
          <t>د. حسام شلش</t>
        </is>
      </c>
      <c r="F138" s="4" t="inlineStr">
        <is>
          <t>نعم</t>
        </is>
      </c>
      <c r="G138" s="4" t="inlineStr">
        <is>
          <t>نعم</t>
        </is>
      </c>
      <c r="H138" s="5" t="str">
        <f>IF(E138="","",IF(AND(F138="نعم",G138="نعم"),"جرد + مراجعة",IF(F138="نعم","جرد فقط",IF(G138="نعم","مراجعة فقط",""))))</f>
        <v>جرد + مراجعة</v>
      </c>
      <c r="I138" s="9">
        <f>IF(H138="جرد + مراجعة",الإعدادات!$B$2,IF(H138="مراجعة فقط",الإعدادات!$B$3,IF(H138="جرد فقط",الإعدادات!$B$4,0)))</f>
        <v>200</v>
      </c>
    </row>
    <row r="139">
      <c r="A139" s="4" t="inlineStr">
        <is>
          <t>2026-10-14</t>
        </is>
      </c>
      <c r="B139" s="5" t="str">
        <f>IF(A139="","",IFERROR(INDEX('جدول الجرد'!$A$2:$A$29,MATCH(A139,'جدول الجرد'!$B$2:$B$29,0)),""))</f>
        <v>الأربعاء</v>
      </c>
      <c r="C139" s="5" t="str">
        <f>IF(A139="","",IFERROR(INDEX('جدول الجرد'!$E$2:$E$29,MATCH(A139,'جدول الجرد'!$B$2:$B$29,0)),""))</f>
        <v>الخرج</v>
      </c>
      <c r="D139" s="4" t="n">
        <v>27</v>
      </c>
      <c r="E139" s="4" t="inlineStr">
        <is>
          <t>د. علي خليفة</t>
        </is>
      </c>
      <c r="F139" s="4" t="inlineStr"/>
      <c r="G139" s="4" t="inlineStr">
        <is>
          <t>نعم</t>
        </is>
      </c>
      <c r="H139" s="5" t="str">
        <f>IF(E139="","",IF(AND(F139="نعم",G139="نعم"),"جرد + مراجعة",IF(F139="نعم","جرد فقط",IF(G139="نعم","مراجعة فقط",""))))</f>
        <v>مراجعة فقط</v>
      </c>
      <c r="I139" s="9">
        <f>IF(H139="جرد + مراجعة",الإعدادات!$B$2,IF(H139="مراجعة فقط",الإعدادات!$B$3,IF(H139="جرد فقط",الإعدادات!$B$4,0)))</f>
        <v>150</v>
      </c>
    </row>
    <row r="140">
      <c r="A140" s="4" t="inlineStr">
        <is>
          <t>2026-10-14</t>
        </is>
      </c>
      <c r="B140" s="5" t="str">
        <f>IF(A140="","",IFERROR(INDEX('جدول الجرد'!$A$2:$A$29,MATCH(A140,'جدول الجرد'!$B$2:$B$29,0)),""))</f>
        <v>الأربعاء</v>
      </c>
      <c r="C140" s="5" t="str">
        <f>IF(A140="","",IFERROR(INDEX('جدول الجرد'!$E$2:$E$29,MATCH(A140,'جدول الجرد'!$B$2:$B$29,0)),""))</f>
        <v>الخرج</v>
      </c>
      <c r="D140" s="4" t="n">
        <v>27</v>
      </c>
      <c r="E140" s="4" t="inlineStr">
        <is>
          <t>د. السيد حسن</t>
        </is>
      </c>
      <c r="F140" s="4" t="inlineStr"/>
      <c r="G140" s="4" t="inlineStr">
        <is>
          <t>نعم</t>
        </is>
      </c>
      <c r="H140" s="5" t="str">
        <f>IF(E140="","",IF(AND(F140="نعم",G140="نعم"),"جرد + مراجعة",IF(F140="نعم","جرد فقط",IF(G140="نعم","مراجعة فقط",""))))</f>
        <v>مراجعة فقط</v>
      </c>
      <c r="I140" s="9">
        <f>IF(H140="جرد + مراجعة",الإعدادات!$B$2,IF(H140="مراجعة فقط",الإعدادات!$B$3,IF(H140="جرد فقط",الإعدادات!$B$4,0)))</f>
        <v>150</v>
      </c>
    </row>
    <row r="141">
      <c r="A141" s="4" t="inlineStr">
        <is>
          <t>2026-10-15</t>
        </is>
      </c>
      <c r="B141" s="5" t="str">
        <f>IF(A141="","",IFERROR(INDEX('جدول الجرد'!$A$2:$A$29,MATCH(A141,'جدول الجرد'!$B$2:$B$29,0)),""))</f>
        <v>الخميس</v>
      </c>
      <c r="C141" s="5" t="str">
        <f>IF(A141="","",IFERROR(INDEX('جدول الجرد'!$E$2:$E$29,MATCH(A141,'جدول الجرد'!$B$2:$B$29,0)),""))</f>
        <v>الخرج</v>
      </c>
      <c r="D141" s="4" t="n">
        <v>11</v>
      </c>
      <c r="E141" s="4" t="inlineStr">
        <is>
          <t>د. علي خليفة</t>
        </is>
      </c>
      <c r="F141" s="4" t="inlineStr">
        <is>
          <t>نعم</t>
        </is>
      </c>
      <c r="G141" s="4" t="inlineStr">
        <is>
          <t>نعم</t>
        </is>
      </c>
      <c r="H141" s="5" t="str">
        <f>IF(E141="","",IF(AND(F141="نعم",G141="نعم"),"جرد + مراجعة",IF(F141="نعم","جرد فقط",IF(G141="نعم","مراجعة فقط",""))))</f>
        <v>جرد + مراجعة</v>
      </c>
      <c r="I141" s="9">
        <f>IF(H141="جرد + مراجعة",الإعدادات!$B$2,IF(H141="مراجعة فقط",الإعدادات!$B$3,IF(H141="جرد فقط",الإعدادات!$B$4,0)))</f>
        <v>200</v>
      </c>
    </row>
    <row r="142">
      <c r="A142" s="4" t="inlineStr">
        <is>
          <t>2026-10-15</t>
        </is>
      </c>
      <c r="B142" s="5" t="str">
        <f>IF(A142="","",IFERROR(INDEX('جدول الجرد'!$A$2:$A$29,MATCH(A142,'جدول الجرد'!$B$2:$B$29,0)),""))</f>
        <v>الخميس</v>
      </c>
      <c r="C142" s="5" t="str">
        <f>IF(A142="","",IFERROR(INDEX('جدول الجرد'!$E$2:$E$29,MATCH(A142,'جدول الجرد'!$B$2:$B$29,0)),""))</f>
        <v>الخرج</v>
      </c>
      <c r="D142" s="4" t="n">
        <v>11</v>
      </c>
      <c r="E142" s="4" t="inlineStr">
        <is>
          <t>د. حسام شلش</t>
        </is>
      </c>
      <c r="F142" s="4" t="inlineStr"/>
      <c r="G142" s="4" t="inlineStr">
        <is>
          <t>نعم</t>
        </is>
      </c>
      <c r="H142" s="5" t="str">
        <f>IF(E142="","",IF(AND(F142="نعم",G142="نعم"),"جرد + مراجعة",IF(F142="نعم","جرد فقط",IF(G142="نعم","مراجعة فقط",""))))</f>
        <v>مراجعة فقط</v>
      </c>
      <c r="I142" s="9">
        <f>IF(H142="جرد + مراجعة",الإعدادات!$B$2,IF(H142="مراجعة فقط",الإعدادات!$B$3,IF(H142="جرد فقط",الإعدادات!$B$4,0)))</f>
        <v>150</v>
      </c>
    </row>
    <row r="143">
      <c r="A143" s="4" t="inlineStr">
        <is>
          <t>2026-10-15</t>
        </is>
      </c>
      <c r="B143" s="5" t="str">
        <f>IF(A143="","",IFERROR(INDEX('جدول الجرد'!$A$2:$A$29,MATCH(A143,'جدول الجرد'!$B$2:$B$29,0)),""))</f>
        <v>الخميس</v>
      </c>
      <c r="C143" s="5" t="str">
        <f>IF(A143="","",IFERROR(INDEX('جدول الجرد'!$E$2:$E$29,MATCH(A143,'جدول الجرد'!$B$2:$B$29,0)),""))</f>
        <v>الخرج</v>
      </c>
      <c r="D143" s="4" t="n">
        <v>11</v>
      </c>
      <c r="E143" s="4" t="inlineStr">
        <is>
          <t>د. السيد حسن</t>
        </is>
      </c>
      <c r="F143" s="4" t="inlineStr"/>
      <c r="G143" s="4" t="inlineStr">
        <is>
          <t>نعم</t>
        </is>
      </c>
      <c r="H143" s="5" t="str">
        <f>IF(E143="","",IF(AND(F143="نعم",G143="نعم"),"جرد + مراجعة",IF(F143="نعم","جرد فقط",IF(G143="نعم","مراجعة فقط",""))))</f>
        <v>مراجعة فقط</v>
      </c>
      <c r="I143" s="9">
        <f>IF(H143="جرد + مراجعة",الإعدادات!$B$2,IF(H143="مراجعة فقط",الإعدادات!$B$3,IF(H143="جرد فقط",الإعدادات!$B$4,0)))</f>
        <v>150</v>
      </c>
    </row>
    <row r="144">
      <c r="A144" s="4" t="inlineStr">
        <is>
          <t>2026-10-15</t>
        </is>
      </c>
      <c r="B144" s="5" t="str">
        <f>IF(A144="","",IFERROR(INDEX('جدول الجرد'!$A$2:$A$29,MATCH(A144,'جدول الجرد'!$B$2:$B$29,0)),""))</f>
        <v>الخميس</v>
      </c>
      <c r="C144" s="5" t="str">
        <f>IF(A144="","",IFERROR(INDEX('جدول الجرد'!$E$2:$E$29,MATCH(A144,'جدول الجرد'!$B$2:$B$29,0)),""))</f>
        <v>الخرج</v>
      </c>
      <c r="D144" s="4" t="n">
        <v>40</v>
      </c>
      <c r="E144" s="4" t="inlineStr">
        <is>
          <t>د. علي خليفة</t>
        </is>
      </c>
      <c r="F144" s="4" t="inlineStr">
        <is>
          <t>نعم</t>
        </is>
      </c>
      <c r="G144" s="4" t="inlineStr">
        <is>
          <t>نعم</t>
        </is>
      </c>
      <c r="H144" s="5" t="str">
        <f>IF(E144="","",IF(AND(F144="نعم",G144="نعم"),"جرد + مراجعة",IF(F144="نعم","جرد فقط",IF(G144="نعم","مراجعة فقط",""))))</f>
        <v>جرد + مراجعة</v>
      </c>
      <c r="I144" s="9">
        <f>IF(H144="جرد + مراجعة",الإعدادات!$B$2,IF(H144="مراجعة فقط",الإعدادات!$B$3,IF(H144="جرد فقط",الإعدادات!$B$4,0)))</f>
        <v>200</v>
      </c>
    </row>
    <row r="145">
      <c r="A145" s="4" t="inlineStr">
        <is>
          <t>2026-10-15</t>
        </is>
      </c>
      <c r="B145" s="5" t="str">
        <f>IF(A145="","",IFERROR(INDEX('جدول الجرد'!$A$2:$A$29,MATCH(A145,'جدول الجرد'!$B$2:$B$29,0)),""))</f>
        <v>الخميس</v>
      </c>
      <c r="C145" s="5" t="str">
        <f>IF(A145="","",IFERROR(INDEX('جدول الجرد'!$E$2:$E$29,MATCH(A145,'جدول الجرد'!$B$2:$B$29,0)),""))</f>
        <v>الخرج</v>
      </c>
      <c r="D145" s="4" t="n">
        <v>40</v>
      </c>
      <c r="E145" s="4" t="inlineStr">
        <is>
          <t>د. حسام شلش</t>
        </is>
      </c>
      <c r="F145" s="4" t="inlineStr"/>
      <c r="G145" s="4" t="inlineStr">
        <is>
          <t>نعم</t>
        </is>
      </c>
      <c r="H145" s="5" t="str">
        <f>IF(E145="","",IF(AND(F145="نعم",G145="نعم"),"جرد + مراجعة",IF(F145="نعم","جرد فقط",IF(G145="نعم","مراجعة فقط",""))))</f>
        <v>مراجعة فقط</v>
      </c>
      <c r="I145" s="9">
        <f>IF(H145="جرد + مراجعة",الإعدادات!$B$2,IF(H145="مراجعة فقط",الإعدادات!$B$3,IF(H145="جرد فقط",الإعدادات!$B$4,0)))</f>
        <v>150</v>
      </c>
    </row>
    <row r="146">
      <c r="A146" s="4" t="inlineStr">
        <is>
          <t>2026-10-15</t>
        </is>
      </c>
      <c r="B146" s="5" t="str">
        <f>IF(A146="","",IFERROR(INDEX('جدول الجرد'!$A$2:$A$29,MATCH(A146,'جدول الجرد'!$B$2:$B$29,0)),""))</f>
        <v>الخميس</v>
      </c>
      <c r="C146" s="5" t="str">
        <f>IF(A146="","",IFERROR(INDEX('جدول الجرد'!$E$2:$E$29,MATCH(A146,'جدول الجرد'!$B$2:$B$29,0)),""))</f>
        <v>الخرج</v>
      </c>
      <c r="D146" s="4" t="n">
        <v>40</v>
      </c>
      <c r="E146" s="4" t="inlineStr">
        <is>
          <t>د. السيد حسن</t>
        </is>
      </c>
      <c r="F146" s="4" t="inlineStr"/>
      <c r="G146" s="4" t="inlineStr">
        <is>
          <t>نعم</t>
        </is>
      </c>
      <c r="H146" s="5" t="str">
        <f>IF(E146="","",IF(AND(F146="نعم",G146="نعم"),"جرد + مراجعة",IF(F146="نعم","جرد فقط",IF(G146="نعم","مراجعة فقط",""))))</f>
        <v>مراجعة فقط</v>
      </c>
      <c r="I146" s="9">
        <f>IF(H146="جرد + مراجعة",الإعدادات!$B$2,IF(H146="مراجعة فقط",الإعدادات!$B$3,IF(H146="جرد فقط",الإعدادات!$B$4,0)))</f>
        <v>150</v>
      </c>
    </row>
    <row r="147">
      <c r="A147" s="4" t="n"/>
      <c r="B147" s="5" t="str">
        <f>IF(A147="","",IFERROR(INDEX('جدول الجرد'!$A$2:$A$29,MATCH(A147,'جدول الجرد'!$B$2:$B$29,0)),""))</f>
        <v/>
      </c>
      <c r="C147" s="5" t="str">
        <f>IF(A147="","",IFERROR(INDEX('جدول الجرد'!$E$2:$E$29,MATCH(A147,'جدول الجرد'!$B$2:$B$29,0)),""))</f>
        <v/>
      </c>
      <c r="D147" s="4" t="n"/>
      <c r="E147" s="4" t="n"/>
      <c r="F147" s="4" t="n"/>
      <c r="G147" s="4" t="n"/>
      <c r="H147" s="5" t="str">
        <f>IF(E147="","",IF(AND(F147="نعم",G147="نعم"),"جرد + مراجعة",IF(F147="نعم","جرد فقط",IF(G147="نعم","مراجعة فقط",""))))</f>
        <v/>
      </c>
      <c r="I147" s="9">
        <f>IF(H147="جرد + مراجعة",الإعدادات!$B$2,IF(H147="مراجعة فقط",الإعدادات!$B$3,IF(H147="جرد فقط",الإعدادات!$B$4,0)))</f>
        <v>0</v>
      </c>
    </row>
    <row r="148">
      <c r="A148" s="4" t="n"/>
      <c r="B148" s="5" t="str">
        <f>IF(A148="","",IFERROR(INDEX('جدول الجرد'!$A$2:$A$29,MATCH(A148,'جدول الجرد'!$B$2:$B$29,0)),""))</f>
        <v/>
      </c>
      <c r="C148" s="5" t="str">
        <f>IF(A148="","",IFERROR(INDEX('جدول الجرد'!$E$2:$E$29,MATCH(A148,'جدول الجرد'!$B$2:$B$29,0)),""))</f>
        <v/>
      </c>
      <c r="D148" s="4" t="n"/>
      <c r="E148" s="4" t="n"/>
      <c r="F148" s="4" t="n"/>
      <c r="G148" s="4" t="n"/>
      <c r="H148" s="5" t="str">
        <f>IF(E148="","",IF(AND(F148="نعم",G148="نعم"),"جرد + مراجعة",IF(F148="نعم","جرد فقط",IF(G148="نعم","مراجعة فقط",""))))</f>
        <v/>
      </c>
      <c r="I148" s="9">
        <f>IF(H148="جرد + مراجعة",الإعدادات!$B$2,IF(H148="مراجعة فقط",الإعدادات!$B$3,IF(H148="جرد فقط",الإعدادات!$B$4,0)))</f>
        <v>0</v>
      </c>
    </row>
    <row r="149">
      <c r="A149" s="4" t="n"/>
      <c r="B149" s="5" t="str">
        <f>IF(A149="","",IFERROR(INDEX('جدول الجرد'!$A$2:$A$29,MATCH(A149,'جدول الجرد'!$B$2:$B$29,0)),""))</f>
        <v/>
      </c>
      <c r="C149" s="5" t="str">
        <f>IF(A149="","",IFERROR(INDEX('جدول الجرد'!$E$2:$E$29,MATCH(A149,'جدول الجرد'!$B$2:$B$29,0)),""))</f>
        <v/>
      </c>
      <c r="D149" s="4" t="n"/>
      <c r="E149" s="4" t="n"/>
      <c r="F149" s="4" t="n"/>
      <c r="G149" s="4" t="n"/>
      <c r="H149" s="5" t="str">
        <f>IF(E149="","",IF(AND(F149="نعم",G149="نعم"),"جرد + مراجعة",IF(F149="نعم","جرد فقط",IF(G149="نعم","مراجعة فقط",""))))</f>
        <v/>
      </c>
      <c r="I149" s="9">
        <f>IF(H149="جرد + مراجعة",الإعدادات!$B$2,IF(H149="مراجعة فقط",الإعدادات!$B$3,IF(H149="جرد فقط",الإعدادات!$B$4,0)))</f>
        <v>0</v>
      </c>
    </row>
    <row r="150">
      <c r="A150" s="4" t="n"/>
      <c r="B150" s="5" t="str">
        <f>IF(A150="","",IFERROR(INDEX('جدول الجرد'!$A$2:$A$29,MATCH(A150,'جدول الجرد'!$B$2:$B$29,0)),""))</f>
        <v/>
      </c>
      <c r="C150" s="5" t="str">
        <f>IF(A150="","",IFERROR(INDEX('جدول الجرد'!$E$2:$E$29,MATCH(A150,'جدول الجرد'!$B$2:$B$29,0)),""))</f>
        <v/>
      </c>
      <c r="D150" s="4" t="n"/>
      <c r="E150" s="4" t="n"/>
      <c r="F150" s="4" t="n"/>
      <c r="G150" s="4" t="n"/>
      <c r="H150" s="5" t="str">
        <f>IF(E150="","",IF(AND(F150="نعم",G150="نعم"),"جرد + مراجعة",IF(F150="نعم","جرد فقط",IF(G150="نعم","مراجعة فقط",""))))</f>
        <v/>
      </c>
      <c r="I150" s="9">
        <f>IF(H150="جرد + مراجعة",الإعدادات!$B$2,IF(H150="مراجعة فقط",الإعدادات!$B$3,IF(H150="جرد فقط",الإعدادات!$B$4,0)))</f>
        <v>0</v>
      </c>
    </row>
    <row r="151">
      <c r="A151" s="4" t="n"/>
      <c r="B151" s="5" t="str">
        <f>IF(A151="","",IFERROR(INDEX('جدول الجرد'!$A$2:$A$29,MATCH(A151,'جدول الجرد'!$B$2:$B$29,0)),""))</f>
        <v/>
      </c>
      <c r="C151" s="5" t="str">
        <f>IF(A151="","",IFERROR(INDEX('جدول الجرد'!$E$2:$E$29,MATCH(A151,'جدول الجرد'!$B$2:$B$29,0)),""))</f>
        <v/>
      </c>
      <c r="D151" s="4" t="n"/>
      <c r="E151" s="4" t="n"/>
      <c r="F151" s="4" t="n"/>
      <c r="G151" s="4" t="n"/>
      <c r="H151" s="5" t="str">
        <f>IF(E151="","",IF(AND(F151="نعم",G151="نعم"),"جرد + مراجعة",IF(F151="نعم","جرد فقط",IF(G151="نعم","مراجعة فقط",""))))</f>
        <v/>
      </c>
      <c r="I151" s="9">
        <f>IF(H151="جرد + مراجعة",الإعدادات!$B$2,IF(H151="مراجعة فقط",الإعدادات!$B$3,IF(H151="جرد فقط",الإعدادات!$B$4,0)))</f>
        <v>0</v>
      </c>
    </row>
    <row r="152">
      <c r="A152" s="4" t="n"/>
      <c r="B152" s="5" t="str">
        <f>IF(A152="","",IFERROR(INDEX('جدول الجرد'!$A$2:$A$29,MATCH(A152,'جدول الجرد'!$B$2:$B$29,0)),""))</f>
        <v/>
      </c>
      <c r="C152" s="5" t="str">
        <f>IF(A152="","",IFERROR(INDEX('جدول الجرد'!$E$2:$E$29,MATCH(A152,'جدول الجرد'!$B$2:$B$29,0)),""))</f>
        <v/>
      </c>
      <c r="D152" s="4" t="n"/>
      <c r="E152" s="4" t="n"/>
      <c r="F152" s="4" t="n"/>
      <c r="G152" s="4" t="n"/>
      <c r="H152" s="5" t="str">
        <f>IF(E152="","",IF(AND(F152="نعم",G152="نعم"),"جرد + مراجعة",IF(F152="نعم","جرد فقط",IF(G152="نعم","مراجعة فقط",""))))</f>
        <v/>
      </c>
      <c r="I152" s="9">
        <f>IF(H152="جرد + مراجعة",الإعدادات!$B$2,IF(H152="مراجعة فقط",الإعدادات!$B$3,IF(H152="جرد فقط",الإعدادات!$B$4,0)))</f>
        <v>0</v>
      </c>
    </row>
    <row r="153">
      <c r="A153" s="4" t="n"/>
      <c r="B153" s="5" t="str">
        <f>IF(A153="","",IFERROR(INDEX('جدول الجرد'!$A$2:$A$29,MATCH(A153,'جدول الجرد'!$B$2:$B$29,0)),""))</f>
        <v/>
      </c>
      <c r="C153" s="5" t="str">
        <f>IF(A153="","",IFERROR(INDEX('جدول الجرد'!$E$2:$E$29,MATCH(A153,'جدول الجرد'!$B$2:$B$29,0)),""))</f>
        <v/>
      </c>
      <c r="D153" s="4" t="n"/>
      <c r="E153" s="4" t="n"/>
      <c r="F153" s="4" t="n"/>
      <c r="G153" s="4" t="n"/>
      <c r="H153" s="5" t="str">
        <f>IF(E153="","",IF(AND(F153="نعم",G153="نعم"),"جرد + مراجعة",IF(F153="نعم","جرد فقط",IF(G153="نعم","مراجعة فقط",""))))</f>
        <v/>
      </c>
      <c r="I153" s="9">
        <f>IF(H153="جرد + مراجعة",الإعدادات!$B$2,IF(H153="مراجعة فقط",الإعدادات!$B$3,IF(H153="جرد فقط",الإعدادات!$B$4,0)))</f>
        <v>0</v>
      </c>
    </row>
    <row r="154">
      <c r="A154" s="4" t="n"/>
      <c r="B154" s="5" t="str">
        <f>IF(A154="","",IFERROR(INDEX('جدول الجرد'!$A$2:$A$29,MATCH(A154,'جدول الجرد'!$B$2:$B$29,0)),""))</f>
        <v/>
      </c>
      <c r="C154" s="5" t="str">
        <f>IF(A154="","",IFERROR(INDEX('جدول الجرد'!$E$2:$E$29,MATCH(A154,'جدول الجرد'!$B$2:$B$29,0)),""))</f>
        <v/>
      </c>
      <c r="D154" s="4" t="n"/>
      <c r="E154" s="4" t="n"/>
      <c r="F154" s="4" t="n"/>
      <c r="G154" s="4" t="n"/>
      <c r="H154" s="5" t="str">
        <f>IF(E154="","",IF(AND(F154="نعم",G154="نعم"),"جرد + مراجعة",IF(F154="نعم","جرد فقط",IF(G154="نعم","مراجعة فقط",""))))</f>
        <v/>
      </c>
      <c r="I154" s="9">
        <f>IF(H154="جرد + مراجعة",الإعدادات!$B$2,IF(H154="مراجعة فقط",الإعدادات!$B$3,IF(H154="جرد فقط",الإعدادات!$B$4,0)))</f>
        <v>0</v>
      </c>
    </row>
    <row r="155">
      <c r="A155" s="4" t="n"/>
      <c r="B155" s="5" t="str">
        <f>IF(A155="","",IFERROR(INDEX('جدول الجرد'!$A$2:$A$29,MATCH(A155,'جدول الجرد'!$B$2:$B$29,0)),""))</f>
        <v/>
      </c>
      <c r="C155" s="5" t="str">
        <f>IF(A155="","",IFERROR(INDEX('جدول الجرد'!$E$2:$E$29,MATCH(A155,'جدول الجرد'!$B$2:$B$29,0)),""))</f>
        <v/>
      </c>
      <c r="D155" s="4" t="n"/>
      <c r="E155" s="4" t="n"/>
      <c r="F155" s="4" t="n"/>
      <c r="G155" s="4" t="n"/>
      <c r="H155" s="5" t="str">
        <f>IF(E155="","",IF(AND(F155="نعم",G155="نعم"),"جرد + مراجعة",IF(F155="نعم","جرد فقط",IF(G155="نعم","مراجعة فقط",""))))</f>
        <v/>
      </c>
      <c r="I155" s="9">
        <f>IF(H155="جرد + مراجعة",الإعدادات!$B$2,IF(H155="مراجعة فقط",الإعدادات!$B$3,IF(H155="جرد فقط",الإعدادات!$B$4,0)))</f>
        <v>0</v>
      </c>
    </row>
    <row r="156">
      <c r="A156" s="4" t="n"/>
      <c r="B156" s="5" t="str">
        <f>IF(A156="","",IFERROR(INDEX('جدول الجرد'!$A$2:$A$29,MATCH(A156,'جدول الجرد'!$B$2:$B$29,0)),""))</f>
        <v/>
      </c>
      <c r="C156" s="5" t="str">
        <f>IF(A156="","",IFERROR(INDEX('جدول الجرد'!$E$2:$E$29,MATCH(A156,'جدول الجرد'!$B$2:$B$29,0)),""))</f>
        <v/>
      </c>
      <c r="D156" s="4" t="n"/>
      <c r="E156" s="4" t="n"/>
      <c r="F156" s="4" t="n"/>
      <c r="G156" s="4" t="n"/>
      <c r="H156" s="5" t="str">
        <f>IF(E156="","",IF(AND(F156="نعم",G156="نعم"),"جرد + مراجعة",IF(F156="نعم","جرد فقط",IF(G156="نعم","مراجعة فقط",""))))</f>
        <v/>
      </c>
      <c r="I156" s="9">
        <f>IF(H156="جرد + مراجعة",الإعدادات!$B$2,IF(H156="مراجعة فقط",الإعدادات!$B$3,IF(H156="جرد فقط",الإعدادات!$B$4,0)))</f>
        <v>0</v>
      </c>
    </row>
    <row r="157">
      <c r="A157" s="4" t="n"/>
      <c r="B157" s="5" t="str">
        <f>IF(A157="","",IFERROR(INDEX('جدول الجرد'!$A$2:$A$29,MATCH(A157,'جدول الجرد'!$B$2:$B$29,0)),""))</f>
        <v/>
      </c>
      <c r="C157" s="5" t="str">
        <f>IF(A157="","",IFERROR(INDEX('جدول الجرد'!$E$2:$E$29,MATCH(A157,'جدول الجرد'!$B$2:$B$29,0)),""))</f>
        <v/>
      </c>
      <c r="D157" s="4" t="n"/>
      <c r="E157" s="4" t="n"/>
      <c r="F157" s="4" t="n"/>
      <c r="G157" s="4" t="n"/>
      <c r="H157" s="5" t="str">
        <f>IF(E157="","",IF(AND(F157="نعم",G157="نعم"),"جرد + مراجعة",IF(F157="نعم","جرد فقط",IF(G157="نعم","مراجعة فقط",""))))</f>
        <v/>
      </c>
      <c r="I157" s="9">
        <f>IF(H157="جرد + مراجعة",الإعدادات!$B$2,IF(H157="مراجعة فقط",الإعدادات!$B$3,IF(H157="جرد فقط",الإعدادات!$B$4,0)))</f>
        <v>0</v>
      </c>
    </row>
    <row r="158">
      <c r="A158" s="4" t="n"/>
      <c r="B158" s="5" t="str">
        <f>IF(A158="","",IFERROR(INDEX('جدول الجرد'!$A$2:$A$29,MATCH(A158,'جدول الجرد'!$B$2:$B$29,0)),""))</f>
        <v/>
      </c>
      <c r="C158" s="5" t="str">
        <f>IF(A158="","",IFERROR(INDEX('جدول الجرد'!$E$2:$E$29,MATCH(A158,'جدول الجرد'!$B$2:$B$29,0)),""))</f>
        <v/>
      </c>
      <c r="D158" s="4" t="n"/>
      <c r="E158" s="4" t="n"/>
      <c r="F158" s="4" t="n"/>
      <c r="G158" s="4" t="n"/>
      <c r="H158" s="5" t="str">
        <f>IF(E158="","",IF(AND(F158="نعم",G158="نعم"),"جرد + مراجعة",IF(F158="نعم","جرد فقط",IF(G158="نعم","مراجعة فقط",""))))</f>
        <v/>
      </c>
      <c r="I158" s="9">
        <f>IF(H158="جرد + مراجعة",الإعدادات!$B$2,IF(H158="مراجعة فقط",الإعدادات!$B$3,IF(H158="جرد فقط",الإعدادات!$B$4,0)))</f>
        <v>0</v>
      </c>
    </row>
    <row r="159">
      <c r="A159" s="4" t="n"/>
      <c r="B159" s="5" t="str">
        <f>IF(A159="","",IFERROR(INDEX('جدول الجرد'!$A$2:$A$29,MATCH(A159,'جدول الجرد'!$B$2:$B$29,0)),""))</f>
        <v/>
      </c>
      <c r="C159" s="5" t="str">
        <f>IF(A159="","",IFERROR(INDEX('جدول الجرد'!$E$2:$E$29,MATCH(A159,'جدول الجرد'!$B$2:$B$29,0)),""))</f>
        <v/>
      </c>
      <c r="D159" s="4" t="n"/>
      <c r="E159" s="4" t="n"/>
      <c r="F159" s="4" t="n"/>
      <c r="G159" s="4" t="n"/>
      <c r="H159" s="5" t="str">
        <f>IF(E159="","",IF(AND(F159="نعم",G159="نعم"),"جرد + مراجعة",IF(F159="نعم","جرد فقط",IF(G159="نعم","مراجعة فقط",""))))</f>
        <v/>
      </c>
      <c r="I159" s="9">
        <f>IF(H159="جرد + مراجعة",الإعدادات!$B$2,IF(H159="مراجعة فقط",الإعدادات!$B$3,IF(H159="جرد فقط",الإعدادات!$B$4,0)))</f>
        <v>0</v>
      </c>
    </row>
    <row r="160">
      <c r="A160" s="4" t="n"/>
      <c r="B160" s="5" t="str">
        <f>IF(A160="","",IFERROR(INDEX('جدول الجرد'!$A$2:$A$29,MATCH(A160,'جدول الجرد'!$B$2:$B$29,0)),""))</f>
        <v/>
      </c>
      <c r="C160" s="5" t="str">
        <f>IF(A160="","",IFERROR(INDEX('جدول الجرد'!$E$2:$E$29,MATCH(A160,'جدول الجرد'!$B$2:$B$29,0)),""))</f>
        <v/>
      </c>
      <c r="D160" s="4" t="n"/>
      <c r="E160" s="4" t="n"/>
      <c r="F160" s="4" t="n"/>
      <c r="G160" s="4" t="n"/>
      <c r="H160" s="5" t="str">
        <f>IF(E160="","",IF(AND(F160="نعم",G160="نعم"),"جرد + مراجعة",IF(F160="نعم","جرد فقط",IF(G160="نعم","مراجعة فقط",""))))</f>
        <v/>
      </c>
      <c r="I160" s="9">
        <f>IF(H160="جرد + مراجعة",الإعدادات!$B$2,IF(H160="مراجعة فقط",الإعدادات!$B$3,IF(H160="جرد فقط",الإعدادات!$B$4,0)))</f>
        <v>0</v>
      </c>
    </row>
    <row r="161">
      <c r="A161" s="4" t="n"/>
      <c r="B161" s="5" t="str">
        <f>IF(A161="","",IFERROR(INDEX('جدول الجرد'!$A$2:$A$29,MATCH(A161,'جدول الجرد'!$B$2:$B$29,0)),""))</f>
        <v/>
      </c>
      <c r="C161" s="5" t="str">
        <f>IF(A161="","",IFERROR(INDEX('جدول الجرد'!$E$2:$E$29,MATCH(A161,'جدول الجرد'!$B$2:$B$29,0)),""))</f>
        <v/>
      </c>
      <c r="D161" s="4" t="n"/>
      <c r="E161" s="4" t="n"/>
      <c r="F161" s="4" t="n"/>
      <c r="G161" s="4" t="n"/>
      <c r="H161" s="5" t="str">
        <f>IF(E161="","",IF(AND(F161="نعم",G161="نعم"),"جرد + مراجعة",IF(F161="نعم","جرد فقط",IF(G161="نعم","مراجعة فقط",""))))</f>
        <v/>
      </c>
      <c r="I161" s="9">
        <f>IF(H161="جرد + مراجعة",الإعدادات!$B$2,IF(H161="مراجعة فقط",الإعدادات!$B$3,IF(H161="جرد فقط",الإعدادات!$B$4,0)))</f>
        <v>0</v>
      </c>
    </row>
    <row r="162">
      <c r="A162" s="4" t="n"/>
      <c r="B162" s="5" t="str">
        <f>IF(A162="","",IFERROR(INDEX('جدول الجرد'!$A$2:$A$29,MATCH(A162,'جدول الجرد'!$B$2:$B$29,0)),""))</f>
        <v/>
      </c>
      <c r="C162" s="5" t="str">
        <f>IF(A162="","",IFERROR(INDEX('جدول الجرد'!$E$2:$E$29,MATCH(A162,'جدول الجرد'!$B$2:$B$29,0)),""))</f>
        <v/>
      </c>
      <c r="D162" s="4" t="n"/>
      <c r="E162" s="4" t="n"/>
      <c r="F162" s="4" t="n"/>
      <c r="G162" s="4" t="n"/>
      <c r="H162" s="5" t="str">
        <f>IF(E162="","",IF(AND(F162="نعم",G162="نعم"),"جرد + مراجعة",IF(F162="نعم","جرد فقط",IF(G162="نعم","مراجعة فقط",""))))</f>
        <v/>
      </c>
      <c r="I162" s="9">
        <f>IF(H162="جرد + مراجعة",الإعدادات!$B$2,IF(H162="مراجعة فقط",الإعدادات!$B$3,IF(H162="جرد فقط",الإعدادات!$B$4,0)))</f>
        <v>0</v>
      </c>
    </row>
    <row r="163">
      <c r="A163" s="4" t="n"/>
      <c r="B163" s="5" t="str">
        <f>IF(A163="","",IFERROR(INDEX('جدول الجرد'!$A$2:$A$29,MATCH(A163,'جدول الجرد'!$B$2:$B$29,0)),""))</f>
        <v/>
      </c>
      <c r="C163" s="5" t="str">
        <f>IF(A163="","",IFERROR(INDEX('جدول الجرد'!$E$2:$E$29,MATCH(A163,'جدول الجرد'!$B$2:$B$29,0)),""))</f>
        <v/>
      </c>
      <c r="D163" s="4" t="n"/>
      <c r="E163" s="4" t="n"/>
      <c r="F163" s="4" t="n"/>
      <c r="G163" s="4" t="n"/>
      <c r="H163" s="5" t="str">
        <f>IF(E163="","",IF(AND(F163="نعم",G163="نعم"),"جرد + مراجعة",IF(F163="نعم","جرد فقط",IF(G163="نعم","مراجعة فقط",""))))</f>
        <v/>
      </c>
      <c r="I163" s="9">
        <f>IF(H163="جرد + مراجعة",الإعدادات!$B$2,IF(H163="مراجعة فقط",الإعدادات!$B$3,IF(H163="جرد فقط",الإعدادات!$B$4,0)))</f>
        <v>0</v>
      </c>
    </row>
    <row r="164">
      <c r="A164" s="4" t="n"/>
      <c r="B164" s="5" t="str">
        <f>IF(A164="","",IFERROR(INDEX('جدول الجرد'!$A$2:$A$29,MATCH(A164,'جدول الجرد'!$B$2:$B$29,0)),""))</f>
        <v/>
      </c>
      <c r="C164" s="5" t="str">
        <f>IF(A164="","",IFERROR(INDEX('جدول الجرد'!$E$2:$E$29,MATCH(A164,'جدول الجرد'!$B$2:$B$29,0)),""))</f>
        <v/>
      </c>
      <c r="D164" s="4" t="n"/>
      <c r="E164" s="4" t="n"/>
      <c r="F164" s="4" t="n"/>
      <c r="G164" s="4" t="n"/>
      <c r="H164" s="5" t="str">
        <f>IF(E164="","",IF(AND(F164="نعم",G164="نعم"),"جرد + مراجعة",IF(F164="نعم","جرد فقط",IF(G164="نعم","مراجعة فقط",""))))</f>
        <v/>
      </c>
      <c r="I164" s="9">
        <f>IF(H164="جرد + مراجعة",الإعدادات!$B$2,IF(H164="مراجعة فقط",الإعدادات!$B$3,IF(H164="جرد فقط",الإعدادات!$B$4,0)))</f>
        <v>0</v>
      </c>
    </row>
    <row r="165">
      <c r="A165" s="4" t="n"/>
      <c r="B165" s="5" t="str">
        <f>IF(A165="","",IFERROR(INDEX('جدول الجرد'!$A$2:$A$29,MATCH(A165,'جدول الجرد'!$B$2:$B$29,0)),""))</f>
        <v/>
      </c>
      <c r="C165" s="5" t="str">
        <f>IF(A165="","",IFERROR(INDEX('جدول الجرد'!$E$2:$E$29,MATCH(A165,'جدول الجرد'!$B$2:$B$29,0)),""))</f>
        <v/>
      </c>
      <c r="D165" s="4" t="n"/>
      <c r="E165" s="4" t="n"/>
      <c r="F165" s="4" t="n"/>
      <c r="G165" s="4" t="n"/>
      <c r="H165" s="5" t="str">
        <f>IF(E165="","",IF(AND(F165="نعم",G165="نعم"),"جرد + مراجعة",IF(F165="نعم","جرد فقط",IF(G165="نعم","مراجعة فقط",""))))</f>
        <v/>
      </c>
      <c r="I165" s="9">
        <f>IF(H165="جرد + مراجعة",الإعدادات!$B$2,IF(H165="مراجعة فقط",الإعدادات!$B$3,IF(H165="جرد فقط",الإعدادات!$B$4,0)))</f>
        <v>0</v>
      </c>
    </row>
    <row r="166">
      <c r="A166" s="4" t="n"/>
      <c r="B166" s="5" t="str">
        <f>IF(A166="","",IFERROR(INDEX('جدول الجرد'!$A$2:$A$29,MATCH(A166,'جدول الجرد'!$B$2:$B$29,0)),""))</f>
        <v/>
      </c>
      <c r="C166" s="5" t="str">
        <f>IF(A166="","",IFERROR(INDEX('جدول الجرد'!$E$2:$E$29,MATCH(A166,'جدول الجرد'!$B$2:$B$29,0)),""))</f>
        <v/>
      </c>
      <c r="D166" s="4" t="n"/>
      <c r="E166" s="4" t="n"/>
      <c r="F166" s="4" t="n"/>
      <c r="G166" s="4" t="n"/>
      <c r="H166" s="5" t="str">
        <f>IF(E166="","",IF(AND(F166="نعم",G166="نعم"),"جرد + مراجعة",IF(F166="نعم","جرد فقط",IF(G166="نعم","مراجعة فقط",""))))</f>
        <v/>
      </c>
      <c r="I166" s="9">
        <f>IF(H166="جرد + مراجعة",الإعدادات!$B$2,IF(H166="مراجعة فقط",الإعدادات!$B$3,IF(H166="جرد فقط",الإعدادات!$B$4,0)))</f>
        <v>0</v>
      </c>
    </row>
    <row r="167">
      <c r="A167" s="4" t="n"/>
      <c r="B167" s="5" t="str">
        <f>IF(A167="","",IFERROR(INDEX('جدول الجرد'!$A$2:$A$29,MATCH(A167,'جدول الجرد'!$B$2:$B$29,0)),""))</f>
        <v/>
      </c>
      <c r="C167" s="5" t="str">
        <f>IF(A167="","",IFERROR(INDEX('جدول الجرد'!$E$2:$E$29,MATCH(A167,'جدول الجرد'!$B$2:$B$29,0)),""))</f>
        <v/>
      </c>
      <c r="D167" s="4" t="n"/>
      <c r="E167" s="4" t="n"/>
      <c r="F167" s="4" t="n"/>
      <c r="G167" s="4" t="n"/>
      <c r="H167" s="5" t="str">
        <f>IF(E167="","",IF(AND(F167="نعم",G167="نعم"),"جرد + مراجعة",IF(F167="نعم","جرد فقط",IF(G167="نعم","مراجعة فقط",""))))</f>
        <v/>
      </c>
      <c r="I167" s="9">
        <f>IF(H167="جرد + مراجعة",الإعدادات!$B$2,IF(H167="مراجعة فقط",الإعدادات!$B$3,IF(H167="جرد فقط",الإعدادات!$B$4,0)))</f>
        <v>0</v>
      </c>
    </row>
    <row r="168">
      <c r="A168" s="4" t="n"/>
      <c r="B168" s="5" t="str">
        <f>IF(A168="","",IFERROR(INDEX('جدول الجرد'!$A$2:$A$29,MATCH(A168,'جدول الجرد'!$B$2:$B$29,0)),""))</f>
        <v/>
      </c>
      <c r="C168" s="5" t="str">
        <f>IF(A168="","",IFERROR(INDEX('جدول الجرد'!$E$2:$E$29,MATCH(A168,'جدول الجرد'!$B$2:$B$29,0)),""))</f>
        <v/>
      </c>
      <c r="D168" s="4" t="n"/>
      <c r="E168" s="4" t="n"/>
      <c r="F168" s="4" t="n"/>
      <c r="G168" s="4" t="n"/>
      <c r="H168" s="5" t="str">
        <f>IF(E168="","",IF(AND(F168="نعم",G168="نعم"),"جرد + مراجعة",IF(F168="نعم","جرد فقط",IF(G168="نعم","مراجعة فقط",""))))</f>
        <v/>
      </c>
      <c r="I168" s="9">
        <f>IF(H168="جرد + مراجعة",الإعدادات!$B$2,IF(H168="مراجعة فقط",الإعدادات!$B$3,IF(H168="جرد فقط",الإعدادات!$B$4,0)))</f>
        <v>0</v>
      </c>
    </row>
    <row r="169">
      <c r="A169" s="4" t="n"/>
      <c r="B169" s="5" t="str">
        <f>IF(A169="","",IFERROR(INDEX('جدول الجرد'!$A$2:$A$29,MATCH(A169,'جدول الجرد'!$B$2:$B$29,0)),""))</f>
        <v/>
      </c>
      <c r="C169" s="5" t="str">
        <f>IF(A169="","",IFERROR(INDEX('جدول الجرد'!$E$2:$E$29,MATCH(A169,'جدول الجرد'!$B$2:$B$29,0)),""))</f>
        <v/>
      </c>
      <c r="D169" s="4" t="n"/>
      <c r="E169" s="4" t="n"/>
      <c r="F169" s="4" t="n"/>
      <c r="G169" s="4" t="n"/>
      <c r="H169" s="5" t="str">
        <f>IF(E169="","",IF(AND(F169="نعم",G169="نعم"),"جرد + مراجعة",IF(F169="نعم","جرد فقط",IF(G169="نعم","مراجعة فقط",""))))</f>
        <v/>
      </c>
      <c r="I169" s="9">
        <f>IF(H169="جرد + مراجعة",الإعدادات!$B$2,IF(H169="مراجعة فقط",الإعدادات!$B$3,IF(H169="جرد فقط",الإعدادات!$B$4,0)))</f>
        <v>0</v>
      </c>
    </row>
    <row r="170">
      <c r="A170" s="4" t="n"/>
      <c r="B170" s="5" t="str">
        <f>IF(A170="","",IFERROR(INDEX('جدول الجرد'!$A$2:$A$29,MATCH(A170,'جدول الجرد'!$B$2:$B$29,0)),""))</f>
        <v/>
      </c>
      <c r="C170" s="5" t="str">
        <f>IF(A170="","",IFERROR(INDEX('جدول الجرد'!$E$2:$E$29,MATCH(A170,'جدول الجرد'!$B$2:$B$29,0)),""))</f>
        <v/>
      </c>
      <c r="D170" s="4" t="n"/>
      <c r="E170" s="4" t="n"/>
      <c r="F170" s="4" t="n"/>
      <c r="G170" s="4" t="n"/>
      <c r="H170" s="5" t="str">
        <f>IF(E170="","",IF(AND(F170="نعم",G170="نعم"),"جرد + مراجعة",IF(F170="نعم","جرد فقط",IF(G170="نعم","مراجعة فقط",""))))</f>
        <v/>
      </c>
      <c r="I170" s="9">
        <f>IF(H170="جرد + مراجعة",الإعدادات!$B$2,IF(H170="مراجعة فقط",الإعدادات!$B$3,IF(H170="جرد فقط",الإعدادات!$B$4,0)))</f>
        <v>0</v>
      </c>
    </row>
    <row r="171">
      <c r="A171" s="4" t="n"/>
      <c r="B171" s="5" t="str">
        <f>IF(A171="","",IFERROR(INDEX('جدول الجرد'!$A$2:$A$29,MATCH(A171,'جدول الجرد'!$B$2:$B$29,0)),""))</f>
        <v/>
      </c>
      <c r="C171" s="5" t="str">
        <f>IF(A171="","",IFERROR(INDEX('جدول الجرد'!$E$2:$E$29,MATCH(A171,'جدول الجرد'!$B$2:$B$29,0)),""))</f>
        <v/>
      </c>
      <c r="D171" s="4" t="n"/>
      <c r="E171" s="4" t="n"/>
      <c r="F171" s="4" t="n"/>
      <c r="G171" s="4" t="n"/>
      <c r="H171" s="5" t="str">
        <f>IF(E171="","",IF(AND(F171="نعم",G171="نعم"),"جرد + مراجعة",IF(F171="نعم","جرد فقط",IF(G171="نعم","مراجعة فقط",""))))</f>
        <v/>
      </c>
      <c r="I171" s="9">
        <f>IF(H171="جرد + مراجعة",الإعدادات!$B$2,IF(H171="مراجعة فقط",الإعدادات!$B$3,IF(H171="جرد فقط",الإعدادات!$B$4,0)))</f>
        <v>0</v>
      </c>
    </row>
    <row r="172">
      <c r="A172" s="4" t="n"/>
      <c r="B172" s="5" t="str">
        <f>IF(A172="","",IFERROR(INDEX('جدول الجرد'!$A$2:$A$29,MATCH(A172,'جدول الجرد'!$B$2:$B$29,0)),""))</f>
        <v/>
      </c>
      <c r="C172" s="5" t="str">
        <f>IF(A172="","",IFERROR(INDEX('جدول الجرد'!$E$2:$E$29,MATCH(A172,'جدول الجرد'!$B$2:$B$29,0)),""))</f>
        <v/>
      </c>
      <c r="D172" s="4" t="n"/>
      <c r="E172" s="4" t="n"/>
      <c r="F172" s="4" t="n"/>
      <c r="G172" s="4" t="n"/>
      <c r="H172" s="5" t="str">
        <f>IF(E172="","",IF(AND(F172="نعم",G172="نعم"),"جرد + مراجعة",IF(F172="نعم","جرد فقط",IF(G172="نعم","مراجعة فقط",""))))</f>
        <v/>
      </c>
      <c r="I172" s="9">
        <f>IF(H172="جرد + مراجعة",الإعدادات!$B$2,IF(H172="مراجعة فقط",الإعدادات!$B$3,IF(H172="جرد فقط",الإعدادات!$B$4,0)))</f>
        <v>0</v>
      </c>
    </row>
    <row r="173">
      <c r="A173" s="4" t="n"/>
      <c r="B173" s="5" t="str">
        <f>IF(A173="","",IFERROR(INDEX('جدول الجرد'!$A$2:$A$29,MATCH(A173,'جدول الجرد'!$B$2:$B$29,0)),""))</f>
        <v/>
      </c>
      <c r="C173" s="5" t="str">
        <f>IF(A173="","",IFERROR(INDEX('جدول الجرد'!$E$2:$E$29,MATCH(A173,'جدول الجرد'!$B$2:$B$29,0)),""))</f>
        <v/>
      </c>
      <c r="D173" s="4" t="n"/>
      <c r="E173" s="4" t="n"/>
      <c r="F173" s="4" t="n"/>
      <c r="G173" s="4" t="n"/>
      <c r="H173" s="5" t="str">
        <f>IF(E173="","",IF(AND(F173="نعم",G173="نعم"),"جرد + مراجعة",IF(F173="نعم","جرد فقط",IF(G173="نعم","مراجعة فقط",""))))</f>
        <v/>
      </c>
      <c r="I173" s="9">
        <f>IF(H173="جرد + مراجعة",الإعدادات!$B$2,IF(H173="مراجعة فقط",الإعدادات!$B$3,IF(H173="جرد فقط",الإعدادات!$B$4,0)))</f>
        <v>0</v>
      </c>
    </row>
    <row r="174">
      <c r="A174" s="4" t="n"/>
      <c r="B174" s="5" t="str">
        <f>IF(A174="","",IFERROR(INDEX('جدول الجرد'!$A$2:$A$29,MATCH(A174,'جدول الجرد'!$B$2:$B$29,0)),""))</f>
        <v/>
      </c>
      <c r="C174" s="5" t="str">
        <f>IF(A174="","",IFERROR(INDEX('جدول الجرد'!$E$2:$E$29,MATCH(A174,'جدول الجرد'!$B$2:$B$29,0)),""))</f>
        <v/>
      </c>
      <c r="D174" s="4" t="n"/>
      <c r="E174" s="4" t="n"/>
      <c r="F174" s="4" t="n"/>
      <c r="G174" s="4" t="n"/>
      <c r="H174" s="5" t="str">
        <f>IF(E174="","",IF(AND(F174="نعم",G174="نعم"),"جرد + مراجعة",IF(F174="نعم","جرد فقط",IF(G174="نعم","مراجعة فقط",""))))</f>
        <v/>
      </c>
      <c r="I174" s="9">
        <f>IF(H174="جرد + مراجعة",الإعدادات!$B$2,IF(H174="مراجعة فقط",الإعدادات!$B$3,IF(H174="جرد فقط",الإعدادات!$B$4,0)))</f>
        <v>0</v>
      </c>
    </row>
    <row r="175">
      <c r="A175" s="4" t="n"/>
      <c r="B175" s="5" t="str">
        <f>IF(A175="","",IFERROR(INDEX('جدول الجرد'!$A$2:$A$29,MATCH(A175,'جدول الجرد'!$B$2:$B$29,0)),""))</f>
        <v/>
      </c>
      <c r="C175" s="5" t="str">
        <f>IF(A175="","",IFERROR(INDEX('جدول الجرد'!$E$2:$E$29,MATCH(A175,'جدول الجرد'!$B$2:$B$29,0)),""))</f>
        <v/>
      </c>
      <c r="D175" s="4" t="n"/>
      <c r="E175" s="4" t="n"/>
      <c r="F175" s="4" t="n"/>
      <c r="G175" s="4" t="n"/>
      <c r="H175" s="5" t="str">
        <f>IF(E175="","",IF(AND(F175="نعم",G175="نعم"),"جرد + مراجعة",IF(F175="نعم","جرد فقط",IF(G175="نعم","مراجعة فقط",""))))</f>
        <v/>
      </c>
      <c r="I175" s="9">
        <f>IF(H175="جرد + مراجعة",الإعدادات!$B$2,IF(H175="مراجعة فقط",الإعدادات!$B$3,IF(H175="جرد فقط",الإعدادات!$B$4,0)))</f>
        <v>0</v>
      </c>
    </row>
    <row r="176">
      <c r="A176" s="4" t="n"/>
      <c r="B176" s="5" t="str">
        <f>IF(A176="","",IFERROR(INDEX('جدول الجرد'!$A$2:$A$29,MATCH(A176,'جدول الجرد'!$B$2:$B$29,0)),""))</f>
        <v/>
      </c>
      <c r="C176" s="5" t="str">
        <f>IF(A176="","",IFERROR(INDEX('جدول الجرد'!$E$2:$E$29,MATCH(A176,'جدول الجرد'!$B$2:$B$29,0)),""))</f>
        <v/>
      </c>
      <c r="D176" s="4" t="n"/>
      <c r="E176" s="4" t="n"/>
      <c r="F176" s="4" t="n"/>
      <c r="G176" s="4" t="n"/>
      <c r="H176" s="5" t="str">
        <f>IF(E176="","",IF(AND(F176="نعم",G176="نعم"),"جرد + مراجعة",IF(F176="نعم","جرد فقط",IF(G176="نعم","مراجعة فقط",""))))</f>
        <v/>
      </c>
      <c r="I176" s="9">
        <f>IF(H176="جرد + مراجعة",الإعدادات!$B$2,IF(H176="مراجعة فقط",الإعدادات!$B$3,IF(H176="جرد فقط",الإعدادات!$B$4,0)))</f>
        <v>0</v>
      </c>
    </row>
    <row r="177">
      <c r="A177" s="4" t="n"/>
      <c r="B177" s="5" t="str">
        <f>IF(A177="","",IFERROR(INDEX('جدول الجرد'!$A$2:$A$29,MATCH(A177,'جدول الجرد'!$B$2:$B$29,0)),""))</f>
        <v/>
      </c>
      <c r="C177" s="5" t="str">
        <f>IF(A177="","",IFERROR(INDEX('جدول الجرد'!$E$2:$E$29,MATCH(A177,'جدول الجرد'!$B$2:$B$29,0)),""))</f>
        <v/>
      </c>
      <c r="D177" s="4" t="n"/>
      <c r="E177" s="4" t="n"/>
      <c r="F177" s="4" t="n"/>
      <c r="G177" s="4" t="n"/>
      <c r="H177" s="5" t="str">
        <f>IF(E177="","",IF(AND(F177="نعم",G177="نعم"),"جرد + مراجعة",IF(F177="نعم","جرد فقط",IF(G177="نعم","مراجعة فقط",""))))</f>
        <v/>
      </c>
      <c r="I177" s="9">
        <f>IF(H177="جرد + مراجعة",الإعدادات!$B$2,IF(H177="مراجعة فقط",الإعدادات!$B$3,IF(H177="جرد فقط",الإعدادات!$B$4,0)))</f>
        <v>0</v>
      </c>
    </row>
    <row r="178">
      <c r="A178" s="4" t="n"/>
      <c r="B178" s="5" t="str">
        <f>IF(A178="","",IFERROR(INDEX('جدول الجرد'!$A$2:$A$29,MATCH(A178,'جدول الجرد'!$B$2:$B$29,0)),""))</f>
        <v/>
      </c>
      <c r="C178" s="5" t="str">
        <f>IF(A178="","",IFERROR(INDEX('جدول الجرد'!$E$2:$E$29,MATCH(A178,'جدول الجرد'!$B$2:$B$29,0)),""))</f>
        <v/>
      </c>
      <c r="D178" s="4" t="n"/>
      <c r="E178" s="4" t="n"/>
      <c r="F178" s="4" t="n"/>
      <c r="G178" s="4" t="n"/>
      <c r="H178" s="5" t="str">
        <f>IF(E178="","",IF(AND(F178="نعم",G178="نعم"),"جرد + مراجعة",IF(F178="نعم","جرد فقط",IF(G178="نعم","مراجعة فقط",""))))</f>
        <v/>
      </c>
      <c r="I178" s="9">
        <f>IF(H178="جرد + مراجعة",الإعدادات!$B$2,IF(H178="مراجعة فقط",الإعدادات!$B$3,IF(H178="جرد فقط",الإعدادات!$B$4,0)))</f>
        <v>0</v>
      </c>
    </row>
    <row r="179">
      <c r="A179" s="4" t="n"/>
      <c r="B179" s="5" t="str">
        <f>IF(A179="","",IFERROR(INDEX('جدول الجرد'!$A$2:$A$29,MATCH(A179,'جدول الجرد'!$B$2:$B$29,0)),""))</f>
        <v/>
      </c>
      <c r="C179" s="5" t="str">
        <f>IF(A179="","",IFERROR(INDEX('جدول الجرد'!$E$2:$E$29,MATCH(A179,'جدول الجرد'!$B$2:$B$29,0)),""))</f>
        <v/>
      </c>
      <c r="D179" s="4" t="n"/>
      <c r="E179" s="4" t="n"/>
      <c r="F179" s="4" t="n"/>
      <c r="G179" s="4" t="n"/>
      <c r="H179" s="5" t="str">
        <f>IF(E179="","",IF(AND(F179="نعم",G179="نعم"),"جرد + مراجعة",IF(F179="نعم","جرد فقط",IF(G179="نعم","مراجعة فقط",""))))</f>
        <v/>
      </c>
      <c r="I179" s="9">
        <f>IF(H179="جرد + مراجعة",الإعدادات!$B$2,IF(H179="مراجعة فقط",الإعدادات!$B$3,IF(H179="جرد فقط",الإعدادات!$B$4,0)))</f>
        <v>0</v>
      </c>
    </row>
    <row r="180">
      <c r="A180" s="4" t="n"/>
      <c r="B180" s="5" t="str">
        <f>IF(A180="","",IFERROR(INDEX('جدول الجرد'!$A$2:$A$29,MATCH(A180,'جدول الجرد'!$B$2:$B$29,0)),""))</f>
        <v/>
      </c>
      <c r="C180" s="5" t="str">
        <f>IF(A180="","",IFERROR(INDEX('جدول الجرد'!$E$2:$E$29,MATCH(A180,'جدول الجرد'!$B$2:$B$29,0)),""))</f>
        <v/>
      </c>
      <c r="D180" s="4" t="n"/>
      <c r="E180" s="4" t="n"/>
      <c r="F180" s="4" t="n"/>
      <c r="G180" s="4" t="n"/>
      <c r="H180" s="5" t="str">
        <f>IF(E180="","",IF(AND(F180="نعم",G180="نعم"),"جرد + مراجعة",IF(F180="نعم","جرد فقط",IF(G180="نعم","مراجعة فقط",""))))</f>
        <v/>
      </c>
      <c r="I180" s="9">
        <f>IF(H180="جرد + مراجعة",الإعدادات!$B$2,IF(H180="مراجعة فقط",الإعدادات!$B$3,IF(H180="جرد فقط",الإعدادات!$B$4,0)))</f>
        <v>0</v>
      </c>
    </row>
    <row r="181">
      <c r="A181" s="4" t="n"/>
      <c r="B181" s="5" t="str">
        <f>IF(A181="","",IFERROR(INDEX('جدول الجرد'!$A$2:$A$29,MATCH(A181,'جدول الجرد'!$B$2:$B$29,0)),""))</f>
        <v/>
      </c>
      <c r="C181" s="5" t="str">
        <f>IF(A181="","",IFERROR(INDEX('جدول الجرد'!$E$2:$E$29,MATCH(A181,'جدول الجرد'!$B$2:$B$29,0)),""))</f>
        <v/>
      </c>
      <c r="D181" s="4" t="n"/>
      <c r="E181" s="4" t="n"/>
      <c r="F181" s="4" t="n"/>
      <c r="G181" s="4" t="n"/>
      <c r="H181" s="5" t="str">
        <f>IF(E181="","",IF(AND(F181="نعم",G181="نعم"),"جرد + مراجعة",IF(F181="نعم","جرد فقط",IF(G181="نعم","مراجعة فقط",""))))</f>
        <v/>
      </c>
      <c r="I181" s="9">
        <f>IF(H181="جرد + مراجعة",الإعدادات!$B$2,IF(H181="مراجعة فقط",الإعدادات!$B$3,IF(H181="جرد فقط",الإعدادات!$B$4,0)))</f>
        <v>0</v>
      </c>
    </row>
    <row r="182">
      <c r="A182" s="4" t="n"/>
      <c r="B182" s="5" t="str">
        <f>IF(A182="","",IFERROR(INDEX('جدول الجرد'!$A$2:$A$29,MATCH(A182,'جدول الجرد'!$B$2:$B$29,0)),""))</f>
        <v/>
      </c>
      <c r="C182" s="5" t="str">
        <f>IF(A182="","",IFERROR(INDEX('جدول الجرد'!$E$2:$E$29,MATCH(A182,'جدول الجرد'!$B$2:$B$29,0)),""))</f>
        <v/>
      </c>
      <c r="D182" s="4" t="n"/>
      <c r="E182" s="4" t="n"/>
      <c r="F182" s="4" t="n"/>
      <c r="G182" s="4" t="n"/>
      <c r="H182" s="5" t="str">
        <f>IF(E182="","",IF(AND(F182="نعم",G182="نعم"),"جرد + مراجعة",IF(F182="نعم","جرد فقط",IF(G182="نعم","مراجعة فقط",""))))</f>
        <v/>
      </c>
      <c r="I182" s="9">
        <f>IF(H182="جرد + مراجعة",الإعدادات!$B$2,IF(H182="مراجعة فقط",الإعدادات!$B$3,IF(H182="جرد فقط",الإعدادات!$B$4,0)))</f>
        <v>0</v>
      </c>
    </row>
    <row r="183">
      <c r="A183" s="4" t="n"/>
      <c r="B183" s="5" t="str">
        <f>IF(A183="","",IFERROR(INDEX('جدول الجرد'!$A$2:$A$29,MATCH(A183,'جدول الجرد'!$B$2:$B$29,0)),""))</f>
        <v/>
      </c>
      <c r="C183" s="5" t="str">
        <f>IF(A183="","",IFERROR(INDEX('جدول الجرد'!$E$2:$E$29,MATCH(A183,'جدول الجرد'!$B$2:$B$29,0)),""))</f>
        <v/>
      </c>
      <c r="D183" s="4" t="n"/>
      <c r="E183" s="4" t="n"/>
      <c r="F183" s="4" t="n"/>
      <c r="G183" s="4" t="n"/>
      <c r="H183" s="5" t="str">
        <f>IF(E183="","",IF(AND(F183="نعم",G183="نعم"),"جرد + مراجعة",IF(F183="نعم","جرد فقط",IF(G183="نعم","مراجعة فقط",""))))</f>
        <v/>
      </c>
      <c r="I183" s="9">
        <f>IF(H183="جرد + مراجعة",الإعدادات!$B$2,IF(H183="مراجعة فقط",الإعدادات!$B$3,IF(H183="جرد فقط",الإعدادات!$B$4,0)))</f>
        <v>0</v>
      </c>
    </row>
    <row r="184">
      <c r="A184" s="4" t="n"/>
      <c r="B184" s="5" t="str">
        <f>IF(A184="","",IFERROR(INDEX('جدول الجرد'!$A$2:$A$29,MATCH(A184,'جدول الجرد'!$B$2:$B$29,0)),""))</f>
        <v/>
      </c>
      <c r="C184" s="5" t="str">
        <f>IF(A184="","",IFERROR(INDEX('جدول الجرد'!$E$2:$E$29,MATCH(A184,'جدول الجرد'!$B$2:$B$29,0)),""))</f>
        <v/>
      </c>
      <c r="D184" s="4" t="n"/>
      <c r="E184" s="4" t="n"/>
      <c r="F184" s="4" t="n"/>
      <c r="G184" s="4" t="n"/>
      <c r="H184" s="5" t="str">
        <f>IF(E184="","",IF(AND(F184="نعم",G184="نعم"),"جرد + مراجعة",IF(F184="نعم","جرد فقط",IF(G184="نعم","مراجعة فقط",""))))</f>
        <v/>
      </c>
      <c r="I184" s="9">
        <f>IF(H184="جرد + مراجعة",الإعدادات!$B$2,IF(H184="مراجعة فقط",الإعدادات!$B$3,IF(H184="جرد فقط",الإعدادات!$B$4,0)))</f>
        <v>0</v>
      </c>
    </row>
    <row r="185">
      <c r="A185" s="4" t="n"/>
      <c r="B185" s="5" t="str">
        <f>IF(A185="","",IFERROR(INDEX('جدول الجرد'!$A$2:$A$29,MATCH(A185,'جدول الجرد'!$B$2:$B$29,0)),""))</f>
        <v/>
      </c>
      <c r="C185" s="5" t="str">
        <f>IF(A185="","",IFERROR(INDEX('جدول الجرد'!$E$2:$E$29,MATCH(A185,'جدول الجرد'!$B$2:$B$29,0)),""))</f>
        <v/>
      </c>
      <c r="D185" s="4" t="n"/>
      <c r="E185" s="4" t="n"/>
      <c r="F185" s="4" t="n"/>
      <c r="G185" s="4" t="n"/>
      <c r="H185" s="5" t="str">
        <f>IF(E185="","",IF(AND(F185="نعم",G185="نعم"),"جرد + مراجعة",IF(F185="نعم","جرد فقط",IF(G185="نعم","مراجعة فقط",""))))</f>
        <v/>
      </c>
      <c r="I185" s="9">
        <f>IF(H185="جرد + مراجعة",الإعدادات!$B$2,IF(H185="مراجعة فقط",الإعدادات!$B$3,IF(H185="جرد فقط",الإعدادات!$B$4,0)))</f>
        <v>0</v>
      </c>
    </row>
    <row r="186">
      <c r="A186" s="4" t="n"/>
      <c r="B186" s="5" t="str">
        <f>IF(A186="","",IFERROR(INDEX('جدول الجرد'!$A$2:$A$29,MATCH(A186,'جدول الجرد'!$B$2:$B$29,0)),""))</f>
        <v/>
      </c>
      <c r="C186" s="5" t="str">
        <f>IF(A186="","",IFERROR(INDEX('جدول الجرد'!$E$2:$E$29,MATCH(A186,'جدول الجرد'!$B$2:$B$29,0)),""))</f>
        <v/>
      </c>
      <c r="D186" s="4" t="n"/>
      <c r="E186" s="4" t="n"/>
      <c r="F186" s="4" t="n"/>
      <c r="G186" s="4" t="n"/>
      <c r="H186" s="5" t="str">
        <f>IF(E186="","",IF(AND(F186="نعم",G186="نعم"),"جرد + مراجعة",IF(F186="نعم","جرد فقط",IF(G186="نعم","مراجعة فقط",""))))</f>
        <v/>
      </c>
      <c r="I186" s="9">
        <f>IF(H186="جرد + مراجعة",الإعدادات!$B$2,IF(H186="مراجعة فقط",الإعدادات!$B$3,IF(H186="جرد فقط",الإعدادات!$B$4,0)))</f>
        <v>0</v>
      </c>
    </row>
    <row r="187">
      <c r="A187" s="4" t="n"/>
      <c r="B187" s="5" t="str">
        <f>IF(A187="","",IFERROR(INDEX('جدول الجرد'!$A$2:$A$29,MATCH(A187,'جدول الجرد'!$B$2:$B$29,0)),""))</f>
        <v/>
      </c>
      <c r="C187" s="5" t="str">
        <f>IF(A187="","",IFERROR(INDEX('جدول الجرد'!$E$2:$E$29,MATCH(A187,'جدول الجرد'!$B$2:$B$29,0)),""))</f>
        <v/>
      </c>
      <c r="D187" s="4" t="n"/>
      <c r="E187" s="4" t="n"/>
      <c r="F187" s="4" t="n"/>
      <c r="G187" s="4" t="n"/>
      <c r="H187" s="5" t="str">
        <f>IF(E187="","",IF(AND(F187="نعم",G187="نعم"),"جرد + مراجعة",IF(F187="نعم","جرد فقط",IF(G187="نعم","مراجعة فقط",""))))</f>
        <v/>
      </c>
      <c r="I187" s="9">
        <f>IF(H187="جرد + مراجعة",الإعدادات!$B$2,IF(H187="مراجعة فقط",الإعدادات!$B$3,IF(H187="جرد فقط",الإعدادات!$B$4,0)))</f>
        <v>0</v>
      </c>
    </row>
    <row r="188">
      <c r="A188" s="4" t="n"/>
      <c r="B188" s="5" t="str">
        <f>IF(A188="","",IFERROR(INDEX('جدول الجرد'!$A$2:$A$29,MATCH(A188,'جدول الجرد'!$B$2:$B$29,0)),""))</f>
        <v/>
      </c>
      <c r="C188" s="5" t="str">
        <f>IF(A188="","",IFERROR(INDEX('جدول الجرد'!$E$2:$E$29,MATCH(A188,'جدول الجرد'!$B$2:$B$29,0)),""))</f>
        <v/>
      </c>
      <c r="D188" s="4" t="n"/>
      <c r="E188" s="4" t="n"/>
      <c r="F188" s="4" t="n"/>
      <c r="G188" s="4" t="n"/>
      <c r="H188" s="5" t="str">
        <f>IF(E188="","",IF(AND(F188="نعم",G188="نعم"),"جرد + مراجعة",IF(F188="نعم","جرد فقط",IF(G188="نعم","مراجعة فقط",""))))</f>
        <v/>
      </c>
      <c r="I188" s="9">
        <f>IF(H188="جرد + مراجعة",الإعدادات!$B$2,IF(H188="مراجعة فقط",الإعدادات!$B$3,IF(H188="جرد فقط",الإعدادات!$B$4,0)))</f>
        <v>0</v>
      </c>
    </row>
    <row r="189">
      <c r="A189" s="4" t="n"/>
      <c r="B189" s="5" t="str">
        <f>IF(A189="","",IFERROR(INDEX('جدول الجرد'!$A$2:$A$29,MATCH(A189,'جدول الجرد'!$B$2:$B$29,0)),""))</f>
        <v/>
      </c>
      <c r="C189" s="5" t="str">
        <f>IF(A189="","",IFERROR(INDEX('جدول الجرد'!$E$2:$E$29,MATCH(A189,'جدول الجرد'!$B$2:$B$29,0)),""))</f>
        <v/>
      </c>
      <c r="D189" s="4" t="n"/>
      <c r="E189" s="4" t="n"/>
      <c r="F189" s="4" t="n"/>
      <c r="G189" s="4" t="n"/>
      <c r="H189" s="5" t="str">
        <f>IF(E189="","",IF(AND(F189="نعم",G189="نعم"),"جرد + مراجعة",IF(F189="نعم","جرد فقط",IF(G189="نعم","مراجعة فقط",""))))</f>
        <v/>
      </c>
      <c r="I189" s="9">
        <f>IF(H189="جرد + مراجعة",الإعدادات!$B$2,IF(H189="مراجعة فقط",الإعدادات!$B$3,IF(H189="جرد فقط",الإعدادات!$B$4,0)))</f>
        <v>0</v>
      </c>
    </row>
    <row r="190">
      <c r="A190" s="4" t="n"/>
      <c r="B190" s="5" t="str">
        <f>IF(A190="","",IFERROR(INDEX('جدول الجرد'!$A$2:$A$29,MATCH(A190,'جدول الجرد'!$B$2:$B$29,0)),""))</f>
        <v/>
      </c>
      <c r="C190" s="5" t="str">
        <f>IF(A190="","",IFERROR(INDEX('جدول الجرد'!$E$2:$E$29,MATCH(A190,'جدول الجرد'!$B$2:$B$29,0)),""))</f>
        <v/>
      </c>
      <c r="D190" s="4" t="n"/>
      <c r="E190" s="4" t="n"/>
      <c r="F190" s="4" t="n"/>
      <c r="G190" s="4" t="n"/>
      <c r="H190" s="5" t="str">
        <f>IF(E190="","",IF(AND(F190="نعم",G190="نعم"),"جرد + مراجعة",IF(F190="نعم","جرد فقط",IF(G190="نعم","مراجعة فقط",""))))</f>
        <v/>
      </c>
      <c r="I190" s="9">
        <f>IF(H190="جرد + مراجعة",الإعدادات!$B$2,IF(H190="مراجعة فقط",الإعدادات!$B$3,IF(H190="جرد فقط",الإعدادات!$B$4,0)))</f>
        <v>0</v>
      </c>
    </row>
    <row r="191">
      <c r="A191" s="4" t="n"/>
      <c r="B191" s="5" t="str">
        <f>IF(A191="","",IFERROR(INDEX('جدول الجرد'!$A$2:$A$29,MATCH(A191,'جدول الجرد'!$B$2:$B$29,0)),""))</f>
        <v/>
      </c>
      <c r="C191" s="5" t="str">
        <f>IF(A191="","",IFERROR(INDEX('جدول الجرد'!$E$2:$E$29,MATCH(A191,'جدول الجرد'!$B$2:$B$29,0)),""))</f>
        <v/>
      </c>
      <c r="D191" s="4" t="n"/>
      <c r="E191" s="4" t="n"/>
      <c r="F191" s="4" t="n"/>
      <c r="G191" s="4" t="n"/>
      <c r="H191" s="5" t="str">
        <f>IF(E191="","",IF(AND(F191="نعم",G191="نعم"),"جرد + مراجعة",IF(F191="نعم","جرد فقط",IF(G191="نعم","مراجعة فقط",""))))</f>
        <v/>
      </c>
      <c r="I191" s="9">
        <f>IF(H191="جرد + مراجعة",الإعدادات!$B$2,IF(H191="مراجعة فقط",الإعدادات!$B$3,IF(H191="جرد فقط",الإعدادات!$B$4,0)))</f>
        <v>0</v>
      </c>
    </row>
    <row r="192">
      <c r="A192" s="4" t="n"/>
      <c r="B192" s="5" t="str">
        <f>IF(A192="","",IFERROR(INDEX('جدول الجرد'!$A$2:$A$29,MATCH(A192,'جدول الجرد'!$B$2:$B$29,0)),""))</f>
        <v/>
      </c>
      <c r="C192" s="5" t="str">
        <f>IF(A192="","",IFERROR(INDEX('جدول الجرد'!$E$2:$E$29,MATCH(A192,'جدول الجرد'!$B$2:$B$29,0)),""))</f>
        <v/>
      </c>
      <c r="D192" s="4" t="n"/>
      <c r="E192" s="4" t="n"/>
      <c r="F192" s="4" t="n"/>
      <c r="G192" s="4" t="n"/>
      <c r="H192" s="5" t="str">
        <f>IF(E192="","",IF(AND(F192="نعم",G192="نعم"),"جرد + مراجعة",IF(F192="نعم","جرد فقط",IF(G192="نعم","مراجعة فقط",""))))</f>
        <v/>
      </c>
      <c r="I192" s="9">
        <f>IF(H192="جرد + مراجعة",الإعدادات!$B$2,IF(H192="مراجعة فقط",الإعدادات!$B$3,IF(H192="جرد فقط",الإعدادات!$B$4,0)))</f>
        <v>0</v>
      </c>
    </row>
    <row r="193">
      <c r="A193" s="4" t="n"/>
      <c r="B193" s="5" t="str">
        <f>IF(A193="","",IFERROR(INDEX('جدول الجرد'!$A$2:$A$29,MATCH(A193,'جدول الجرد'!$B$2:$B$29,0)),""))</f>
        <v/>
      </c>
      <c r="C193" s="5" t="str">
        <f>IF(A193="","",IFERROR(INDEX('جدول الجرد'!$E$2:$E$29,MATCH(A193,'جدول الجرد'!$B$2:$B$29,0)),""))</f>
        <v/>
      </c>
      <c r="D193" s="4" t="n"/>
      <c r="E193" s="4" t="n"/>
      <c r="F193" s="4" t="n"/>
      <c r="G193" s="4" t="n"/>
      <c r="H193" s="5" t="str">
        <f>IF(E193="","",IF(AND(F193="نعم",G193="نعم"),"جرد + مراجعة",IF(F193="نعم","جرد فقط",IF(G193="نعم","مراجعة فقط",""))))</f>
        <v/>
      </c>
      <c r="I193" s="9">
        <f>IF(H193="جرد + مراجعة",الإعدادات!$B$2,IF(H193="مراجعة فقط",الإعدادات!$B$3,IF(H193="جرد فقط",الإعدادات!$B$4,0)))</f>
        <v>0</v>
      </c>
    </row>
    <row r="194">
      <c r="A194" s="4" t="n"/>
      <c r="B194" s="5" t="str">
        <f>IF(A194="","",IFERROR(INDEX('جدول الجرد'!$A$2:$A$29,MATCH(A194,'جدول الجرد'!$B$2:$B$29,0)),""))</f>
        <v/>
      </c>
      <c r="C194" s="5" t="str">
        <f>IF(A194="","",IFERROR(INDEX('جدول الجرد'!$E$2:$E$29,MATCH(A194,'جدول الجرد'!$B$2:$B$29,0)),""))</f>
        <v/>
      </c>
      <c r="D194" s="4" t="n"/>
      <c r="E194" s="4" t="n"/>
      <c r="F194" s="4" t="n"/>
      <c r="G194" s="4" t="n"/>
      <c r="H194" s="5" t="str">
        <f>IF(E194="","",IF(AND(F194="نعم",G194="نعم"),"جرد + مراجعة",IF(F194="نعم","جرد فقط",IF(G194="نعم","مراجعة فقط",""))))</f>
        <v/>
      </c>
      <c r="I194" s="9">
        <f>IF(H194="جرد + مراجعة",الإعدادات!$B$2,IF(H194="مراجعة فقط",الإعدادات!$B$3,IF(H194="جرد فقط",الإعدادات!$B$4,0)))</f>
        <v>0</v>
      </c>
    </row>
    <row r="195">
      <c r="A195" s="4" t="n"/>
      <c r="B195" s="5" t="str">
        <f>IF(A195="","",IFERROR(INDEX('جدول الجرد'!$A$2:$A$29,MATCH(A195,'جدول الجرد'!$B$2:$B$29,0)),""))</f>
        <v/>
      </c>
      <c r="C195" s="5" t="str">
        <f>IF(A195="","",IFERROR(INDEX('جدول الجرد'!$E$2:$E$29,MATCH(A195,'جدول الجرد'!$B$2:$B$29,0)),""))</f>
        <v/>
      </c>
      <c r="D195" s="4" t="n"/>
      <c r="E195" s="4" t="n"/>
      <c r="F195" s="4" t="n"/>
      <c r="G195" s="4" t="n"/>
      <c r="H195" s="5" t="str">
        <f>IF(E195="","",IF(AND(F195="نعم",G195="نعم"),"جرد + مراجعة",IF(F195="نعم","جرد فقط",IF(G195="نعم","مراجعة فقط",""))))</f>
        <v/>
      </c>
      <c r="I195" s="9">
        <f>IF(H195="جرد + مراجعة",الإعدادات!$B$2,IF(H195="مراجعة فقط",الإعدادات!$B$3,IF(H195="جرد فقط",الإعدادات!$B$4,0)))</f>
        <v>0</v>
      </c>
    </row>
    <row r="196">
      <c r="A196" s="4" t="n"/>
      <c r="B196" s="5" t="str">
        <f>IF(A196="","",IFERROR(INDEX('جدول الجرد'!$A$2:$A$29,MATCH(A196,'جدول الجرد'!$B$2:$B$29,0)),""))</f>
        <v/>
      </c>
      <c r="C196" s="5" t="str">
        <f>IF(A196="","",IFERROR(INDEX('جدول الجرد'!$E$2:$E$29,MATCH(A196,'جدول الجرد'!$B$2:$B$29,0)),""))</f>
        <v/>
      </c>
      <c r="D196" s="4" t="n"/>
      <c r="E196" s="4" t="n"/>
      <c r="F196" s="4" t="n"/>
      <c r="G196" s="4" t="n"/>
      <c r="H196" s="5" t="str">
        <f>IF(E196="","",IF(AND(F196="نعم",G196="نعم"),"جرد + مراجعة",IF(F196="نعم","جرد فقط",IF(G196="نعم","مراجعة فقط",""))))</f>
        <v/>
      </c>
      <c r="I196" s="9">
        <f>IF(H196="جرد + مراجعة",الإعدادات!$B$2,IF(H196="مراجعة فقط",الإعدادات!$B$3,IF(H196="جرد فقط",الإعدادات!$B$4,0)))</f>
        <v>0</v>
      </c>
    </row>
    <row r="197">
      <c r="A197" s="4" t="n"/>
      <c r="B197" s="5" t="str">
        <f>IF(A197="","",IFERROR(INDEX('جدول الجرد'!$A$2:$A$29,MATCH(A197,'جدول الجرد'!$B$2:$B$29,0)),""))</f>
        <v/>
      </c>
      <c r="C197" s="5" t="str">
        <f>IF(A197="","",IFERROR(INDEX('جدول الجرد'!$E$2:$E$29,MATCH(A197,'جدول الجرد'!$B$2:$B$29,0)),""))</f>
        <v/>
      </c>
      <c r="D197" s="4" t="n"/>
      <c r="E197" s="4" t="n"/>
      <c r="F197" s="4" t="n"/>
      <c r="G197" s="4" t="n"/>
      <c r="H197" s="5" t="str">
        <f>IF(E197="","",IF(AND(F197="نعم",G197="نعم"),"جرد + مراجعة",IF(F197="نعم","جرد فقط",IF(G197="نعم","مراجعة فقط",""))))</f>
        <v/>
      </c>
      <c r="I197" s="9">
        <f>IF(H197="جرد + مراجعة",الإعدادات!$B$2,IF(H197="مراجعة فقط",الإعدادات!$B$3,IF(H197="جرد فقط",الإعدادات!$B$4,0)))</f>
        <v>0</v>
      </c>
    </row>
    <row r="198">
      <c r="A198" s="4" t="n"/>
      <c r="B198" s="5" t="str">
        <f>IF(A198="","",IFERROR(INDEX('جدول الجرد'!$A$2:$A$29,MATCH(A198,'جدول الجرد'!$B$2:$B$29,0)),""))</f>
        <v/>
      </c>
      <c r="C198" s="5" t="str">
        <f>IF(A198="","",IFERROR(INDEX('جدول الجرد'!$E$2:$E$29,MATCH(A198,'جدول الجرد'!$B$2:$B$29,0)),""))</f>
        <v/>
      </c>
      <c r="D198" s="4" t="n"/>
      <c r="E198" s="4" t="n"/>
      <c r="F198" s="4" t="n"/>
      <c r="G198" s="4" t="n"/>
      <c r="H198" s="5" t="str">
        <f>IF(E198="","",IF(AND(F198="نعم",G198="نعم"),"جرد + مراجعة",IF(F198="نعم","جرد فقط",IF(G198="نعم","مراجعة فقط",""))))</f>
        <v/>
      </c>
      <c r="I198" s="9">
        <f>IF(H198="جرد + مراجعة",الإعدادات!$B$2,IF(H198="مراجعة فقط",الإعدادات!$B$3,IF(H198="جرد فقط",الإعدادات!$B$4,0)))</f>
        <v>0</v>
      </c>
    </row>
    <row r="199">
      <c r="A199" s="4" t="n"/>
      <c r="B199" s="5" t="str">
        <f>IF(A199="","",IFERROR(INDEX('جدول الجرد'!$A$2:$A$29,MATCH(A199,'جدول الجرد'!$B$2:$B$29,0)),""))</f>
        <v/>
      </c>
      <c r="C199" s="5" t="str">
        <f>IF(A199="","",IFERROR(INDEX('جدول الجرد'!$E$2:$E$29,MATCH(A199,'جدول الجرد'!$B$2:$B$29,0)),""))</f>
        <v/>
      </c>
      <c r="D199" s="4" t="n"/>
      <c r="E199" s="4" t="n"/>
      <c r="F199" s="4" t="n"/>
      <c r="G199" s="4" t="n"/>
      <c r="H199" s="5" t="str">
        <f>IF(E199="","",IF(AND(F199="نعم",G199="نعم"),"جرد + مراجعة",IF(F199="نعم","جرد فقط",IF(G199="نعم","مراجعة فقط",""))))</f>
        <v/>
      </c>
      <c r="I199" s="9">
        <f>IF(H199="جرد + مراجعة",الإعدادات!$B$2,IF(H199="مراجعة فقط",الإعدادات!$B$3,IF(H199="جرد فقط",الإعدادات!$B$4,0)))</f>
        <v>0</v>
      </c>
    </row>
    <row r="200">
      <c r="A200" s="4" t="n"/>
      <c r="B200" s="5" t="str">
        <f>IF(A200="","",IFERROR(INDEX('جدول الجرد'!$A$2:$A$29,MATCH(A200,'جدول الجرد'!$B$2:$B$29,0)),""))</f>
        <v/>
      </c>
      <c r="C200" s="5" t="str">
        <f>IF(A200="","",IFERROR(INDEX('جدول الجرد'!$E$2:$E$29,MATCH(A200,'جدول الجرد'!$B$2:$B$29,0)),""))</f>
        <v/>
      </c>
      <c r="D200" s="4" t="n"/>
      <c r="E200" s="4" t="n"/>
      <c r="F200" s="4" t="n"/>
      <c r="G200" s="4" t="n"/>
      <c r="H200" s="5" t="str">
        <f>IF(E200="","",IF(AND(F200="نعم",G200="نعم"),"جرد + مراجعة",IF(F200="نعم","جرد فقط",IF(G200="نعم","مراجعة فقط",""))))</f>
        <v/>
      </c>
      <c r="I200" s="9">
        <f>IF(H200="جرد + مراجعة",الإعدادات!$B$2,IF(H200="مراجعة فقط",الإعدادات!$B$3,IF(H200="جرد فقط",الإعدادات!$B$4,0)))</f>
        <v>0</v>
      </c>
    </row>
    <row r="201">
      <c r="A201" s="4" t="n"/>
      <c r="B201" s="5" t="str">
        <f>IF(A201="","",IFERROR(INDEX('جدول الجرد'!$A$2:$A$29,MATCH(A201,'جدول الجرد'!$B$2:$B$29,0)),""))</f>
        <v/>
      </c>
      <c r="C201" s="5" t="str">
        <f>IF(A201="","",IFERROR(INDEX('جدول الجرد'!$E$2:$E$29,MATCH(A201,'جدول الجرد'!$B$2:$B$29,0)),""))</f>
        <v/>
      </c>
      <c r="D201" s="4" t="n"/>
      <c r="E201" s="4" t="n"/>
      <c r="F201" s="4" t="n"/>
      <c r="G201" s="4" t="n"/>
      <c r="H201" s="5" t="str">
        <f>IF(E201="","",IF(AND(F201="نعم",G201="نعم"),"جرد + مراجعة",IF(F201="نعم","جرد فقط",IF(G201="نعم","مراجعة فقط",""))))</f>
        <v/>
      </c>
      <c r="I201" s="9">
        <f>IF(H201="جرد + مراجعة",الإعدادات!$B$2,IF(H201="مراجعة فقط",الإعدادات!$B$3,IF(H201="جرد فقط",الإعدادات!$B$4,0)))</f>
        <v>0</v>
      </c>
    </row>
    <row r="202">
      <c r="A202" s="4" t="n"/>
      <c r="B202" s="5" t="str">
        <f>IF(A202="","",IFERROR(INDEX('جدول الجرد'!$A$2:$A$29,MATCH(A202,'جدول الجرد'!$B$2:$B$29,0)),""))</f>
        <v/>
      </c>
      <c r="C202" s="5" t="str">
        <f>IF(A202="","",IFERROR(INDEX('جدول الجرد'!$E$2:$E$29,MATCH(A202,'جدول الجرد'!$B$2:$B$29,0)),""))</f>
        <v/>
      </c>
      <c r="D202" s="4" t="n"/>
      <c r="E202" s="4" t="n"/>
      <c r="F202" s="4" t="n"/>
      <c r="G202" s="4" t="n"/>
      <c r="H202" s="5" t="str">
        <f>IF(E202="","",IF(AND(F202="نعم",G202="نعم"),"جرد + مراجعة",IF(F202="نعم","جرد فقط",IF(G202="نعم","مراجعة فقط",""))))</f>
        <v/>
      </c>
      <c r="I202" s="9">
        <f>IF(H202="جرد + مراجعة",الإعدادات!$B$2,IF(H202="مراجعة فقط",الإعدادات!$B$3,IF(H202="جرد فقط",الإعدادات!$B$4,0)))</f>
        <v>0</v>
      </c>
    </row>
    <row r="203">
      <c r="A203" s="4" t="n"/>
      <c r="B203" s="5" t="str">
        <f>IF(A203="","",IFERROR(INDEX('جدول الجرد'!$A$2:$A$29,MATCH(A203,'جدول الجرد'!$B$2:$B$29,0)),""))</f>
        <v/>
      </c>
      <c r="C203" s="5" t="str">
        <f>IF(A203="","",IFERROR(INDEX('جدول الجرد'!$E$2:$E$29,MATCH(A203,'جدول الجرد'!$B$2:$B$29,0)),""))</f>
        <v/>
      </c>
      <c r="D203" s="4" t="n"/>
      <c r="E203" s="4" t="n"/>
      <c r="F203" s="4" t="n"/>
      <c r="G203" s="4" t="n"/>
      <c r="H203" s="5" t="str">
        <f>IF(E203="","",IF(AND(F203="نعم",G203="نعم"),"جرد + مراجعة",IF(F203="نعم","جرد فقط",IF(G203="نعم","مراجعة فقط",""))))</f>
        <v/>
      </c>
      <c r="I203" s="9">
        <f>IF(H203="جرد + مراجعة",الإعدادات!$B$2,IF(H203="مراجعة فقط",الإعدادات!$B$3,IF(H203="جرد فقط",الإعدادات!$B$4,0)))</f>
        <v>0</v>
      </c>
    </row>
    <row r="204">
      <c r="A204" s="4" t="n"/>
      <c r="B204" s="5" t="str">
        <f>IF(A204="","",IFERROR(INDEX('جدول الجرد'!$A$2:$A$29,MATCH(A204,'جدول الجرد'!$B$2:$B$29,0)),""))</f>
        <v/>
      </c>
      <c r="C204" s="5" t="str">
        <f>IF(A204="","",IFERROR(INDEX('جدول الجرد'!$E$2:$E$29,MATCH(A204,'جدول الجرد'!$B$2:$B$29,0)),""))</f>
        <v/>
      </c>
      <c r="D204" s="4" t="n"/>
      <c r="E204" s="4" t="n"/>
      <c r="F204" s="4" t="n"/>
      <c r="G204" s="4" t="n"/>
      <c r="H204" s="5" t="str">
        <f>IF(E204="","",IF(AND(F204="نعم",G204="نعم"),"جرد + مراجعة",IF(F204="نعم","جرد فقط",IF(G204="نعم","مراجعة فقط",""))))</f>
        <v/>
      </c>
      <c r="I204" s="9">
        <f>IF(H204="جرد + مراجعة",الإعدادات!$B$2,IF(H204="مراجعة فقط",الإعدادات!$B$3,IF(H204="جرد فقط",الإعدادات!$B$4,0)))</f>
        <v>0</v>
      </c>
    </row>
    <row r="205">
      <c r="A205" s="4" t="n"/>
      <c r="B205" s="5" t="str">
        <f>IF(A205="","",IFERROR(INDEX('جدول الجرد'!$A$2:$A$29,MATCH(A205,'جدول الجرد'!$B$2:$B$29,0)),""))</f>
        <v/>
      </c>
      <c r="C205" s="5" t="str">
        <f>IF(A205="","",IFERROR(INDEX('جدول الجرد'!$E$2:$E$29,MATCH(A205,'جدول الجرد'!$B$2:$B$29,0)),""))</f>
        <v/>
      </c>
      <c r="D205" s="4" t="n"/>
      <c r="E205" s="4" t="n"/>
      <c r="F205" s="4" t="n"/>
      <c r="G205" s="4" t="n"/>
      <c r="H205" s="5" t="str">
        <f>IF(E205="","",IF(AND(F205="نعم",G205="نعم"),"جرد + مراجعة",IF(F205="نعم","جرد فقط",IF(G205="نعم","مراجعة فقط",""))))</f>
        <v/>
      </c>
      <c r="I205" s="9">
        <f>IF(H205="جرد + مراجعة",الإعدادات!$B$2,IF(H205="مراجعة فقط",الإعدادات!$B$3,IF(H205="جرد فقط",الإعدادات!$B$4,0)))</f>
        <v>0</v>
      </c>
    </row>
    <row r="206">
      <c r="A206" s="4" t="n"/>
      <c r="B206" s="5" t="str">
        <f>IF(A206="","",IFERROR(INDEX('جدول الجرد'!$A$2:$A$29,MATCH(A206,'جدول الجرد'!$B$2:$B$29,0)),""))</f>
        <v/>
      </c>
      <c r="C206" s="5" t="str">
        <f>IF(A206="","",IFERROR(INDEX('جدول الجرد'!$E$2:$E$29,MATCH(A206,'جدول الجرد'!$B$2:$B$29,0)),""))</f>
        <v/>
      </c>
      <c r="D206" s="4" t="n"/>
      <c r="E206" s="4" t="n"/>
      <c r="F206" s="4" t="n"/>
      <c r="G206" s="4" t="n"/>
      <c r="H206" s="5" t="str">
        <f>IF(E206="","",IF(AND(F206="نعم",G206="نعم"),"جرد + مراجعة",IF(F206="نعم","جرد فقط",IF(G206="نعم","مراجعة فقط",""))))</f>
        <v/>
      </c>
      <c r="I206" s="9">
        <f>IF(H206="جرد + مراجعة",الإعدادات!$B$2,IF(H206="مراجعة فقط",الإعدادات!$B$3,IF(H206="جرد فقط",الإعدادات!$B$4,0)))</f>
        <v>0</v>
      </c>
    </row>
    <row r="207">
      <c r="A207" s="4" t="n"/>
      <c r="B207" s="5" t="str">
        <f>IF(A207="","",IFERROR(INDEX('جدول الجرد'!$A$2:$A$29,MATCH(A207,'جدول الجرد'!$B$2:$B$29,0)),""))</f>
        <v/>
      </c>
      <c r="C207" s="5" t="str">
        <f>IF(A207="","",IFERROR(INDEX('جدول الجرد'!$E$2:$E$29,MATCH(A207,'جدول الجرد'!$B$2:$B$29,0)),""))</f>
        <v/>
      </c>
      <c r="D207" s="4" t="n"/>
      <c r="E207" s="4" t="n"/>
      <c r="F207" s="4" t="n"/>
      <c r="G207" s="4" t="n"/>
      <c r="H207" s="5" t="str">
        <f>IF(E207="","",IF(AND(F207="نعم",G207="نعم"),"جرد + مراجعة",IF(F207="نعم","جرد فقط",IF(G207="نعم","مراجعة فقط",""))))</f>
        <v/>
      </c>
      <c r="I207" s="9">
        <f>IF(H207="جرد + مراجعة",الإعدادات!$B$2,IF(H207="مراجعة فقط",الإعدادات!$B$3,IF(H207="جرد فقط",الإعدادات!$B$4,0)))</f>
        <v>0</v>
      </c>
    </row>
    <row r="208">
      <c r="A208" s="4" t="n"/>
      <c r="B208" s="5" t="str">
        <f>IF(A208="","",IFERROR(INDEX('جدول الجرد'!$A$2:$A$29,MATCH(A208,'جدول الجرد'!$B$2:$B$29,0)),""))</f>
        <v/>
      </c>
      <c r="C208" s="5" t="str">
        <f>IF(A208="","",IFERROR(INDEX('جدول الجرد'!$E$2:$E$29,MATCH(A208,'جدول الجرد'!$B$2:$B$29,0)),""))</f>
        <v/>
      </c>
      <c r="D208" s="4" t="n"/>
      <c r="E208" s="4" t="n"/>
      <c r="F208" s="4" t="n"/>
      <c r="G208" s="4" t="n"/>
      <c r="H208" s="5" t="str">
        <f>IF(E208="","",IF(AND(F208="نعم",G208="نعم"),"جرد + مراجعة",IF(F208="نعم","جرد فقط",IF(G208="نعم","مراجعة فقط",""))))</f>
        <v/>
      </c>
      <c r="I208" s="9">
        <f>IF(H208="جرد + مراجعة",الإعدادات!$B$2,IF(H208="مراجعة فقط",الإعدادات!$B$3,IF(H208="جرد فقط",الإعدادات!$B$4,0)))</f>
        <v>0</v>
      </c>
    </row>
    <row r="209">
      <c r="A209" s="4" t="n"/>
      <c r="B209" s="5" t="str">
        <f>IF(A209="","",IFERROR(INDEX('جدول الجرد'!$A$2:$A$29,MATCH(A209,'جدول الجرد'!$B$2:$B$29,0)),""))</f>
        <v/>
      </c>
      <c r="C209" s="5" t="str">
        <f>IF(A209="","",IFERROR(INDEX('جدول الجرد'!$E$2:$E$29,MATCH(A209,'جدول الجرد'!$B$2:$B$29,0)),""))</f>
        <v/>
      </c>
      <c r="D209" s="4" t="n"/>
      <c r="E209" s="4" t="n"/>
      <c r="F209" s="4" t="n"/>
      <c r="G209" s="4" t="n"/>
      <c r="H209" s="5" t="str">
        <f>IF(E209="","",IF(AND(F209="نعم",G209="نعم"),"جرد + مراجعة",IF(F209="نعم","جرد فقط",IF(G209="نعم","مراجعة فقط",""))))</f>
        <v/>
      </c>
      <c r="I209" s="9">
        <f>IF(H209="جرد + مراجعة",الإعدادات!$B$2,IF(H209="مراجعة فقط",الإعدادات!$B$3,IF(H209="جرد فقط",الإعدادات!$B$4,0)))</f>
        <v>0</v>
      </c>
    </row>
    <row r="210">
      <c r="A210" s="4" t="n"/>
      <c r="B210" s="5" t="str">
        <f>IF(A210="","",IFERROR(INDEX('جدول الجرد'!$A$2:$A$29,MATCH(A210,'جدول الجرد'!$B$2:$B$29,0)),""))</f>
        <v/>
      </c>
      <c r="C210" s="5" t="str">
        <f>IF(A210="","",IFERROR(INDEX('جدول الجرد'!$E$2:$E$29,MATCH(A210,'جدول الجرد'!$B$2:$B$29,0)),""))</f>
        <v/>
      </c>
      <c r="D210" s="4" t="n"/>
      <c r="E210" s="4" t="n"/>
      <c r="F210" s="4" t="n"/>
      <c r="G210" s="4" t="n"/>
      <c r="H210" s="5" t="str">
        <f>IF(E210="","",IF(AND(F210="نعم",G210="نعم"),"جرد + مراجعة",IF(F210="نعم","جرد فقط",IF(G210="نعم","مراجعة فقط",""))))</f>
        <v/>
      </c>
      <c r="I210" s="9">
        <f>IF(H210="جرد + مراجعة",الإعدادات!$B$2,IF(H210="مراجعة فقط",الإعدادات!$B$3,IF(H210="جرد فقط",الإعدادات!$B$4,0)))</f>
        <v>0</v>
      </c>
    </row>
    <row r="211">
      <c r="A211" s="4" t="n"/>
      <c r="B211" s="5" t="str">
        <f>IF(A211="","",IFERROR(INDEX('جدول الجرد'!$A$2:$A$29,MATCH(A211,'جدول الجرد'!$B$2:$B$29,0)),""))</f>
        <v/>
      </c>
      <c r="C211" s="5" t="str">
        <f>IF(A211="","",IFERROR(INDEX('جدول الجرد'!$E$2:$E$29,MATCH(A211,'جدول الجرد'!$B$2:$B$29,0)),""))</f>
        <v/>
      </c>
      <c r="D211" s="4" t="n"/>
      <c r="E211" s="4" t="n"/>
      <c r="F211" s="4" t="n"/>
      <c r="G211" s="4" t="n"/>
      <c r="H211" s="5" t="str">
        <f>IF(E211="","",IF(AND(F211="نعم",G211="نعم"),"جرد + مراجعة",IF(F211="نعم","جرد فقط",IF(G211="نعم","مراجعة فقط",""))))</f>
        <v/>
      </c>
      <c r="I211" s="9">
        <f>IF(H211="جرد + مراجعة",الإعدادات!$B$2,IF(H211="مراجعة فقط",الإعدادات!$B$3,IF(H211="جرد فقط",الإعدادات!$B$4,0)))</f>
        <v>0</v>
      </c>
    </row>
    <row r="212">
      <c r="A212" s="4" t="n"/>
      <c r="B212" s="5" t="str">
        <f>IF(A212="","",IFERROR(INDEX('جدول الجرد'!$A$2:$A$29,MATCH(A212,'جدول الجرد'!$B$2:$B$29,0)),""))</f>
        <v/>
      </c>
      <c r="C212" s="5" t="str">
        <f>IF(A212="","",IFERROR(INDEX('جدول الجرد'!$E$2:$E$29,MATCH(A212,'جدول الجرد'!$B$2:$B$29,0)),""))</f>
        <v/>
      </c>
      <c r="D212" s="4" t="n"/>
      <c r="E212" s="4" t="n"/>
      <c r="F212" s="4" t="n"/>
      <c r="G212" s="4" t="n"/>
      <c r="H212" s="5" t="str">
        <f>IF(E212="","",IF(AND(F212="نعم",G212="نعم"),"جرد + مراجعة",IF(F212="نعم","جرد فقط",IF(G212="نعم","مراجعة فقط",""))))</f>
        <v/>
      </c>
      <c r="I212" s="9">
        <f>IF(H212="جرد + مراجعة",الإعدادات!$B$2,IF(H212="مراجعة فقط",الإعدادات!$B$3,IF(H212="جرد فقط",الإعدادات!$B$4,0)))</f>
        <v>0</v>
      </c>
    </row>
    <row r="213">
      <c r="A213" s="4" t="n"/>
      <c r="B213" s="5" t="str">
        <f>IF(A213="","",IFERROR(INDEX('جدول الجرد'!$A$2:$A$29,MATCH(A213,'جدول الجرد'!$B$2:$B$29,0)),""))</f>
        <v/>
      </c>
      <c r="C213" s="5" t="str">
        <f>IF(A213="","",IFERROR(INDEX('جدول الجرد'!$E$2:$E$29,MATCH(A213,'جدول الجرد'!$B$2:$B$29,0)),""))</f>
        <v/>
      </c>
      <c r="D213" s="4" t="n"/>
      <c r="E213" s="4" t="n"/>
      <c r="F213" s="4" t="n"/>
      <c r="G213" s="4" t="n"/>
      <c r="H213" s="5" t="str">
        <f>IF(E213="","",IF(AND(F213="نعم",G213="نعم"),"جرد + مراجعة",IF(F213="نعم","جرد فقط",IF(G213="نعم","مراجعة فقط",""))))</f>
        <v/>
      </c>
      <c r="I213" s="9">
        <f>IF(H213="جرد + مراجعة",الإعدادات!$B$2,IF(H213="مراجعة فقط",الإعدادات!$B$3,IF(H213="جرد فقط",الإعدادات!$B$4,0)))</f>
        <v>0</v>
      </c>
    </row>
    <row r="214">
      <c r="A214" s="4" t="n"/>
      <c r="B214" s="5" t="str">
        <f>IF(A214="","",IFERROR(INDEX('جدول الجرد'!$A$2:$A$29,MATCH(A214,'جدول الجرد'!$B$2:$B$29,0)),""))</f>
        <v/>
      </c>
      <c r="C214" s="5" t="str">
        <f>IF(A214="","",IFERROR(INDEX('جدول الجرد'!$E$2:$E$29,MATCH(A214,'جدول الجرد'!$B$2:$B$29,0)),""))</f>
        <v/>
      </c>
      <c r="D214" s="4" t="n"/>
      <c r="E214" s="4" t="n"/>
      <c r="F214" s="4" t="n"/>
      <c r="G214" s="4" t="n"/>
      <c r="H214" s="5" t="str">
        <f>IF(E214="","",IF(AND(F214="نعم",G214="نعم"),"جرد + مراجعة",IF(F214="نعم","جرد فقط",IF(G214="نعم","مراجعة فقط",""))))</f>
        <v/>
      </c>
      <c r="I214" s="9">
        <f>IF(H214="جرد + مراجعة",الإعدادات!$B$2,IF(H214="مراجعة فقط",الإعدادات!$B$3,IF(H214="جرد فقط",الإعدادات!$B$4,0)))</f>
        <v>0</v>
      </c>
    </row>
    <row r="215">
      <c r="A215" s="4" t="n"/>
      <c r="B215" s="5" t="str">
        <f>IF(A215="","",IFERROR(INDEX('جدول الجرد'!$A$2:$A$29,MATCH(A215,'جدول الجرد'!$B$2:$B$29,0)),""))</f>
        <v/>
      </c>
      <c r="C215" s="5" t="str">
        <f>IF(A215="","",IFERROR(INDEX('جدول الجرد'!$E$2:$E$29,MATCH(A215,'جدول الجرد'!$B$2:$B$29,0)),""))</f>
        <v/>
      </c>
      <c r="D215" s="4" t="n"/>
      <c r="E215" s="4" t="n"/>
      <c r="F215" s="4" t="n"/>
      <c r="G215" s="4" t="n"/>
      <c r="H215" s="5" t="str">
        <f>IF(E215="","",IF(AND(F215="نعم",G215="نعم"),"جرد + مراجعة",IF(F215="نعم","جرد فقط",IF(G215="نعم","مراجعة فقط",""))))</f>
        <v/>
      </c>
      <c r="I215" s="9">
        <f>IF(H215="جرد + مراجعة",الإعدادات!$B$2,IF(H215="مراجعة فقط",الإعدادات!$B$3,IF(H215="جرد فقط",الإعدادات!$B$4,0)))</f>
        <v>0</v>
      </c>
    </row>
    <row r="216">
      <c r="A216" s="4" t="n"/>
      <c r="B216" s="5" t="str">
        <f>IF(A216="","",IFERROR(INDEX('جدول الجرد'!$A$2:$A$29,MATCH(A216,'جدول الجرد'!$B$2:$B$29,0)),""))</f>
        <v/>
      </c>
      <c r="C216" s="5" t="str">
        <f>IF(A216="","",IFERROR(INDEX('جدول الجرد'!$E$2:$E$29,MATCH(A216,'جدول الجرد'!$B$2:$B$29,0)),""))</f>
        <v/>
      </c>
      <c r="D216" s="4" t="n"/>
      <c r="E216" s="4" t="n"/>
      <c r="F216" s="4" t="n"/>
      <c r="G216" s="4" t="n"/>
      <c r="H216" s="5" t="str">
        <f>IF(E216="","",IF(AND(F216="نعم",G216="نعم"),"جرد + مراجعة",IF(F216="نعم","جرد فقط",IF(G216="نعم","مراجعة فقط",""))))</f>
        <v/>
      </c>
      <c r="I216" s="9">
        <f>IF(H216="جرد + مراجعة",الإعدادات!$B$2,IF(H216="مراجعة فقط",الإعدادات!$B$3,IF(H216="جرد فقط",الإعدادات!$B$4,0)))</f>
        <v>0</v>
      </c>
    </row>
    <row r="217">
      <c r="A217" s="4" t="n"/>
      <c r="B217" s="5" t="str">
        <f>IF(A217="","",IFERROR(INDEX('جدول الجرد'!$A$2:$A$29,MATCH(A217,'جدول الجرد'!$B$2:$B$29,0)),""))</f>
        <v/>
      </c>
      <c r="C217" s="5" t="str">
        <f>IF(A217="","",IFERROR(INDEX('جدول الجرد'!$E$2:$E$29,MATCH(A217,'جدول الجرد'!$B$2:$B$29,0)),""))</f>
        <v/>
      </c>
      <c r="D217" s="4" t="n"/>
      <c r="E217" s="4" t="n"/>
      <c r="F217" s="4" t="n"/>
      <c r="G217" s="4" t="n"/>
      <c r="H217" s="5" t="str">
        <f>IF(E217="","",IF(AND(F217="نعم",G217="نعم"),"جرد + مراجعة",IF(F217="نعم","جرد فقط",IF(G217="نعم","مراجعة فقط",""))))</f>
        <v/>
      </c>
      <c r="I217" s="9">
        <f>IF(H217="جرد + مراجعة",الإعدادات!$B$2,IF(H217="مراجعة فقط",الإعدادات!$B$3,IF(H217="جرد فقط",الإعدادات!$B$4,0)))</f>
        <v>0</v>
      </c>
    </row>
    <row r="218">
      <c r="A218" s="4" t="n"/>
      <c r="B218" s="5" t="str">
        <f>IF(A218="","",IFERROR(INDEX('جدول الجرد'!$A$2:$A$29,MATCH(A218,'جدول الجرد'!$B$2:$B$29,0)),""))</f>
        <v/>
      </c>
      <c r="C218" s="5" t="str">
        <f>IF(A218="","",IFERROR(INDEX('جدول الجرد'!$E$2:$E$29,MATCH(A218,'جدول الجرد'!$B$2:$B$29,0)),""))</f>
        <v/>
      </c>
      <c r="D218" s="4" t="n"/>
      <c r="E218" s="4" t="n"/>
      <c r="F218" s="4" t="n"/>
      <c r="G218" s="4" t="n"/>
      <c r="H218" s="5" t="str">
        <f>IF(E218="","",IF(AND(F218="نعم",G218="نعم"),"جرد + مراجعة",IF(F218="نعم","جرد فقط",IF(G218="نعم","مراجعة فقط",""))))</f>
        <v/>
      </c>
      <c r="I218" s="9">
        <f>IF(H218="جرد + مراجعة",الإعدادات!$B$2,IF(H218="مراجعة فقط",الإعدادات!$B$3,IF(H218="جرد فقط",الإعدادات!$B$4,0)))</f>
        <v>0</v>
      </c>
    </row>
    <row r="219">
      <c r="A219" s="4" t="n"/>
      <c r="B219" s="5" t="str">
        <f>IF(A219="","",IFERROR(INDEX('جدول الجرد'!$A$2:$A$29,MATCH(A219,'جدول الجرد'!$B$2:$B$29,0)),""))</f>
        <v/>
      </c>
      <c r="C219" s="5" t="str">
        <f>IF(A219="","",IFERROR(INDEX('جدول الجرد'!$E$2:$E$29,MATCH(A219,'جدول الجرد'!$B$2:$B$29,0)),""))</f>
        <v/>
      </c>
      <c r="D219" s="4" t="n"/>
      <c r="E219" s="4" t="n"/>
      <c r="F219" s="4" t="n"/>
      <c r="G219" s="4" t="n"/>
      <c r="H219" s="5" t="str">
        <f>IF(E219="","",IF(AND(F219="نعم",G219="نعم"),"جرد + مراجعة",IF(F219="نعم","جرد فقط",IF(G219="نعم","مراجعة فقط",""))))</f>
        <v/>
      </c>
      <c r="I219" s="9">
        <f>IF(H219="جرد + مراجعة",الإعدادات!$B$2,IF(H219="مراجعة فقط",الإعدادات!$B$3,IF(H219="جرد فقط",الإعدادات!$B$4,0)))</f>
        <v>0</v>
      </c>
    </row>
    <row r="220">
      <c r="A220" s="4" t="n"/>
      <c r="B220" s="5" t="str">
        <f>IF(A220="","",IFERROR(INDEX('جدول الجرد'!$A$2:$A$29,MATCH(A220,'جدول الجرد'!$B$2:$B$29,0)),""))</f>
        <v/>
      </c>
      <c r="C220" s="5" t="str">
        <f>IF(A220="","",IFERROR(INDEX('جدول الجرد'!$E$2:$E$29,MATCH(A220,'جدول الجرد'!$B$2:$B$29,0)),""))</f>
        <v/>
      </c>
      <c r="D220" s="4" t="n"/>
      <c r="E220" s="4" t="n"/>
      <c r="F220" s="4" t="n"/>
      <c r="G220" s="4" t="n"/>
      <c r="H220" s="5" t="str">
        <f>IF(E220="","",IF(AND(F220="نعم",G220="نعم"),"جرد + مراجعة",IF(F220="نعم","جرد فقط",IF(G220="نعم","مراجعة فقط",""))))</f>
        <v/>
      </c>
      <c r="I220" s="9">
        <f>IF(H220="جرد + مراجعة",الإعدادات!$B$2,IF(H220="مراجعة فقط",الإعدادات!$B$3,IF(H220="جرد فقط",الإعدادات!$B$4,0)))</f>
        <v>0</v>
      </c>
    </row>
    <row r="221">
      <c r="A221" s="4" t="n"/>
      <c r="B221" s="5" t="str">
        <f>IF(A221="","",IFERROR(INDEX('جدول الجرد'!$A$2:$A$29,MATCH(A221,'جدول الجرد'!$B$2:$B$29,0)),""))</f>
        <v/>
      </c>
      <c r="C221" s="5" t="str">
        <f>IF(A221="","",IFERROR(INDEX('جدول الجرد'!$E$2:$E$29,MATCH(A221,'جدول الجرد'!$B$2:$B$29,0)),""))</f>
        <v/>
      </c>
      <c r="D221" s="4" t="n"/>
      <c r="E221" s="4" t="n"/>
      <c r="F221" s="4" t="n"/>
      <c r="G221" s="4" t="n"/>
      <c r="H221" s="5" t="str">
        <f>IF(E221="","",IF(AND(F221="نعم",G221="نعم"),"جرد + مراجعة",IF(F221="نعم","جرد فقط",IF(G221="نعم","مراجعة فقط",""))))</f>
        <v/>
      </c>
      <c r="I221" s="9">
        <f>IF(H221="جرد + مراجعة",الإعدادات!$B$2,IF(H221="مراجعة فقط",الإعدادات!$B$3,IF(H221="جرد فقط",الإعدادات!$B$4,0)))</f>
        <v>0</v>
      </c>
    </row>
    <row r="222">
      <c r="A222" s="4" t="n"/>
      <c r="B222" s="5" t="str">
        <f>IF(A222="","",IFERROR(INDEX('جدول الجرد'!$A$2:$A$29,MATCH(A222,'جدول الجرد'!$B$2:$B$29,0)),""))</f>
        <v/>
      </c>
      <c r="C222" s="5" t="str">
        <f>IF(A222="","",IFERROR(INDEX('جدول الجرد'!$E$2:$E$29,MATCH(A222,'جدول الجرد'!$B$2:$B$29,0)),""))</f>
        <v/>
      </c>
      <c r="D222" s="4" t="n"/>
      <c r="E222" s="4" t="n"/>
      <c r="F222" s="4" t="n"/>
      <c r="G222" s="4" t="n"/>
      <c r="H222" s="5" t="str">
        <f>IF(E222="","",IF(AND(F222="نعم",G222="نعم"),"جرد + مراجعة",IF(F222="نعم","جرد فقط",IF(G222="نعم","مراجعة فقط",""))))</f>
        <v/>
      </c>
      <c r="I222" s="9">
        <f>IF(H222="جرد + مراجعة",الإعدادات!$B$2,IF(H222="مراجعة فقط",الإعدادات!$B$3,IF(H222="جرد فقط",الإعدادات!$B$4,0)))</f>
        <v>0</v>
      </c>
    </row>
    <row r="223">
      <c r="A223" s="4" t="n"/>
      <c r="B223" s="5" t="str">
        <f>IF(A223="","",IFERROR(INDEX('جدول الجرد'!$A$2:$A$29,MATCH(A223,'جدول الجرد'!$B$2:$B$29,0)),""))</f>
        <v/>
      </c>
      <c r="C223" s="5" t="str">
        <f>IF(A223="","",IFERROR(INDEX('جدول الجرد'!$E$2:$E$29,MATCH(A223,'جدول الجرد'!$B$2:$B$29,0)),""))</f>
        <v/>
      </c>
      <c r="D223" s="4" t="n"/>
      <c r="E223" s="4" t="n"/>
      <c r="F223" s="4" t="n"/>
      <c r="G223" s="4" t="n"/>
      <c r="H223" s="5" t="str">
        <f>IF(E223="","",IF(AND(F223="نعم",G223="نعم"),"جرد + مراجعة",IF(F223="نعم","جرد فقط",IF(G223="نعم","مراجعة فقط",""))))</f>
        <v/>
      </c>
      <c r="I223" s="9">
        <f>IF(H223="جرد + مراجعة",الإعدادات!$B$2,IF(H223="مراجعة فقط",الإعدادات!$B$3,IF(H223="جرد فقط",الإعدادات!$B$4,0)))</f>
        <v>0</v>
      </c>
    </row>
    <row r="224">
      <c r="A224" s="4" t="n"/>
      <c r="B224" s="5" t="str">
        <f>IF(A224="","",IFERROR(INDEX('جدول الجرد'!$A$2:$A$29,MATCH(A224,'جدول الجرد'!$B$2:$B$29,0)),""))</f>
        <v/>
      </c>
      <c r="C224" s="5" t="str">
        <f>IF(A224="","",IFERROR(INDEX('جدول الجرد'!$E$2:$E$29,MATCH(A224,'جدول الجرد'!$B$2:$B$29,0)),""))</f>
        <v/>
      </c>
      <c r="D224" s="4" t="n"/>
      <c r="E224" s="4" t="n"/>
      <c r="F224" s="4" t="n"/>
      <c r="G224" s="4" t="n"/>
      <c r="H224" s="5" t="str">
        <f>IF(E224="","",IF(AND(F224="نعم",G224="نعم"),"جرد + مراجعة",IF(F224="نعم","جرد فقط",IF(G224="نعم","مراجعة فقط",""))))</f>
        <v/>
      </c>
      <c r="I224" s="9">
        <f>IF(H224="جرد + مراجعة",الإعدادات!$B$2,IF(H224="مراجعة فقط",الإعدادات!$B$3,IF(H224="جرد فقط",الإعدادات!$B$4,0)))</f>
        <v>0</v>
      </c>
    </row>
    <row r="225">
      <c r="A225" s="4" t="n"/>
      <c r="B225" s="5" t="str">
        <f>IF(A225="","",IFERROR(INDEX('جدول الجرد'!$A$2:$A$29,MATCH(A225,'جدول الجرد'!$B$2:$B$29,0)),""))</f>
        <v/>
      </c>
      <c r="C225" s="5" t="str">
        <f>IF(A225="","",IFERROR(INDEX('جدول الجرد'!$E$2:$E$29,MATCH(A225,'جدول الجرد'!$B$2:$B$29,0)),""))</f>
        <v/>
      </c>
      <c r="D225" s="4" t="n"/>
      <c r="E225" s="4" t="n"/>
      <c r="F225" s="4" t="n"/>
      <c r="G225" s="4" t="n"/>
      <c r="H225" s="5" t="str">
        <f>IF(E225="","",IF(AND(F225="نعم",G225="نعم"),"جرد + مراجعة",IF(F225="نعم","جرد فقط",IF(G225="نعم","مراجعة فقط",""))))</f>
        <v/>
      </c>
      <c r="I225" s="9">
        <f>IF(H225="جرد + مراجعة",الإعدادات!$B$2,IF(H225="مراجعة فقط",الإعدادات!$B$3,IF(H225="جرد فقط",الإعدادات!$B$4,0)))</f>
        <v>0</v>
      </c>
    </row>
    <row r="226">
      <c r="A226" s="4" t="n"/>
      <c r="B226" s="5" t="str">
        <f>IF(A226="","",IFERROR(INDEX('جدول الجرد'!$A$2:$A$29,MATCH(A226,'جدول الجرد'!$B$2:$B$29,0)),""))</f>
        <v/>
      </c>
      <c r="C226" s="5" t="str">
        <f>IF(A226="","",IFERROR(INDEX('جدول الجرد'!$E$2:$E$29,MATCH(A226,'جدول الجرد'!$B$2:$B$29,0)),""))</f>
        <v/>
      </c>
      <c r="D226" s="4" t="n"/>
      <c r="E226" s="4" t="n"/>
      <c r="F226" s="4" t="n"/>
      <c r="G226" s="4" t="n"/>
      <c r="H226" s="5" t="str">
        <f>IF(E226="","",IF(AND(F226="نعم",G226="نعم"),"جرد + مراجعة",IF(F226="نعم","جرد فقط",IF(G226="نعم","مراجعة فقط",""))))</f>
        <v/>
      </c>
      <c r="I226" s="9">
        <f>IF(H226="جرد + مراجعة",الإعدادات!$B$2,IF(H226="مراجعة فقط",الإعدادات!$B$3,IF(H226="جرد فقط",الإعدادات!$B$4,0)))</f>
        <v>0</v>
      </c>
    </row>
    <row r="227">
      <c r="A227" s="4" t="n"/>
      <c r="B227" s="5" t="str">
        <f>IF(A227="","",IFERROR(INDEX('جدول الجرد'!$A$2:$A$29,MATCH(A227,'جدول الجرد'!$B$2:$B$29,0)),""))</f>
        <v/>
      </c>
      <c r="C227" s="5" t="str">
        <f>IF(A227="","",IFERROR(INDEX('جدول الجرد'!$E$2:$E$29,MATCH(A227,'جدول الجرد'!$B$2:$B$29,0)),""))</f>
        <v/>
      </c>
      <c r="D227" s="4" t="n"/>
      <c r="E227" s="4" t="n"/>
      <c r="F227" s="4" t="n"/>
      <c r="G227" s="4" t="n"/>
      <c r="H227" s="5" t="str">
        <f>IF(E227="","",IF(AND(F227="نعم",G227="نعم"),"جرد + مراجعة",IF(F227="نعم","جرد فقط",IF(G227="نعم","مراجعة فقط",""))))</f>
        <v/>
      </c>
      <c r="I227" s="9">
        <f>IF(H227="جرد + مراجعة",الإعدادات!$B$2,IF(H227="مراجعة فقط",الإعدادات!$B$3,IF(H227="جرد فقط",الإعدادات!$B$4,0)))</f>
        <v>0</v>
      </c>
    </row>
    <row r="228">
      <c r="A228" s="4" t="n"/>
      <c r="B228" s="5" t="str">
        <f>IF(A228="","",IFERROR(INDEX('جدول الجرد'!$A$2:$A$29,MATCH(A228,'جدول الجرد'!$B$2:$B$29,0)),""))</f>
        <v/>
      </c>
      <c r="C228" s="5" t="str">
        <f>IF(A228="","",IFERROR(INDEX('جدول الجرد'!$E$2:$E$29,MATCH(A228,'جدول الجرد'!$B$2:$B$29,0)),""))</f>
        <v/>
      </c>
      <c r="D228" s="4" t="n"/>
      <c r="E228" s="4" t="n"/>
      <c r="F228" s="4" t="n"/>
      <c r="G228" s="4" t="n"/>
      <c r="H228" s="5" t="str">
        <f>IF(E228="","",IF(AND(F228="نعم",G228="نعم"),"جرد + مراجعة",IF(F228="نعم","جرد فقط",IF(G228="نعم","مراجعة فقط",""))))</f>
        <v/>
      </c>
      <c r="I228" s="9">
        <f>IF(H228="جرد + مراجعة",الإعدادات!$B$2,IF(H228="مراجعة فقط",الإعدادات!$B$3,IF(H228="جرد فقط",الإعدادات!$B$4,0)))</f>
        <v>0</v>
      </c>
    </row>
    <row r="229">
      <c r="A229" s="4" t="n"/>
      <c r="B229" s="5" t="str">
        <f>IF(A229="","",IFERROR(INDEX('جدول الجرد'!$A$2:$A$29,MATCH(A229,'جدول الجرد'!$B$2:$B$29,0)),""))</f>
        <v/>
      </c>
      <c r="C229" s="5" t="str">
        <f>IF(A229="","",IFERROR(INDEX('جدول الجرد'!$E$2:$E$29,MATCH(A229,'جدول الجرد'!$B$2:$B$29,0)),""))</f>
        <v/>
      </c>
      <c r="D229" s="4" t="n"/>
      <c r="E229" s="4" t="n"/>
      <c r="F229" s="4" t="n"/>
      <c r="G229" s="4" t="n"/>
      <c r="H229" s="5" t="str">
        <f>IF(E229="","",IF(AND(F229="نعم",G229="نعم"),"جرد + مراجعة",IF(F229="نعم","جرد فقط",IF(G229="نعم","مراجعة فقط",""))))</f>
        <v/>
      </c>
      <c r="I229" s="9">
        <f>IF(H229="جرد + مراجعة",الإعدادات!$B$2,IF(H229="مراجعة فقط",الإعدادات!$B$3,IF(H229="جرد فقط",الإعدادات!$B$4,0)))</f>
        <v>0</v>
      </c>
    </row>
    <row r="230">
      <c r="A230" s="4" t="n"/>
      <c r="B230" s="5" t="str">
        <f>IF(A230="","",IFERROR(INDEX('جدول الجرد'!$A$2:$A$29,MATCH(A230,'جدول الجرد'!$B$2:$B$29,0)),""))</f>
        <v/>
      </c>
      <c r="C230" s="5" t="str">
        <f>IF(A230="","",IFERROR(INDEX('جدول الجرد'!$E$2:$E$29,MATCH(A230,'جدول الجرد'!$B$2:$B$29,0)),""))</f>
        <v/>
      </c>
      <c r="D230" s="4" t="n"/>
      <c r="E230" s="4" t="n"/>
      <c r="F230" s="4" t="n"/>
      <c r="G230" s="4" t="n"/>
      <c r="H230" s="5" t="str">
        <f>IF(E230="","",IF(AND(F230="نعم",G230="نعم"),"جرد + مراجعة",IF(F230="نعم","جرد فقط",IF(G230="نعم","مراجعة فقط",""))))</f>
        <v/>
      </c>
      <c r="I230" s="9">
        <f>IF(H230="جرد + مراجعة",الإعدادات!$B$2,IF(H230="مراجعة فقط",الإعدادات!$B$3,IF(H230="جرد فقط",الإعدادات!$B$4,0)))</f>
        <v>0</v>
      </c>
    </row>
    <row r="231">
      <c r="A231" s="4" t="n"/>
      <c r="B231" s="5" t="str">
        <f>IF(A231="","",IFERROR(INDEX('جدول الجرد'!$A$2:$A$29,MATCH(A231,'جدول الجرد'!$B$2:$B$29,0)),""))</f>
        <v/>
      </c>
      <c r="C231" s="5" t="str">
        <f>IF(A231="","",IFERROR(INDEX('جدول الجرد'!$E$2:$E$29,MATCH(A231,'جدول الجرد'!$B$2:$B$29,0)),""))</f>
        <v/>
      </c>
      <c r="D231" s="4" t="n"/>
      <c r="E231" s="4" t="n"/>
      <c r="F231" s="4" t="n"/>
      <c r="G231" s="4" t="n"/>
      <c r="H231" s="5" t="str">
        <f>IF(E231="","",IF(AND(F231="نعم",G231="نعم"),"جرد + مراجعة",IF(F231="نعم","جرد فقط",IF(G231="نعم","مراجعة فقط",""))))</f>
        <v/>
      </c>
      <c r="I231" s="9">
        <f>IF(H231="جرد + مراجعة",الإعدادات!$B$2,IF(H231="مراجعة فقط",الإعدادات!$B$3,IF(H231="جرد فقط",الإعدادات!$B$4,0)))</f>
        <v>0</v>
      </c>
    </row>
    <row r="232">
      <c r="A232" s="4" t="n"/>
      <c r="B232" s="5" t="str">
        <f>IF(A232="","",IFERROR(INDEX('جدول الجرد'!$A$2:$A$29,MATCH(A232,'جدول الجرد'!$B$2:$B$29,0)),""))</f>
        <v/>
      </c>
      <c r="C232" s="5" t="str">
        <f>IF(A232="","",IFERROR(INDEX('جدول الجرد'!$E$2:$E$29,MATCH(A232,'جدول الجرد'!$B$2:$B$29,0)),""))</f>
        <v/>
      </c>
      <c r="D232" s="4" t="n"/>
      <c r="E232" s="4" t="n"/>
      <c r="F232" s="4" t="n"/>
      <c r="G232" s="4" t="n"/>
      <c r="H232" s="5" t="str">
        <f>IF(E232="","",IF(AND(F232="نعم",G232="نعم"),"جرد + مراجعة",IF(F232="نعم","جرد فقط",IF(G232="نعم","مراجعة فقط",""))))</f>
        <v/>
      </c>
      <c r="I232" s="9">
        <f>IF(H232="جرد + مراجعة",الإعدادات!$B$2,IF(H232="مراجعة فقط",الإعدادات!$B$3,IF(H232="جرد فقط",الإعدادات!$B$4,0)))</f>
        <v>0</v>
      </c>
    </row>
    <row r="233">
      <c r="A233" s="4" t="n"/>
      <c r="B233" s="5" t="str">
        <f>IF(A233="","",IFERROR(INDEX('جدول الجرد'!$A$2:$A$29,MATCH(A233,'جدول الجرد'!$B$2:$B$29,0)),""))</f>
        <v/>
      </c>
      <c r="C233" s="5" t="str">
        <f>IF(A233="","",IFERROR(INDEX('جدول الجرد'!$E$2:$E$29,MATCH(A233,'جدول الجرد'!$B$2:$B$29,0)),""))</f>
        <v/>
      </c>
      <c r="D233" s="4" t="n"/>
      <c r="E233" s="4" t="n"/>
      <c r="F233" s="4" t="n"/>
      <c r="G233" s="4" t="n"/>
      <c r="H233" s="5" t="str">
        <f>IF(E233="","",IF(AND(F233="نعم",G233="نعم"),"جرد + مراجعة",IF(F233="نعم","جرد فقط",IF(G233="نعم","مراجعة فقط",""))))</f>
        <v/>
      </c>
      <c r="I233" s="9">
        <f>IF(H233="جرد + مراجعة",الإعدادات!$B$2,IF(H233="مراجعة فقط",الإعدادات!$B$3,IF(H233="جرد فقط",الإعدادات!$B$4,0)))</f>
        <v>0</v>
      </c>
    </row>
    <row r="234">
      <c r="A234" s="4" t="n"/>
      <c r="B234" s="5" t="str">
        <f>IF(A234="","",IFERROR(INDEX('جدول الجرد'!$A$2:$A$29,MATCH(A234,'جدول الجرد'!$B$2:$B$29,0)),""))</f>
        <v/>
      </c>
      <c r="C234" s="5" t="str">
        <f>IF(A234="","",IFERROR(INDEX('جدول الجرد'!$E$2:$E$29,MATCH(A234,'جدول الجرد'!$B$2:$B$29,0)),""))</f>
        <v/>
      </c>
      <c r="D234" s="4" t="n"/>
      <c r="E234" s="4" t="n"/>
      <c r="F234" s="4" t="n"/>
      <c r="G234" s="4" t="n"/>
      <c r="H234" s="5" t="str">
        <f>IF(E234="","",IF(AND(F234="نعم",G234="نعم"),"جرد + مراجعة",IF(F234="نعم","جرد فقط",IF(G234="نعم","مراجعة فقط",""))))</f>
        <v/>
      </c>
      <c r="I234" s="9">
        <f>IF(H234="جرد + مراجعة",الإعدادات!$B$2,IF(H234="مراجعة فقط",الإعدادات!$B$3,IF(H234="جرد فقط",الإعدادات!$B$4,0)))</f>
        <v>0</v>
      </c>
    </row>
    <row r="235">
      <c r="A235" s="4" t="n"/>
      <c r="B235" s="5" t="str">
        <f>IF(A235="","",IFERROR(INDEX('جدول الجرد'!$A$2:$A$29,MATCH(A235,'جدول الجرد'!$B$2:$B$29,0)),""))</f>
        <v/>
      </c>
      <c r="C235" s="5" t="str">
        <f>IF(A235="","",IFERROR(INDEX('جدول الجرد'!$E$2:$E$29,MATCH(A235,'جدول الجرد'!$B$2:$B$29,0)),""))</f>
        <v/>
      </c>
      <c r="D235" s="4" t="n"/>
      <c r="E235" s="4" t="n"/>
      <c r="F235" s="4" t="n"/>
      <c r="G235" s="4" t="n"/>
      <c r="H235" s="5" t="str">
        <f>IF(E235="","",IF(AND(F235="نعم",G235="نعم"),"جرد + مراجعة",IF(F235="نعم","جرد فقط",IF(G235="نعم","مراجعة فقط",""))))</f>
        <v/>
      </c>
      <c r="I235" s="9">
        <f>IF(H235="جرد + مراجعة",الإعدادات!$B$2,IF(H235="مراجعة فقط",الإعدادات!$B$3,IF(H235="جرد فقط",الإعدادات!$B$4,0)))</f>
        <v>0</v>
      </c>
    </row>
    <row r="236">
      <c r="A236" s="4" t="n"/>
      <c r="B236" s="5" t="str">
        <f>IF(A236="","",IFERROR(INDEX('جدول الجرد'!$A$2:$A$29,MATCH(A236,'جدول الجرد'!$B$2:$B$29,0)),""))</f>
        <v/>
      </c>
      <c r="C236" s="5" t="str">
        <f>IF(A236="","",IFERROR(INDEX('جدول الجرد'!$E$2:$E$29,MATCH(A236,'جدول الجرد'!$B$2:$B$29,0)),""))</f>
        <v/>
      </c>
      <c r="D236" s="4" t="n"/>
      <c r="E236" s="4" t="n"/>
      <c r="F236" s="4" t="n"/>
      <c r="G236" s="4" t="n"/>
      <c r="H236" s="5" t="str">
        <f>IF(E236="","",IF(AND(F236="نعم",G236="نعم"),"جرد + مراجعة",IF(F236="نعم","جرد فقط",IF(G236="نعم","مراجعة فقط",""))))</f>
        <v/>
      </c>
      <c r="I236" s="9">
        <f>IF(H236="جرد + مراجعة",الإعدادات!$B$2,IF(H236="مراجعة فقط",الإعدادات!$B$3,IF(H236="جرد فقط",الإعدادات!$B$4,0)))</f>
        <v>0</v>
      </c>
    </row>
    <row r="237">
      <c r="A237" s="4" t="n"/>
      <c r="B237" s="5" t="str">
        <f>IF(A237="","",IFERROR(INDEX('جدول الجرد'!$A$2:$A$29,MATCH(A237,'جدول الجرد'!$B$2:$B$29,0)),""))</f>
        <v/>
      </c>
      <c r="C237" s="5" t="str">
        <f>IF(A237="","",IFERROR(INDEX('جدول الجرد'!$E$2:$E$29,MATCH(A237,'جدول الجرد'!$B$2:$B$29,0)),""))</f>
        <v/>
      </c>
      <c r="D237" s="4" t="n"/>
      <c r="E237" s="4" t="n"/>
      <c r="F237" s="4" t="n"/>
      <c r="G237" s="4" t="n"/>
      <c r="H237" s="5" t="str">
        <f>IF(E237="","",IF(AND(F237="نعم",G237="نعم"),"جرد + مراجعة",IF(F237="نعم","جرد فقط",IF(G237="نعم","مراجعة فقط",""))))</f>
        <v/>
      </c>
      <c r="I237" s="9">
        <f>IF(H237="جرد + مراجعة",الإعدادات!$B$2,IF(H237="مراجعة فقط",الإعدادات!$B$3,IF(H237="جرد فقط",الإعدادات!$B$4,0)))</f>
        <v>0</v>
      </c>
    </row>
    <row r="238">
      <c r="A238" s="4" t="n"/>
      <c r="B238" s="5" t="str">
        <f>IF(A238="","",IFERROR(INDEX('جدول الجرد'!$A$2:$A$29,MATCH(A238,'جدول الجرد'!$B$2:$B$29,0)),""))</f>
        <v/>
      </c>
      <c r="C238" s="5" t="str">
        <f>IF(A238="","",IFERROR(INDEX('جدول الجرد'!$E$2:$E$29,MATCH(A238,'جدول الجرد'!$B$2:$B$29,0)),""))</f>
        <v/>
      </c>
      <c r="D238" s="4" t="n"/>
      <c r="E238" s="4" t="n"/>
      <c r="F238" s="4" t="n"/>
      <c r="G238" s="4" t="n"/>
      <c r="H238" s="5" t="str">
        <f>IF(E238="","",IF(AND(F238="نعم",G238="نعم"),"جرد + مراجعة",IF(F238="نعم","جرد فقط",IF(G238="نعم","مراجعة فقط",""))))</f>
        <v/>
      </c>
      <c r="I238" s="9">
        <f>IF(H238="جرد + مراجعة",الإعدادات!$B$2,IF(H238="مراجعة فقط",الإعدادات!$B$3,IF(H238="جرد فقط",الإعدادات!$B$4,0)))</f>
        <v>0</v>
      </c>
    </row>
    <row r="239">
      <c r="A239" s="4" t="n"/>
      <c r="B239" s="5" t="str">
        <f>IF(A239="","",IFERROR(INDEX('جدول الجرد'!$A$2:$A$29,MATCH(A239,'جدول الجرد'!$B$2:$B$29,0)),""))</f>
        <v/>
      </c>
      <c r="C239" s="5" t="str">
        <f>IF(A239="","",IFERROR(INDEX('جدول الجرد'!$E$2:$E$29,MATCH(A239,'جدول الجرد'!$B$2:$B$29,0)),""))</f>
        <v/>
      </c>
      <c r="D239" s="4" t="n"/>
      <c r="E239" s="4" t="n"/>
      <c r="F239" s="4" t="n"/>
      <c r="G239" s="4" t="n"/>
      <c r="H239" s="5" t="str">
        <f>IF(E239="","",IF(AND(F239="نعم",G239="نعم"),"جرد + مراجعة",IF(F239="نعم","جرد فقط",IF(G239="نعم","مراجعة فقط",""))))</f>
        <v/>
      </c>
      <c r="I239" s="9">
        <f>IF(H239="جرد + مراجعة",الإعدادات!$B$2,IF(H239="مراجعة فقط",الإعدادات!$B$3,IF(H239="جرد فقط",الإعدادات!$B$4,0)))</f>
        <v>0</v>
      </c>
    </row>
    <row r="240">
      <c r="A240" s="4" t="n"/>
      <c r="B240" s="5" t="str">
        <f>IF(A240="","",IFERROR(INDEX('جدول الجرد'!$A$2:$A$29,MATCH(A240,'جدول الجرد'!$B$2:$B$29,0)),""))</f>
        <v/>
      </c>
      <c r="C240" s="5" t="str">
        <f>IF(A240="","",IFERROR(INDEX('جدول الجرد'!$E$2:$E$29,MATCH(A240,'جدول الجرد'!$B$2:$B$29,0)),""))</f>
        <v/>
      </c>
      <c r="D240" s="4" t="n"/>
      <c r="E240" s="4" t="n"/>
      <c r="F240" s="4" t="n"/>
      <c r="G240" s="4" t="n"/>
      <c r="H240" s="5" t="str">
        <f>IF(E240="","",IF(AND(F240="نعم",G240="نعم"),"جرد + مراجعة",IF(F240="نعم","جرد فقط",IF(G240="نعم","مراجعة فقط",""))))</f>
        <v/>
      </c>
      <c r="I240" s="9">
        <f>IF(H240="جرد + مراجعة",الإعدادات!$B$2,IF(H240="مراجعة فقط",الإعدادات!$B$3,IF(H240="جرد فقط",الإعدادات!$B$4,0)))</f>
        <v>0</v>
      </c>
    </row>
    <row r="241">
      <c r="A241" s="4" t="n"/>
      <c r="B241" s="5" t="str">
        <f>IF(A241="","",IFERROR(INDEX('جدول الجرد'!$A$2:$A$29,MATCH(A241,'جدول الجرد'!$B$2:$B$29,0)),""))</f>
        <v/>
      </c>
      <c r="C241" s="5" t="str">
        <f>IF(A241="","",IFERROR(INDEX('جدول الجرد'!$E$2:$E$29,MATCH(A241,'جدول الجرد'!$B$2:$B$29,0)),""))</f>
        <v/>
      </c>
      <c r="D241" s="4" t="n"/>
      <c r="E241" s="4" t="n"/>
      <c r="F241" s="4" t="n"/>
      <c r="G241" s="4" t="n"/>
      <c r="H241" s="5" t="str">
        <f>IF(E241="","",IF(AND(F241="نعم",G241="نعم"),"جرد + مراجعة",IF(F241="نعم","جرد فقط",IF(G241="نعم","مراجعة فقط",""))))</f>
        <v/>
      </c>
      <c r="I241" s="9">
        <f>IF(H241="جرد + مراجعة",الإعدادات!$B$2,IF(H241="مراجعة فقط",الإعدادات!$B$3,IF(H241="جرد فقط",الإعدادات!$B$4,0)))</f>
        <v>0</v>
      </c>
    </row>
    <row r="242">
      <c r="A242" s="4" t="n"/>
      <c r="B242" s="5" t="str">
        <f>IF(A242="","",IFERROR(INDEX('جدول الجرد'!$A$2:$A$29,MATCH(A242,'جدول الجرد'!$B$2:$B$29,0)),""))</f>
        <v/>
      </c>
      <c r="C242" s="5" t="str">
        <f>IF(A242="","",IFERROR(INDEX('جدول الجرد'!$E$2:$E$29,MATCH(A242,'جدول الجرد'!$B$2:$B$29,0)),""))</f>
        <v/>
      </c>
      <c r="D242" s="4" t="n"/>
      <c r="E242" s="4" t="n"/>
      <c r="F242" s="4" t="n"/>
      <c r="G242" s="4" t="n"/>
      <c r="H242" s="5" t="str">
        <f>IF(E242="","",IF(AND(F242="نعم",G242="نعم"),"جرد + مراجعة",IF(F242="نعم","جرد فقط",IF(G242="نعم","مراجعة فقط",""))))</f>
        <v/>
      </c>
      <c r="I242" s="9">
        <f>IF(H242="جرد + مراجعة",الإعدادات!$B$2,IF(H242="مراجعة فقط",الإعدادات!$B$3,IF(H242="جرد فقط",الإعدادات!$B$4,0)))</f>
        <v>0</v>
      </c>
    </row>
    <row r="243">
      <c r="A243" s="4" t="n"/>
      <c r="B243" s="5" t="str">
        <f>IF(A243="","",IFERROR(INDEX('جدول الجرد'!$A$2:$A$29,MATCH(A243,'جدول الجرد'!$B$2:$B$29,0)),""))</f>
        <v/>
      </c>
      <c r="C243" s="5" t="str">
        <f>IF(A243="","",IFERROR(INDEX('جدول الجرد'!$E$2:$E$29,MATCH(A243,'جدول الجرد'!$B$2:$B$29,0)),""))</f>
        <v/>
      </c>
      <c r="D243" s="4" t="n"/>
      <c r="E243" s="4" t="n"/>
      <c r="F243" s="4" t="n"/>
      <c r="G243" s="4" t="n"/>
      <c r="H243" s="5" t="str">
        <f>IF(E243="","",IF(AND(F243="نعم",G243="نعم"),"جرد + مراجعة",IF(F243="نعم","جرد فقط",IF(G243="نعم","مراجعة فقط",""))))</f>
        <v/>
      </c>
      <c r="I243" s="9">
        <f>IF(H243="جرد + مراجعة",الإعدادات!$B$2,IF(H243="مراجعة فقط",الإعدادات!$B$3,IF(H243="جرد فقط",الإعدادات!$B$4,0)))</f>
        <v>0</v>
      </c>
    </row>
    <row r="244">
      <c r="A244" s="4" t="n"/>
      <c r="B244" s="5" t="str">
        <f>IF(A244="","",IFERROR(INDEX('جدول الجرد'!$A$2:$A$29,MATCH(A244,'جدول الجرد'!$B$2:$B$29,0)),""))</f>
        <v/>
      </c>
      <c r="C244" s="5" t="str">
        <f>IF(A244="","",IFERROR(INDEX('جدول الجرد'!$E$2:$E$29,MATCH(A244,'جدول الجرد'!$B$2:$B$29,0)),""))</f>
        <v/>
      </c>
      <c r="D244" s="4" t="n"/>
      <c r="E244" s="4" t="n"/>
      <c r="F244" s="4" t="n"/>
      <c r="G244" s="4" t="n"/>
      <c r="H244" s="5" t="str">
        <f>IF(E244="","",IF(AND(F244="نعم",G244="نعم"),"جرد + مراجعة",IF(F244="نعم","جرد فقط",IF(G244="نعم","مراجعة فقط",""))))</f>
        <v/>
      </c>
      <c r="I244" s="9">
        <f>IF(H244="جرد + مراجعة",الإعدادات!$B$2,IF(H244="مراجعة فقط",الإعدادات!$B$3,IF(H244="جرد فقط",الإعدادات!$B$4,0)))</f>
        <v>0</v>
      </c>
    </row>
    <row r="245">
      <c r="A245" s="4" t="n"/>
      <c r="B245" s="5" t="str">
        <f>IF(A245="","",IFERROR(INDEX('جدول الجرد'!$A$2:$A$29,MATCH(A245,'جدول الجرد'!$B$2:$B$29,0)),""))</f>
        <v/>
      </c>
      <c r="C245" s="5" t="str">
        <f>IF(A245="","",IFERROR(INDEX('جدول الجرد'!$E$2:$E$29,MATCH(A245,'جدول الجرد'!$B$2:$B$29,0)),""))</f>
        <v/>
      </c>
      <c r="D245" s="4" t="n"/>
      <c r="E245" s="4" t="n"/>
      <c r="F245" s="4" t="n"/>
      <c r="G245" s="4" t="n"/>
      <c r="H245" s="5" t="str">
        <f>IF(E245="","",IF(AND(F245="نعم",G245="نعم"),"جرد + مراجعة",IF(F245="نعم","جرد فقط",IF(G245="نعم","مراجعة فقط",""))))</f>
        <v/>
      </c>
      <c r="I245" s="9">
        <f>IF(H245="جرد + مراجعة",الإعدادات!$B$2,IF(H245="مراجعة فقط",الإعدادات!$B$3,IF(H245="جرد فقط",الإعدادات!$B$4,0)))</f>
        <v>0</v>
      </c>
    </row>
    <row r="246">
      <c r="A246" s="4" t="n"/>
      <c r="B246" s="5" t="str">
        <f>IF(A246="","",IFERROR(INDEX('جدول الجرد'!$A$2:$A$29,MATCH(A246,'جدول الجرد'!$B$2:$B$29,0)),""))</f>
        <v/>
      </c>
      <c r="C246" s="5" t="str">
        <f>IF(A246="","",IFERROR(INDEX('جدول الجرد'!$E$2:$E$29,MATCH(A246,'جدول الجرد'!$B$2:$B$29,0)),""))</f>
        <v/>
      </c>
      <c r="D246" s="4" t="n"/>
      <c r="E246" s="4" t="n"/>
      <c r="F246" s="4" t="n"/>
      <c r="G246" s="4" t="n"/>
      <c r="H246" s="5" t="str">
        <f>IF(E246="","",IF(AND(F246="نعم",G246="نعم"),"جرد + مراجعة",IF(F246="نعم","جرد فقط",IF(G246="نعم","مراجعة فقط",""))))</f>
        <v/>
      </c>
      <c r="I246" s="9">
        <f>IF(H246="جرد + مراجعة",الإعدادات!$B$2,IF(H246="مراجعة فقط",الإعدادات!$B$3,IF(H246="جرد فقط",الإعدادات!$B$4,0)))</f>
        <v>0</v>
      </c>
    </row>
    <row r="247">
      <c r="A247" s="4" t="n"/>
      <c r="B247" s="5" t="str">
        <f>IF(A247="","",IFERROR(INDEX('جدول الجرد'!$A$2:$A$29,MATCH(A247,'جدول الجرد'!$B$2:$B$29,0)),""))</f>
        <v/>
      </c>
      <c r="C247" s="5" t="str">
        <f>IF(A247="","",IFERROR(INDEX('جدول الجرد'!$E$2:$E$29,MATCH(A247,'جدول الجرد'!$B$2:$B$29,0)),""))</f>
        <v/>
      </c>
      <c r="D247" s="4" t="n"/>
      <c r="E247" s="4" t="n"/>
      <c r="F247" s="4" t="n"/>
      <c r="G247" s="4" t="n"/>
      <c r="H247" s="5" t="str">
        <f>IF(E247="","",IF(AND(F247="نعم",G247="نعم"),"جرد + مراجعة",IF(F247="نعم","جرد فقط",IF(G247="نعم","مراجعة فقط",""))))</f>
        <v/>
      </c>
      <c r="I247" s="9">
        <f>IF(H247="جرد + مراجعة",الإعدادات!$B$2,IF(H247="مراجعة فقط",الإعدادات!$B$3,IF(H247="جرد فقط",الإعدادات!$B$4,0)))</f>
        <v>0</v>
      </c>
    </row>
    <row r="248">
      <c r="A248" s="4" t="n"/>
      <c r="B248" s="5" t="str">
        <f>IF(A248="","",IFERROR(INDEX('جدول الجرد'!$A$2:$A$29,MATCH(A248,'جدول الجرد'!$B$2:$B$29,0)),""))</f>
        <v/>
      </c>
      <c r="C248" s="5" t="str">
        <f>IF(A248="","",IFERROR(INDEX('جدول الجرد'!$E$2:$E$29,MATCH(A248,'جدول الجرد'!$B$2:$B$29,0)),""))</f>
        <v/>
      </c>
      <c r="D248" s="4" t="n"/>
      <c r="E248" s="4" t="n"/>
      <c r="F248" s="4" t="n"/>
      <c r="G248" s="4" t="n"/>
      <c r="H248" s="5" t="str">
        <f>IF(E248="","",IF(AND(F248="نعم",G248="نعم"),"جرد + مراجعة",IF(F248="نعم","جرد فقط",IF(G248="نعم","مراجعة فقط",""))))</f>
        <v/>
      </c>
      <c r="I248" s="9">
        <f>IF(H248="جرد + مراجعة",الإعدادات!$B$2,IF(H248="مراجعة فقط",الإعدادات!$B$3,IF(H248="جرد فقط",الإعدادات!$B$4,0)))</f>
        <v>0</v>
      </c>
    </row>
    <row r="249">
      <c r="A249" s="4" t="n"/>
      <c r="B249" s="5" t="str">
        <f>IF(A249="","",IFERROR(INDEX('جدول الجرد'!$A$2:$A$29,MATCH(A249,'جدول الجرد'!$B$2:$B$29,0)),""))</f>
        <v/>
      </c>
      <c r="C249" s="5" t="str">
        <f>IF(A249="","",IFERROR(INDEX('جدول الجرد'!$E$2:$E$29,MATCH(A249,'جدول الجرد'!$B$2:$B$29,0)),""))</f>
        <v/>
      </c>
      <c r="D249" s="4" t="n"/>
      <c r="E249" s="4" t="n"/>
      <c r="F249" s="4" t="n"/>
      <c r="G249" s="4" t="n"/>
      <c r="H249" s="5" t="str">
        <f>IF(E249="","",IF(AND(F249="نعم",G249="نعم"),"جرد + مراجعة",IF(F249="نعم","جرد فقط",IF(G249="نعم","مراجعة فقط",""))))</f>
        <v/>
      </c>
      <c r="I249" s="9">
        <f>IF(H249="جرد + مراجعة",الإعدادات!$B$2,IF(H249="مراجعة فقط",الإعدادات!$B$3,IF(H249="جرد فقط",الإعدادات!$B$4,0)))</f>
        <v>0</v>
      </c>
    </row>
    <row r="250">
      <c r="A250" s="4" t="n"/>
      <c r="B250" s="5" t="str">
        <f>IF(A250="","",IFERROR(INDEX('جدول الجرد'!$A$2:$A$29,MATCH(A250,'جدول الجرد'!$B$2:$B$29,0)),""))</f>
        <v/>
      </c>
      <c r="C250" s="5" t="str">
        <f>IF(A250="","",IFERROR(INDEX('جدول الجرد'!$E$2:$E$29,MATCH(A250,'جدول الجرد'!$B$2:$B$29,0)),""))</f>
        <v/>
      </c>
      <c r="D250" s="4" t="n"/>
      <c r="E250" s="4" t="n"/>
      <c r="F250" s="4" t="n"/>
      <c r="G250" s="4" t="n"/>
      <c r="H250" s="5" t="str">
        <f>IF(E250="","",IF(AND(F250="نعم",G250="نعم"),"جرد + مراجعة",IF(F250="نعم","جرد فقط",IF(G250="نعم","مراجعة فقط",""))))</f>
        <v/>
      </c>
      <c r="I250" s="9">
        <f>IF(H250="جرد + مراجعة",الإعدادات!$B$2,IF(H250="مراجعة فقط",الإعدادات!$B$3,IF(H250="جرد فقط",الإعدادات!$B$4,0)))</f>
        <v>0</v>
      </c>
    </row>
    <row r="251">
      <c r="A251" s="4" t="n"/>
      <c r="B251" s="5" t="str">
        <f>IF(A251="","",IFERROR(INDEX('جدول الجرد'!$A$2:$A$29,MATCH(A251,'جدول الجرد'!$B$2:$B$29,0)),""))</f>
        <v/>
      </c>
      <c r="C251" s="5" t="str">
        <f>IF(A251="","",IFERROR(INDEX('جدول الجرد'!$E$2:$E$29,MATCH(A251,'جدول الجرد'!$B$2:$B$29,0)),""))</f>
        <v/>
      </c>
      <c r="D251" s="4" t="n"/>
      <c r="E251" s="4" t="n"/>
      <c r="F251" s="4" t="n"/>
      <c r="G251" s="4" t="n"/>
      <c r="H251" s="5" t="str">
        <f>IF(E251="","",IF(AND(F251="نعم",G251="نعم"),"جرد + مراجعة",IF(F251="نعم","جرد فقط",IF(G251="نعم","مراجعة فقط",""))))</f>
        <v/>
      </c>
      <c r="I251" s="9">
        <f>IF(H251="جرد + مراجعة",الإعدادات!$B$2,IF(H251="مراجعة فقط",الإعدادات!$B$3,IF(H251="جرد فقط",الإعدادات!$B$4,0)))</f>
        <v>0</v>
      </c>
    </row>
    <row r="252">
      <c r="A252" s="4" t="n"/>
      <c r="B252" s="5" t="str">
        <f>IF(A252="","",IFERROR(INDEX('جدول الجرد'!$A$2:$A$29,MATCH(A252,'جدول الجرد'!$B$2:$B$29,0)),""))</f>
        <v/>
      </c>
      <c r="C252" s="5" t="str">
        <f>IF(A252="","",IFERROR(INDEX('جدول الجرد'!$E$2:$E$29,MATCH(A252,'جدول الجرد'!$B$2:$B$29,0)),""))</f>
        <v/>
      </c>
      <c r="D252" s="4" t="n"/>
      <c r="E252" s="4" t="n"/>
      <c r="F252" s="4" t="n"/>
      <c r="G252" s="4" t="n"/>
      <c r="H252" s="5" t="str">
        <f>IF(E252="","",IF(AND(F252="نعم",G252="نعم"),"جرد + مراجعة",IF(F252="نعم","جرد فقط",IF(G252="نعم","مراجعة فقط",""))))</f>
        <v/>
      </c>
      <c r="I252" s="9">
        <f>IF(H252="جرد + مراجعة",الإعدادات!$B$2,IF(H252="مراجعة فقط",الإعدادات!$B$3,IF(H252="جرد فقط",الإعدادات!$B$4,0)))</f>
        <v>0</v>
      </c>
    </row>
    <row r="253">
      <c r="A253" s="4" t="n"/>
      <c r="B253" s="5" t="str">
        <f>IF(A253="","",IFERROR(INDEX('جدول الجرد'!$A$2:$A$29,MATCH(A253,'جدول الجرد'!$B$2:$B$29,0)),""))</f>
        <v/>
      </c>
      <c r="C253" s="5" t="str">
        <f>IF(A253="","",IFERROR(INDEX('جدول الجرد'!$E$2:$E$29,MATCH(A253,'جدول الجرد'!$B$2:$B$29,0)),""))</f>
        <v/>
      </c>
      <c r="D253" s="4" t="n"/>
      <c r="E253" s="4" t="n"/>
      <c r="F253" s="4" t="n"/>
      <c r="G253" s="4" t="n"/>
      <c r="H253" s="5" t="str">
        <f>IF(E253="","",IF(AND(F253="نعم",G253="نعم"),"جرد + مراجعة",IF(F253="نعم","جرد فقط",IF(G253="نعم","مراجعة فقط",""))))</f>
        <v/>
      </c>
      <c r="I253" s="9">
        <f>IF(H253="جرد + مراجعة",الإعدادات!$B$2,IF(H253="مراجعة فقط",الإعدادات!$B$3,IF(H253="جرد فقط",الإعدادات!$B$4,0)))</f>
        <v>0</v>
      </c>
    </row>
    <row r="254">
      <c r="A254" s="4" t="n"/>
      <c r="B254" s="5" t="str">
        <f>IF(A254="","",IFERROR(INDEX('جدول الجرد'!$A$2:$A$29,MATCH(A254,'جدول الجرد'!$B$2:$B$29,0)),""))</f>
        <v/>
      </c>
      <c r="C254" s="5" t="str">
        <f>IF(A254="","",IFERROR(INDEX('جدول الجرد'!$E$2:$E$29,MATCH(A254,'جدول الجرد'!$B$2:$B$29,0)),""))</f>
        <v/>
      </c>
      <c r="D254" s="4" t="n"/>
      <c r="E254" s="4" t="n"/>
      <c r="F254" s="4" t="n"/>
      <c r="G254" s="4" t="n"/>
      <c r="H254" s="5" t="str">
        <f>IF(E254="","",IF(AND(F254="نعم",G254="نعم"),"جرد + مراجعة",IF(F254="نعم","جرد فقط",IF(G254="نعم","مراجعة فقط",""))))</f>
        <v/>
      </c>
      <c r="I254" s="9">
        <f>IF(H254="جرد + مراجعة",الإعدادات!$B$2,IF(H254="مراجعة فقط",الإعدادات!$B$3,IF(H254="جرد فقط",الإعدادات!$B$4,0)))</f>
        <v>0</v>
      </c>
    </row>
    <row r="255">
      <c r="A255" s="4" t="n"/>
      <c r="B255" s="5" t="str">
        <f>IF(A255="","",IFERROR(INDEX('جدول الجرد'!$A$2:$A$29,MATCH(A255,'جدول الجرد'!$B$2:$B$29,0)),""))</f>
        <v/>
      </c>
      <c r="C255" s="5" t="str">
        <f>IF(A255="","",IFERROR(INDEX('جدول الجرد'!$E$2:$E$29,MATCH(A255,'جدول الجرد'!$B$2:$B$29,0)),""))</f>
        <v/>
      </c>
      <c r="D255" s="4" t="n"/>
      <c r="E255" s="4" t="n"/>
      <c r="F255" s="4" t="n"/>
      <c r="G255" s="4" t="n"/>
      <c r="H255" s="5" t="str">
        <f>IF(E255="","",IF(AND(F255="نعم",G255="نعم"),"جرد + مراجعة",IF(F255="نعم","جرد فقط",IF(G255="نعم","مراجعة فقط",""))))</f>
        <v/>
      </c>
      <c r="I255" s="9">
        <f>IF(H255="جرد + مراجعة",الإعدادات!$B$2,IF(H255="مراجعة فقط",الإعدادات!$B$3,IF(H255="جرد فقط",الإعدادات!$B$4,0)))</f>
        <v>0</v>
      </c>
    </row>
    <row r="256">
      <c r="A256" s="4" t="n"/>
      <c r="B256" s="5" t="str">
        <f>IF(A256="","",IFERROR(INDEX('جدول الجرد'!$A$2:$A$29,MATCH(A256,'جدول الجرد'!$B$2:$B$29,0)),""))</f>
        <v/>
      </c>
      <c r="C256" s="5" t="str">
        <f>IF(A256="","",IFERROR(INDEX('جدول الجرد'!$E$2:$E$29,MATCH(A256,'جدول الجرد'!$B$2:$B$29,0)),""))</f>
        <v/>
      </c>
      <c r="D256" s="4" t="n"/>
      <c r="E256" s="4" t="n"/>
      <c r="F256" s="4" t="n"/>
      <c r="G256" s="4" t="n"/>
      <c r="H256" s="5" t="str">
        <f>IF(E256="","",IF(AND(F256="نعم",G256="نعم"),"جرد + مراجعة",IF(F256="نعم","جرد فقط",IF(G256="نعم","مراجعة فقط",""))))</f>
        <v/>
      </c>
      <c r="I256" s="9">
        <f>IF(H256="جرد + مراجعة",الإعدادات!$B$2,IF(H256="مراجعة فقط",الإعدادات!$B$3,IF(H256="جرد فقط",الإعدادات!$B$4,0)))</f>
        <v>0</v>
      </c>
    </row>
    <row r="257">
      <c r="A257" s="4" t="n"/>
      <c r="B257" s="5" t="str">
        <f>IF(A257="","",IFERROR(INDEX('جدول الجرد'!$A$2:$A$29,MATCH(A257,'جدول الجرد'!$B$2:$B$29,0)),""))</f>
        <v/>
      </c>
      <c r="C257" s="5" t="str">
        <f>IF(A257="","",IFERROR(INDEX('جدول الجرد'!$E$2:$E$29,MATCH(A257,'جدول الجرد'!$B$2:$B$29,0)),""))</f>
        <v/>
      </c>
      <c r="D257" s="4" t="n"/>
      <c r="E257" s="4" t="n"/>
      <c r="F257" s="4" t="n"/>
      <c r="G257" s="4" t="n"/>
      <c r="H257" s="5" t="str">
        <f>IF(E257="","",IF(AND(F257="نعم",G257="نعم"),"جرد + مراجعة",IF(F257="نعم","جرد فقط",IF(G257="نعم","مراجعة فقط",""))))</f>
        <v/>
      </c>
      <c r="I257" s="9">
        <f>IF(H257="جرد + مراجعة",الإعدادات!$B$2,IF(H257="مراجعة فقط",الإعدادات!$B$3,IF(H257="جرد فقط",الإعدادات!$B$4,0)))</f>
        <v>0</v>
      </c>
    </row>
    <row r="258">
      <c r="A258" s="4" t="n"/>
      <c r="B258" s="5" t="str">
        <f>IF(A258="","",IFERROR(INDEX('جدول الجرد'!$A$2:$A$29,MATCH(A258,'جدول الجرد'!$B$2:$B$29,0)),""))</f>
        <v/>
      </c>
      <c r="C258" s="5" t="str">
        <f>IF(A258="","",IFERROR(INDEX('جدول الجرد'!$E$2:$E$29,MATCH(A258,'جدول الجرد'!$B$2:$B$29,0)),""))</f>
        <v/>
      </c>
      <c r="D258" s="4" t="n"/>
      <c r="E258" s="4" t="n"/>
      <c r="F258" s="4" t="n"/>
      <c r="G258" s="4" t="n"/>
      <c r="H258" s="5" t="str">
        <f>IF(E258="","",IF(AND(F258="نعم",G258="نعم"),"جرد + مراجعة",IF(F258="نعم","جرد فقط",IF(G258="نعم","مراجعة فقط",""))))</f>
        <v/>
      </c>
      <c r="I258" s="9">
        <f>IF(H258="جرد + مراجعة",الإعدادات!$B$2,IF(H258="مراجعة فقط",الإعدادات!$B$3,IF(H258="جرد فقط",الإعدادات!$B$4,0)))</f>
        <v>0</v>
      </c>
    </row>
    <row r="259">
      <c r="A259" s="4" t="n"/>
      <c r="B259" s="5" t="str">
        <f>IF(A259="","",IFERROR(INDEX('جدول الجرد'!$A$2:$A$29,MATCH(A259,'جدول الجرد'!$B$2:$B$29,0)),""))</f>
        <v/>
      </c>
      <c r="C259" s="5" t="str">
        <f>IF(A259="","",IFERROR(INDEX('جدول الجرد'!$E$2:$E$29,MATCH(A259,'جدول الجرد'!$B$2:$B$29,0)),""))</f>
        <v/>
      </c>
      <c r="D259" s="4" t="n"/>
      <c r="E259" s="4" t="n"/>
      <c r="F259" s="4" t="n"/>
      <c r="G259" s="4" t="n"/>
      <c r="H259" s="5" t="str">
        <f>IF(E259="","",IF(AND(F259="نعم",G259="نعم"),"جرد + مراجعة",IF(F259="نعم","جرد فقط",IF(G259="نعم","مراجعة فقط",""))))</f>
        <v/>
      </c>
      <c r="I259" s="9">
        <f>IF(H259="جرد + مراجعة",الإعدادات!$B$2,IF(H259="مراجعة فقط",الإعدادات!$B$3,IF(H259="جرد فقط",الإعدادات!$B$4,0)))</f>
        <v>0</v>
      </c>
    </row>
    <row r="260">
      <c r="A260" s="4" t="n"/>
      <c r="B260" s="5" t="str">
        <f>IF(A260="","",IFERROR(INDEX('جدول الجرد'!$A$2:$A$29,MATCH(A260,'جدول الجرد'!$B$2:$B$29,0)),""))</f>
        <v/>
      </c>
      <c r="C260" s="5" t="str">
        <f>IF(A260="","",IFERROR(INDEX('جدول الجرد'!$E$2:$E$29,MATCH(A260,'جدول الجرد'!$B$2:$B$29,0)),""))</f>
        <v/>
      </c>
      <c r="D260" s="4" t="n"/>
      <c r="E260" s="4" t="n"/>
      <c r="F260" s="4" t="n"/>
      <c r="G260" s="4" t="n"/>
      <c r="H260" s="5" t="str">
        <f>IF(E260="","",IF(AND(F260="نعم",G260="نعم"),"جرد + مراجعة",IF(F260="نعم","جرد فقط",IF(G260="نعم","مراجعة فقط",""))))</f>
        <v/>
      </c>
      <c r="I260" s="9">
        <f>IF(H260="جرد + مراجعة",الإعدادات!$B$2,IF(H260="مراجعة فقط",الإعدادات!$B$3,IF(H260="جرد فقط",الإعدادات!$B$4,0)))</f>
        <v>0</v>
      </c>
    </row>
    <row r="261">
      <c r="A261" s="4" t="n"/>
      <c r="B261" s="5" t="str">
        <f>IF(A261="","",IFERROR(INDEX('جدول الجرد'!$A$2:$A$29,MATCH(A261,'جدول الجرد'!$B$2:$B$29,0)),""))</f>
        <v/>
      </c>
      <c r="C261" s="5" t="str">
        <f>IF(A261="","",IFERROR(INDEX('جدول الجرد'!$E$2:$E$29,MATCH(A261,'جدول الجرد'!$B$2:$B$29,0)),""))</f>
        <v/>
      </c>
      <c r="D261" s="4" t="n"/>
      <c r="E261" s="4" t="n"/>
      <c r="F261" s="4" t="n"/>
      <c r="G261" s="4" t="n"/>
      <c r="H261" s="5" t="str">
        <f>IF(E261="","",IF(AND(F261="نعم",G261="نعم"),"جرد + مراجعة",IF(F261="نعم","جرد فقط",IF(G261="نعم","مراجعة فقط",""))))</f>
        <v/>
      </c>
      <c r="I261" s="9">
        <f>IF(H261="جرد + مراجعة",الإعدادات!$B$2,IF(H261="مراجعة فقط",الإعدادات!$B$3,IF(H261="جرد فقط",الإعدادات!$B$4,0)))</f>
        <v>0</v>
      </c>
    </row>
    <row r="262">
      <c r="A262" s="4" t="n"/>
      <c r="B262" s="5" t="str">
        <f>IF(A262="","",IFERROR(INDEX('جدول الجرد'!$A$2:$A$29,MATCH(A262,'جدول الجرد'!$B$2:$B$29,0)),""))</f>
        <v/>
      </c>
      <c r="C262" s="5" t="str">
        <f>IF(A262="","",IFERROR(INDEX('جدول الجرد'!$E$2:$E$29,MATCH(A262,'جدول الجرد'!$B$2:$B$29,0)),""))</f>
        <v/>
      </c>
      <c r="D262" s="4" t="n"/>
      <c r="E262" s="4" t="n"/>
      <c r="F262" s="4" t="n"/>
      <c r="G262" s="4" t="n"/>
      <c r="H262" s="5" t="str">
        <f>IF(E262="","",IF(AND(F262="نعم",G262="نعم"),"جرد + مراجعة",IF(F262="نعم","جرد فقط",IF(G262="نعم","مراجعة فقط",""))))</f>
        <v/>
      </c>
      <c r="I262" s="9">
        <f>IF(H262="جرد + مراجعة",الإعدادات!$B$2,IF(H262="مراجعة فقط",الإعدادات!$B$3,IF(H262="جرد فقط",الإعدادات!$B$4,0)))</f>
        <v>0</v>
      </c>
    </row>
    <row r="263">
      <c r="A263" s="4" t="n"/>
      <c r="B263" s="5" t="str">
        <f>IF(A263="","",IFERROR(INDEX('جدول الجرد'!$A$2:$A$29,MATCH(A263,'جدول الجرد'!$B$2:$B$29,0)),""))</f>
        <v/>
      </c>
      <c r="C263" s="5" t="str">
        <f>IF(A263="","",IFERROR(INDEX('جدول الجرد'!$E$2:$E$29,MATCH(A263,'جدول الجرد'!$B$2:$B$29,0)),""))</f>
        <v/>
      </c>
      <c r="D263" s="4" t="n"/>
      <c r="E263" s="4" t="n"/>
      <c r="F263" s="4" t="n"/>
      <c r="G263" s="4" t="n"/>
      <c r="H263" s="5" t="str">
        <f>IF(E263="","",IF(AND(F263="نعم",G263="نعم"),"جرد + مراجعة",IF(F263="نعم","جرد فقط",IF(G263="نعم","مراجعة فقط",""))))</f>
        <v/>
      </c>
      <c r="I263" s="9">
        <f>IF(H263="جرد + مراجعة",الإعدادات!$B$2,IF(H263="مراجعة فقط",الإعدادات!$B$3,IF(H263="جرد فقط",الإعدادات!$B$4,0)))</f>
        <v>0</v>
      </c>
    </row>
    <row r="264">
      <c r="A264" s="4" t="n"/>
      <c r="B264" s="5" t="str">
        <f>IF(A264="","",IFERROR(INDEX('جدول الجرد'!$A$2:$A$29,MATCH(A264,'جدول الجرد'!$B$2:$B$29,0)),""))</f>
        <v/>
      </c>
      <c r="C264" s="5" t="str">
        <f>IF(A264="","",IFERROR(INDEX('جدول الجرد'!$E$2:$E$29,MATCH(A264,'جدول الجرد'!$B$2:$B$29,0)),""))</f>
        <v/>
      </c>
      <c r="D264" s="4" t="n"/>
      <c r="E264" s="4" t="n"/>
      <c r="F264" s="4" t="n"/>
      <c r="G264" s="4" t="n"/>
      <c r="H264" s="5" t="str">
        <f>IF(E264="","",IF(AND(F264="نعم",G264="نعم"),"جرد + مراجعة",IF(F264="نعم","جرد فقط",IF(G264="نعم","مراجعة فقط",""))))</f>
        <v/>
      </c>
      <c r="I264" s="9">
        <f>IF(H264="جرد + مراجعة",الإعدادات!$B$2,IF(H264="مراجعة فقط",الإعدادات!$B$3,IF(H264="جرد فقط",الإعدادات!$B$4,0)))</f>
        <v>0</v>
      </c>
    </row>
    <row r="265">
      <c r="A265" s="4" t="n"/>
      <c r="B265" s="5" t="str">
        <f>IF(A265="","",IFERROR(INDEX('جدول الجرد'!$A$2:$A$29,MATCH(A265,'جدول الجرد'!$B$2:$B$29,0)),""))</f>
        <v/>
      </c>
      <c r="C265" s="5" t="str">
        <f>IF(A265="","",IFERROR(INDEX('جدول الجرد'!$E$2:$E$29,MATCH(A265,'جدول الجرد'!$B$2:$B$29,0)),""))</f>
        <v/>
      </c>
      <c r="D265" s="4" t="n"/>
      <c r="E265" s="4" t="n"/>
      <c r="F265" s="4" t="n"/>
      <c r="G265" s="4" t="n"/>
      <c r="H265" s="5" t="str">
        <f>IF(E265="","",IF(AND(F265="نعم",G265="نعم"),"جرد + مراجعة",IF(F265="نعم","جرد فقط",IF(G265="نعم","مراجعة فقط",""))))</f>
        <v/>
      </c>
      <c r="I265" s="9">
        <f>IF(H265="جرد + مراجعة",الإعدادات!$B$2,IF(H265="مراجعة فقط",الإعدادات!$B$3,IF(H265="جرد فقط",الإعدادات!$B$4,0)))</f>
        <v>0</v>
      </c>
    </row>
    <row r="266">
      <c r="A266" s="4" t="n"/>
      <c r="B266" s="5" t="str">
        <f>IF(A266="","",IFERROR(INDEX('جدول الجرد'!$A$2:$A$29,MATCH(A266,'جدول الجرد'!$B$2:$B$29,0)),""))</f>
        <v/>
      </c>
      <c r="C266" s="5" t="str">
        <f>IF(A266="","",IFERROR(INDEX('جدول الجرد'!$E$2:$E$29,MATCH(A266,'جدول الجرد'!$B$2:$B$29,0)),""))</f>
        <v/>
      </c>
      <c r="D266" s="4" t="n"/>
      <c r="E266" s="4" t="n"/>
      <c r="F266" s="4" t="n"/>
      <c r="G266" s="4" t="n"/>
      <c r="H266" s="5" t="str">
        <f>IF(E266="","",IF(AND(F266="نعم",G266="نعم"),"جرد + مراجعة",IF(F266="نعم","جرد فقط",IF(G266="نعم","مراجعة فقط",""))))</f>
        <v/>
      </c>
      <c r="I266" s="9">
        <f>IF(H266="جرد + مراجعة",الإعدادات!$B$2,IF(H266="مراجعة فقط",الإعدادات!$B$3,IF(H266="جرد فقط",الإعدادات!$B$4,0)))</f>
        <v>0</v>
      </c>
    </row>
    <row r="267">
      <c r="A267" s="4" t="n"/>
      <c r="B267" s="5" t="str">
        <f>IF(A267="","",IFERROR(INDEX('جدول الجرد'!$A$2:$A$29,MATCH(A267,'جدول الجرد'!$B$2:$B$29,0)),""))</f>
        <v/>
      </c>
      <c r="C267" s="5" t="str">
        <f>IF(A267="","",IFERROR(INDEX('جدول الجرد'!$E$2:$E$29,MATCH(A267,'جدول الجرد'!$B$2:$B$29,0)),""))</f>
        <v/>
      </c>
      <c r="D267" s="4" t="n"/>
      <c r="E267" s="4" t="n"/>
      <c r="F267" s="4" t="n"/>
      <c r="G267" s="4" t="n"/>
      <c r="H267" s="5" t="str">
        <f>IF(E267="","",IF(AND(F267="نعم",G267="نعم"),"جرد + مراجعة",IF(F267="نعم","جرد فقط",IF(G267="نعم","مراجعة فقط",""))))</f>
        <v/>
      </c>
      <c r="I267" s="9">
        <f>IF(H267="جرد + مراجعة",الإعدادات!$B$2,IF(H267="مراجعة فقط",الإعدادات!$B$3,IF(H267="جرد فقط",الإعدادات!$B$4,0)))</f>
        <v>0</v>
      </c>
    </row>
    <row r="268">
      <c r="A268" s="4" t="n"/>
      <c r="B268" s="5" t="str">
        <f>IF(A268="","",IFERROR(INDEX('جدول الجرد'!$A$2:$A$29,MATCH(A268,'جدول الجرد'!$B$2:$B$29,0)),""))</f>
        <v/>
      </c>
      <c r="C268" s="5" t="str">
        <f>IF(A268="","",IFERROR(INDEX('جدول الجرد'!$E$2:$E$29,MATCH(A268,'جدول الجرد'!$B$2:$B$29,0)),""))</f>
        <v/>
      </c>
      <c r="D268" s="4" t="n"/>
      <c r="E268" s="4" t="n"/>
      <c r="F268" s="4" t="n"/>
      <c r="G268" s="4" t="n"/>
      <c r="H268" s="5" t="str">
        <f>IF(E268="","",IF(AND(F268="نعم",G268="نعم"),"جرد + مراجعة",IF(F268="نعم","جرد فقط",IF(G268="نعم","مراجعة فقط",""))))</f>
        <v/>
      </c>
      <c r="I268" s="9">
        <f>IF(H268="جرد + مراجعة",الإعدادات!$B$2,IF(H268="مراجعة فقط",الإعدادات!$B$3,IF(H268="جرد فقط",الإعدادات!$B$4,0)))</f>
        <v>0</v>
      </c>
    </row>
    <row r="269">
      <c r="A269" s="4" t="n"/>
      <c r="B269" s="5" t="str">
        <f>IF(A269="","",IFERROR(INDEX('جدول الجرد'!$A$2:$A$29,MATCH(A269,'جدول الجرد'!$B$2:$B$29,0)),""))</f>
        <v/>
      </c>
      <c r="C269" s="5" t="str">
        <f>IF(A269="","",IFERROR(INDEX('جدول الجرد'!$E$2:$E$29,MATCH(A269,'جدول الجرد'!$B$2:$B$29,0)),""))</f>
        <v/>
      </c>
      <c r="D269" s="4" t="n"/>
      <c r="E269" s="4" t="n"/>
      <c r="F269" s="4" t="n"/>
      <c r="G269" s="4" t="n"/>
      <c r="H269" s="5" t="str">
        <f>IF(E269="","",IF(AND(F269="نعم",G269="نعم"),"جرد + مراجعة",IF(F269="نعم","جرد فقط",IF(G269="نعم","مراجعة فقط",""))))</f>
        <v/>
      </c>
      <c r="I269" s="9">
        <f>IF(H269="جرد + مراجعة",الإعدادات!$B$2,IF(H269="مراجعة فقط",الإعدادات!$B$3,IF(H269="جرد فقط",الإعدادات!$B$4,0)))</f>
        <v>0</v>
      </c>
    </row>
    <row r="270">
      <c r="A270" s="4" t="n"/>
      <c r="B270" s="5" t="str">
        <f>IF(A270="","",IFERROR(INDEX('جدول الجرد'!$A$2:$A$29,MATCH(A270,'جدول الجرد'!$B$2:$B$29,0)),""))</f>
        <v/>
      </c>
      <c r="C270" s="5" t="str">
        <f>IF(A270="","",IFERROR(INDEX('جدول الجرد'!$E$2:$E$29,MATCH(A270,'جدول الجرد'!$B$2:$B$29,0)),""))</f>
        <v/>
      </c>
      <c r="D270" s="4" t="n"/>
      <c r="E270" s="4" t="n"/>
      <c r="F270" s="4" t="n"/>
      <c r="G270" s="4" t="n"/>
      <c r="H270" s="5" t="str">
        <f>IF(E270="","",IF(AND(F270="نعم",G270="نعم"),"جرد + مراجعة",IF(F270="نعم","جرد فقط",IF(G270="نعم","مراجعة فقط",""))))</f>
        <v/>
      </c>
      <c r="I270" s="9">
        <f>IF(H270="جرد + مراجعة",الإعدادات!$B$2,IF(H270="مراجعة فقط",الإعدادات!$B$3,IF(H270="جرد فقط",الإعدادات!$B$4,0)))</f>
        <v>0</v>
      </c>
    </row>
    <row r="271">
      <c r="A271" s="4" t="n"/>
      <c r="B271" s="5" t="str">
        <f>IF(A271="","",IFERROR(INDEX('جدول الجرد'!$A$2:$A$29,MATCH(A271,'جدول الجرد'!$B$2:$B$29,0)),""))</f>
        <v/>
      </c>
      <c r="C271" s="5" t="str">
        <f>IF(A271="","",IFERROR(INDEX('جدول الجرد'!$E$2:$E$29,MATCH(A271,'جدول الجرد'!$B$2:$B$29,0)),""))</f>
        <v/>
      </c>
      <c r="D271" s="4" t="n"/>
      <c r="E271" s="4" t="n"/>
      <c r="F271" s="4" t="n"/>
      <c r="G271" s="4" t="n"/>
      <c r="H271" s="5" t="str">
        <f>IF(E271="","",IF(AND(F271="نعم",G271="نعم"),"جرد + مراجعة",IF(F271="نعم","جرد فقط",IF(G271="نعم","مراجعة فقط",""))))</f>
        <v/>
      </c>
      <c r="I271" s="9">
        <f>IF(H271="جرد + مراجعة",الإعدادات!$B$2,IF(H271="مراجعة فقط",الإعدادات!$B$3,IF(H271="جرد فقط",الإعدادات!$B$4,0)))</f>
        <v>0</v>
      </c>
    </row>
    <row r="272">
      <c r="A272" s="4" t="n"/>
      <c r="B272" s="5" t="str">
        <f>IF(A272="","",IFERROR(INDEX('جدول الجرد'!$A$2:$A$29,MATCH(A272,'جدول الجرد'!$B$2:$B$29,0)),""))</f>
        <v/>
      </c>
      <c r="C272" s="5" t="str">
        <f>IF(A272="","",IFERROR(INDEX('جدول الجرد'!$E$2:$E$29,MATCH(A272,'جدول الجرد'!$B$2:$B$29,0)),""))</f>
        <v/>
      </c>
      <c r="D272" s="4" t="n"/>
      <c r="E272" s="4" t="n"/>
      <c r="F272" s="4" t="n"/>
      <c r="G272" s="4" t="n"/>
      <c r="H272" s="5" t="str">
        <f>IF(E272="","",IF(AND(F272="نعم",G272="نعم"),"جرد + مراجعة",IF(F272="نعم","جرد فقط",IF(G272="نعم","مراجعة فقط",""))))</f>
        <v/>
      </c>
      <c r="I272" s="9">
        <f>IF(H272="جرد + مراجعة",الإعدادات!$B$2,IF(H272="مراجعة فقط",الإعدادات!$B$3,IF(H272="جرد فقط",الإعدادات!$B$4,0)))</f>
        <v>0</v>
      </c>
    </row>
    <row r="273">
      <c r="A273" s="4" t="n"/>
      <c r="B273" s="5" t="str">
        <f>IF(A273="","",IFERROR(INDEX('جدول الجرد'!$A$2:$A$29,MATCH(A273,'جدول الجرد'!$B$2:$B$29,0)),""))</f>
        <v/>
      </c>
      <c r="C273" s="5" t="str">
        <f>IF(A273="","",IFERROR(INDEX('جدول الجرد'!$E$2:$E$29,MATCH(A273,'جدول الجرد'!$B$2:$B$29,0)),""))</f>
        <v/>
      </c>
      <c r="D273" s="4" t="n"/>
      <c r="E273" s="4" t="n"/>
      <c r="F273" s="4" t="n"/>
      <c r="G273" s="4" t="n"/>
      <c r="H273" s="5" t="str">
        <f>IF(E273="","",IF(AND(F273="نعم",G273="نعم"),"جرد + مراجعة",IF(F273="نعم","جرد فقط",IF(G273="نعم","مراجعة فقط",""))))</f>
        <v/>
      </c>
      <c r="I273" s="9">
        <f>IF(H273="جرد + مراجعة",الإعدادات!$B$2,IF(H273="مراجعة فقط",الإعدادات!$B$3,IF(H273="جرد فقط",الإعدادات!$B$4,0)))</f>
        <v>0</v>
      </c>
    </row>
    <row r="274">
      <c r="A274" s="4" t="n"/>
      <c r="B274" s="5" t="str">
        <f>IF(A274="","",IFERROR(INDEX('جدول الجرد'!$A$2:$A$29,MATCH(A274,'جدول الجرد'!$B$2:$B$29,0)),""))</f>
        <v/>
      </c>
      <c r="C274" s="5" t="str">
        <f>IF(A274="","",IFERROR(INDEX('جدول الجرد'!$E$2:$E$29,MATCH(A274,'جدول الجرد'!$B$2:$B$29,0)),""))</f>
        <v/>
      </c>
      <c r="D274" s="4" t="n"/>
      <c r="E274" s="4" t="n"/>
      <c r="F274" s="4" t="n"/>
      <c r="G274" s="4" t="n"/>
      <c r="H274" s="5" t="str">
        <f>IF(E274="","",IF(AND(F274="نعم",G274="نعم"),"جرد + مراجعة",IF(F274="نعم","جرد فقط",IF(G274="نعم","مراجعة فقط",""))))</f>
        <v/>
      </c>
      <c r="I274" s="9">
        <f>IF(H274="جرد + مراجعة",الإعدادات!$B$2,IF(H274="مراجعة فقط",الإعدادات!$B$3,IF(H274="جرد فقط",الإعدادات!$B$4,0)))</f>
        <v>0</v>
      </c>
    </row>
    <row r="275">
      <c r="A275" s="4" t="n"/>
      <c r="B275" s="5" t="str">
        <f>IF(A275="","",IFERROR(INDEX('جدول الجرد'!$A$2:$A$29,MATCH(A275,'جدول الجرد'!$B$2:$B$29,0)),""))</f>
        <v/>
      </c>
      <c r="C275" s="5" t="str">
        <f>IF(A275="","",IFERROR(INDEX('جدول الجرد'!$E$2:$E$29,MATCH(A275,'جدول الجرد'!$B$2:$B$29,0)),""))</f>
        <v/>
      </c>
      <c r="D275" s="4" t="n"/>
      <c r="E275" s="4" t="n"/>
      <c r="F275" s="4" t="n"/>
      <c r="G275" s="4" t="n"/>
      <c r="H275" s="5" t="str">
        <f>IF(E275="","",IF(AND(F275="نعم",G275="نعم"),"جرد + مراجعة",IF(F275="نعم","جرد فقط",IF(G275="نعم","مراجعة فقط",""))))</f>
        <v/>
      </c>
      <c r="I275" s="9">
        <f>IF(H275="جرد + مراجعة",الإعدادات!$B$2,IF(H275="مراجعة فقط",الإعدادات!$B$3,IF(H275="جرد فقط",الإعدادات!$B$4,0)))</f>
        <v>0</v>
      </c>
    </row>
    <row r="276">
      <c r="A276" s="4" t="n"/>
      <c r="B276" s="5" t="str">
        <f>IF(A276="","",IFERROR(INDEX('جدول الجرد'!$A$2:$A$29,MATCH(A276,'جدول الجرد'!$B$2:$B$29,0)),""))</f>
        <v/>
      </c>
      <c r="C276" s="5" t="str">
        <f>IF(A276="","",IFERROR(INDEX('جدول الجرد'!$E$2:$E$29,MATCH(A276,'جدول الجرد'!$B$2:$B$29,0)),""))</f>
        <v/>
      </c>
      <c r="D276" s="4" t="n"/>
      <c r="E276" s="4" t="n"/>
      <c r="F276" s="4" t="n"/>
      <c r="G276" s="4" t="n"/>
      <c r="H276" s="5" t="str">
        <f>IF(E276="","",IF(AND(F276="نعم",G276="نعم"),"جرد + مراجعة",IF(F276="نعم","جرد فقط",IF(G276="نعم","مراجعة فقط",""))))</f>
        <v/>
      </c>
      <c r="I276" s="9">
        <f>IF(H276="جرد + مراجعة",الإعدادات!$B$2,IF(H276="مراجعة فقط",الإعدادات!$B$3,IF(H276="جرد فقط",الإعدادات!$B$4,0)))</f>
        <v>0</v>
      </c>
    </row>
    <row r="277">
      <c r="A277" s="4" t="n"/>
      <c r="B277" s="5" t="str">
        <f>IF(A277="","",IFERROR(INDEX('جدول الجرد'!$A$2:$A$29,MATCH(A277,'جدول الجرد'!$B$2:$B$29,0)),""))</f>
        <v/>
      </c>
      <c r="C277" s="5" t="str">
        <f>IF(A277="","",IFERROR(INDEX('جدول الجرد'!$E$2:$E$29,MATCH(A277,'جدول الجرد'!$B$2:$B$29,0)),""))</f>
        <v/>
      </c>
      <c r="D277" s="4" t="n"/>
      <c r="E277" s="4" t="n"/>
      <c r="F277" s="4" t="n"/>
      <c r="G277" s="4" t="n"/>
      <c r="H277" s="5" t="str">
        <f>IF(E277="","",IF(AND(F277="نعم",G277="نعم"),"جرد + مراجعة",IF(F277="نعم","جرد فقط",IF(G277="نعم","مراجعة فقط",""))))</f>
        <v/>
      </c>
      <c r="I277" s="9">
        <f>IF(H277="جرد + مراجعة",الإعدادات!$B$2,IF(H277="مراجعة فقط",الإعدادات!$B$3,IF(H277="جرد فقط",الإعدادات!$B$4,0)))</f>
        <v>0</v>
      </c>
    </row>
    <row r="278">
      <c r="A278" s="4" t="n"/>
      <c r="B278" s="5" t="str">
        <f>IF(A278="","",IFERROR(INDEX('جدول الجرد'!$A$2:$A$29,MATCH(A278,'جدول الجرد'!$B$2:$B$29,0)),""))</f>
        <v/>
      </c>
      <c r="C278" s="5" t="str">
        <f>IF(A278="","",IFERROR(INDEX('جدول الجرد'!$E$2:$E$29,MATCH(A278,'جدول الجرد'!$B$2:$B$29,0)),""))</f>
        <v/>
      </c>
      <c r="D278" s="4" t="n"/>
      <c r="E278" s="4" t="n"/>
      <c r="F278" s="4" t="n"/>
      <c r="G278" s="4" t="n"/>
      <c r="H278" s="5" t="str">
        <f>IF(E278="","",IF(AND(F278="نعم",G278="نعم"),"جرد + مراجعة",IF(F278="نعم","جرد فقط",IF(G278="نعم","مراجعة فقط",""))))</f>
        <v/>
      </c>
      <c r="I278" s="9">
        <f>IF(H278="جرد + مراجعة",الإعدادات!$B$2,IF(H278="مراجعة فقط",الإعدادات!$B$3,IF(H278="جرد فقط",الإعدادات!$B$4,0)))</f>
        <v>0</v>
      </c>
    </row>
    <row r="279">
      <c r="A279" s="4" t="n"/>
      <c r="B279" s="5" t="str">
        <f>IF(A279="","",IFERROR(INDEX('جدول الجرد'!$A$2:$A$29,MATCH(A279,'جدول الجرد'!$B$2:$B$29,0)),""))</f>
        <v/>
      </c>
      <c r="C279" s="5" t="str">
        <f>IF(A279="","",IFERROR(INDEX('جدول الجرد'!$E$2:$E$29,MATCH(A279,'جدول الجرد'!$B$2:$B$29,0)),""))</f>
        <v/>
      </c>
      <c r="D279" s="4" t="n"/>
      <c r="E279" s="4" t="n"/>
      <c r="F279" s="4" t="n"/>
      <c r="G279" s="4" t="n"/>
      <c r="H279" s="5" t="str">
        <f>IF(E279="","",IF(AND(F279="نعم",G279="نعم"),"جرد + مراجعة",IF(F279="نعم","جرد فقط",IF(G279="نعم","مراجعة فقط",""))))</f>
        <v/>
      </c>
      <c r="I279" s="9">
        <f>IF(H279="جرد + مراجعة",الإعدادات!$B$2,IF(H279="مراجعة فقط",الإعدادات!$B$3,IF(H279="جرد فقط",الإعدادات!$B$4,0)))</f>
        <v>0</v>
      </c>
    </row>
    <row r="280">
      <c r="A280" s="4" t="n"/>
      <c r="B280" s="5" t="str">
        <f>IF(A280="","",IFERROR(INDEX('جدول الجرد'!$A$2:$A$29,MATCH(A280,'جدول الجرد'!$B$2:$B$29,0)),""))</f>
        <v/>
      </c>
      <c r="C280" s="5" t="str">
        <f>IF(A280="","",IFERROR(INDEX('جدول الجرد'!$E$2:$E$29,MATCH(A280,'جدول الجرد'!$B$2:$B$29,0)),""))</f>
        <v/>
      </c>
      <c r="D280" s="4" t="n"/>
      <c r="E280" s="4" t="n"/>
      <c r="F280" s="4" t="n"/>
      <c r="G280" s="4" t="n"/>
      <c r="H280" s="5" t="str">
        <f>IF(E280="","",IF(AND(F280="نعم",G280="نعم"),"جرد + مراجعة",IF(F280="نعم","جرد فقط",IF(G280="نعم","مراجعة فقط",""))))</f>
        <v/>
      </c>
      <c r="I280" s="9">
        <f>IF(H280="جرد + مراجعة",الإعدادات!$B$2,IF(H280="مراجعة فقط",الإعدادات!$B$3,IF(H280="جرد فقط",الإعدادات!$B$4,0)))</f>
        <v>0</v>
      </c>
    </row>
    <row r="281">
      <c r="A281" s="4" t="n"/>
      <c r="B281" s="5" t="str">
        <f>IF(A281="","",IFERROR(INDEX('جدول الجرد'!$A$2:$A$29,MATCH(A281,'جدول الجرد'!$B$2:$B$29,0)),""))</f>
        <v/>
      </c>
      <c r="C281" s="5" t="str">
        <f>IF(A281="","",IFERROR(INDEX('جدول الجرد'!$E$2:$E$29,MATCH(A281,'جدول الجرد'!$B$2:$B$29,0)),""))</f>
        <v/>
      </c>
      <c r="D281" s="4" t="n"/>
      <c r="E281" s="4" t="n"/>
      <c r="F281" s="4" t="n"/>
      <c r="G281" s="4" t="n"/>
      <c r="H281" s="5" t="str">
        <f>IF(E281="","",IF(AND(F281="نعم",G281="نعم"),"جرد + مراجعة",IF(F281="نعم","جرد فقط",IF(G281="نعم","مراجعة فقط",""))))</f>
        <v/>
      </c>
      <c r="I281" s="9">
        <f>IF(H281="جرد + مراجعة",الإعدادات!$B$2,IF(H281="مراجعة فقط",الإعدادات!$B$3,IF(H281="جرد فقط",الإعدادات!$B$4,0)))</f>
        <v>0</v>
      </c>
    </row>
    <row r="282">
      <c r="A282" s="4" t="n"/>
      <c r="B282" s="5" t="str">
        <f>IF(A282="","",IFERROR(INDEX('جدول الجرد'!$A$2:$A$29,MATCH(A282,'جدول الجرد'!$B$2:$B$29,0)),""))</f>
        <v/>
      </c>
      <c r="C282" s="5" t="str">
        <f>IF(A282="","",IFERROR(INDEX('جدول الجرد'!$E$2:$E$29,MATCH(A282,'جدول الجرد'!$B$2:$B$29,0)),""))</f>
        <v/>
      </c>
      <c r="D282" s="4" t="n"/>
      <c r="E282" s="4" t="n"/>
      <c r="F282" s="4" t="n"/>
      <c r="G282" s="4" t="n"/>
      <c r="H282" s="5" t="str">
        <f>IF(E282="","",IF(AND(F282="نعم",G282="نعم"),"جرد + مراجعة",IF(F282="نعم","جرد فقط",IF(G282="نعم","مراجعة فقط",""))))</f>
        <v/>
      </c>
      <c r="I282" s="9">
        <f>IF(H282="جرد + مراجعة",الإعدادات!$B$2,IF(H282="مراجعة فقط",الإعدادات!$B$3,IF(H282="جرد فقط",الإعدادات!$B$4,0)))</f>
        <v>0</v>
      </c>
    </row>
    <row r="283">
      <c r="A283" s="4" t="n"/>
      <c r="B283" s="5" t="str">
        <f>IF(A283="","",IFERROR(INDEX('جدول الجرد'!$A$2:$A$29,MATCH(A283,'جدول الجرد'!$B$2:$B$29,0)),""))</f>
        <v/>
      </c>
      <c r="C283" s="5" t="str">
        <f>IF(A283="","",IFERROR(INDEX('جدول الجرد'!$E$2:$E$29,MATCH(A283,'جدول الجرد'!$B$2:$B$29,0)),""))</f>
        <v/>
      </c>
      <c r="D283" s="4" t="n"/>
      <c r="E283" s="4" t="n"/>
      <c r="F283" s="4" t="n"/>
      <c r="G283" s="4" t="n"/>
      <c r="H283" s="5" t="str">
        <f>IF(E283="","",IF(AND(F283="نعم",G283="نعم"),"جرد + مراجعة",IF(F283="نعم","جرد فقط",IF(G283="نعم","مراجعة فقط",""))))</f>
        <v/>
      </c>
      <c r="I283" s="9">
        <f>IF(H283="جرد + مراجعة",الإعدادات!$B$2,IF(H283="مراجعة فقط",الإعدادات!$B$3,IF(H283="جرد فقط",الإعدادات!$B$4,0)))</f>
        <v>0</v>
      </c>
    </row>
    <row r="284">
      <c r="A284" s="4" t="n"/>
      <c r="B284" s="5" t="str">
        <f>IF(A284="","",IFERROR(INDEX('جدول الجرد'!$A$2:$A$29,MATCH(A284,'جدول الجرد'!$B$2:$B$29,0)),""))</f>
        <v/>
      </c>
      <c r="C284" s="5" t="str">
        <f>IF(A284="","",IFERROR(INDEX('جدول الجرد'!$E$2:$E$29,MATCH(A284,'جدول الجرد'!$B$2:$B$29,0)),""))</f>
        <v/>
      </c>
      <c r="D284" s="4" t="n"/>
      <c r="E284" s="4" t="n"/>
      <c r="F284" s="4" t="n"/>
      <c r="G284" s="4" t="n"/>
      <c r="H284" s="5" t="str">
        <f>IF(E284="","",IF(AND(F284="نعم",G284="نعم"),"جرد + مراجعة",IF(F284="نعم","جرد فقط",IF(G284="نعم","مراجعة فقط",""))))</f>
        <v/>
      </c>
      <c r="I284" s="9">
        <f>IF(H284="جرد + مراجعة",الإعدادات!$B$2,IF(H284="مراجعة فقط",الإعدادات!$B$3,IF(H284="جرد فقط",الإعدادات!$B$4,0)))</f>
        <v>0</v>
      </c>
    </row>
    <row r="285">
      <c r="A285" s="4" t="n"/>
      <c r="B285" s="5" t="str">
        <f>IF(A285="","",IFERROR(INDEX('جدول الجرد'!$A$2:$A$29,MATCH(A285,'جدول الجرد'!$B$2:$B$29,0)),""))</f>
        <v/>
      </c>
      <c r="C285" s="5" t="str">
        <f>IF(A285="","",IFERROR(INDEX('جدول الجرد'!$E$2:$E$29,MATCH(A285,'جدول الجرد'!$B$2:$B$29,0)),""))</f>
        <v/>
      </c>
      <c r="D285" s="4" t="n"/>
      <c r="E285" s="4" t="n"/>
      <c r="F285" s="4" t="n"/>
      <c r="G285" s="4" t="n"/>
      <c r="H285" s="5" t="str">
        <f>IF(E285="","",IF(AND(F285="نعم",G285="نعم"),"جرد + مراجعة",IF(F285="نعم","جرد فقط",IF(G285="نعم","مراجعة فقط",""))))</f>
        <v/>
      </c>
      <c r="I285" s="9">
        <f>IF(H285="جرد + مراجعة",الإعدادات!$B$2,IF(H285="مراجعة فقط",الإعدادات!$B$3,IF(H285="جرد فقط",الإعدادات!$B$4,0)))</f>
        <v>0</v>
      </c>
    </row>
    <row r="286">
      <c r="A286" s="4" t="n"/>
      <c r="B286" s="5" t="str">
        <f>IF(A286="","",IFERROR(INDEX('جدول الجرد'!$A$2:$A$29,MATCH(A286,'جدول الجرد'!$B$2:$B$29,0)),""))</f>
        <v/>
      </c>
      <c r="C286" s="5" t="str">
        <f>IF(A286="","",IFERROR(INDEX('جدول الجرد'!$E$2:$E$29,MATCH(A286,'جدول الجرد'!$B$2:$B$29,0)),""))</f>
        <v/>
      </c>
      <c r="D286" s="4" t="n"/>
      <c r="E286" s="4" t="n"/>
      <c r="F286" s="4" t="n"/>
      <c r="G286" s="4" t="n"/>
      <c r="H286" s="5" t="str">
        <f>IF(E286="","",IF(AND(F286="نعم",G286="نعم"),"جرد + مراجعة",IF(F286="نعم","جرد فقط",IF(G286="نعم","مراجعة فقط",""))))</f>
        <v/>
      </c>
      <c r="I286" s="9">
        <f>IF(H286="جرد + مراجعة",الإعدادات!$B$2,IF(H286="مراجعة فقط",الإعدادات!$B$3,IF(H286="جرد فقط",الإعدادات!$B$4,0)))</f>
        <v>0</v>
      </c>
    </row>
    <row r="287">
      <c r="A287" s="4" t="n"/>
      <c r="B287" s="5" t="str">
        <f>IF(A287="","",IFERROR(INDEX('جدول الجرد'!$A$2:$A$29,MATCH(A287,'جدول الجرد'!$B$2:$B$29,0)),""))</f>
        <v/>
      </c>
      <c r="C287" s="5" t="str">
        <f>IF(A287="","",IFERROR(INDEX('جدول الجرد'!$E$2:$E$29,MATCH(A287,'جدول الجرد'!$B$2:$B$29,0)),""))</f>
        <v/>
      </c>
      <c r="D287" s="4" t="n"/>
      <c r="E287" s="4" t="n"/>
      <c r="F287" s="4" t="n"/>
      <c r="G287" s="4" t="n"/>
      <c r="H287" s="5" t="str">
        <f>IF(E287="","",IF(AND(F287="نعم",G287="نعم"),"جرد + مراجعة",IF(F287="نعم","جرد فقط",IF(G287="نعم","مراجعة فقط",""))))</f>
        <v/>
      </c>
      <c r="I287" s="9">
        <f>IF(H287="جرد + مراجعة",الإعدادات!$B$2,IF(H287="مراجعة فقط",الإعدادات!$B$3,IF(H287="جرد فقط",الإعدادات!$B$4,0)))</f>
        <v>0</v>
      </c>
    </row>
    <row r="288">
      <c r="A288" s="4" t="n"/>
      <c r="B288" s="5" t="str">
        <f>IF(A288="","",IFERROR(INDEX('جدول الجرد'!$A$2:$A$29,MATCH(A288,'جدول الجرد'!$B$2:$B$29,0)),""))</f>
        <v/>
      </c>
      <c r="C288" s="5" t="str">
        <f>IF(A288="","",IFERROR(INDEX('جدول الجرد'!$E$2:$E$29,MATCH(A288,'جدول الجرد'!$B$2:$B$29,0)),""))</f>
        <v/>
      </c>
      <c r="D288" s="4" t="n"/>
      <c r="E288" s="4" t="n"/>
      <c r="F288" s="4" t="n"/>
      <c r="G288" s="4" t="n"/>
      <c r="H288" s="5" t="str">
        <f>IF(E288="","",IF(AND(F288="نعم",G288="نعم"),"جرد + مراجعة",IF(F288="نعم","جرد فقط",IF(G288="نعم","مراجعة فقط",""))))</f>
        <v/>
      </c>
      <c r="I288" s="9">
        <f>IF(H288="جرد + مراجعة",الإعدادات!$B$2,IF(H288="مراجعة فقط",الإعدادات!$B$3,IF(H288="جرد فقط",الإعدادات!$B$4,0)))</f>
        <v>0</v>
      </c>
    </row>
    <row r="289">
      <c r="A289" s="4" t="n"/>
      <c r="B289" s="5" t="str">
        <f>IF(A289="","",IFERROR(INDEX('جدول الجرد'!$A$2:$A$29,MATCH(A289,'جدول الجرد'!$B$2:$B$29,0)),""))</f>
        <v/>
      </c>
      <c r="C289" s="5" t="str">
        <f>IF(A289="","",IFERROR(INDEX('جدول الجرد'!$E$2:$E$29,MATCH(A289,'جدول الجرد'!$B$2:$B$29,0)),""))</f>
        <v/>
      </c>
      <c r="D289" s="4" t="n"/>
      <c r="E289" s="4" t="n"/>
      <c r="F289" s="4" t="n"/>
      <c r="G289" s="4" t="n"/>
      <c r="H289" s="5" t="str">
        <f>IF(E289="","",IF(AND(F289="نعم",G289="نعم"),"جرد + مراجعة",IF(F289="نعم","جرد فقط",IF(G289="نعم","مراجعة فقط",""))))</f>
        <v/>
      </c>
      <c r="I289" s="9">
        <f>IF(H289="جرد + مراجعة",الإعدادات!$B$2,IF(H289="مراجعة فقط",الإعدادات!$B$3,IF(H289="جرد فقط",الإعدادات!$B$4,0)))</f>
        <v>0</v>
      </c>
    </row>
    <row r="290">
      <c r="A290" s="4" t="n"/>
      <c r="B290" s="5" t="str">
        <f>IF(A290="","",IFERROR(INDEX('جدول الجرد'!$A$2:$A$29,MATCH(A290,'جدول الجرد'!$B$2:$B$29,0)),""))</f>
        <v/>
      </c>
      <c r="C290" s="5" t="str">
        <f>IF(A290="","",IFERROR(INDEX('جدول الجرد'!$E$2:$E$29,MATCH(A290,'جدول الجرد'!$B$2:$B$29,0)),""))</f>
        <v/>
      </c>
      <c r="D290" s="4" t="n"/>
      <c r="E290" s="4" t="n"/>
      <c r="F290" s="4" t="n"/>
      <c r="G290" s="4" t="n"/>
      <c r="H290" s="5" t="str">
        <f>IF(E290="","",IF(AND(F290="نعم",G290="نعم"),"جرد + مراجعة",IF(F290="نعم","جرد فقط",IF(G290="نعم","مراجعة فقط",""))))</f>
        <v/>
      </c>
      <c r="I290" s="9">
        <f>IF(H290="جرد + مراجعة",الإعدادات!$B$2,IF(H290="مراجعة فقط",الإعدادات!$B$3,IF(H290="جرد فقط",الإعدادات!$B$4,0)))</f>
        <v>0</v>
      </c>
    </row>
    <row r="291">
      <c r="A291" s="4" t="n"/>
      <c r="B291" s="5" t="str">
        <f>IF(A291="","",IFERROR(INDEX('جدول الجرد'!$A$2:$A$29,MATCH(A291,'جدول الجرد'!$B$2:$B$29,0)),""))</f>
        <v/>
      </c>
      <c r="C291" s="5" t="str">
        <f>IF(A291="","",IFERROR(INDEX('جدول الجرد'!$E$2:$E$29,MATCH(A291,'جدول الجرد'!$B$2:$B$29,0)),""))</f>
        <v/>
      </c>
      <c r="D291" s="4" t="n"/>
      <c r="E291" s="4" t="n"/>
      <c r="F291" s="4" t="n"/>
      <c r="G291" s="4" t="n"/>
      <c r="H291" s="5" t="str">
        <f>IF(E291="","",IF(AND(F291="نعم",G291="نعم"),"جرد + مراجعة",IF(F291="نعم","جرد فقط",IF(G291="نعم","مراجعة فقط",""))))</f>
        <v/>
      </c>
      <c r="I291" s="9">
        <f>IF(H291="جرد + مراجعة",الإعدادات!$B$2,IF(H291="مراجعة فقط",الإعدادات!$B$3,IF(H291="جرد فقط",الإعدادات!$B$4,0)))</f>
        <v>0</v>
      </c>
    </row>
    <row r="292">
      <c r="A292" s="4" t="n"/>
      <c r="B292" s="5" t="str">
        <f>IF(A292="","",IFERROR(INDEX('جدول الجرد'!$A$2:$A$29,MATCH(A292,'جدول الجرد'!$B$2:$B$29,0)),""))</f>
        <v/>
      </c>
      <c r="C292" s="5" t="str">
        <f>IF(A292="","",IFERROR(INDEX('جدول الجرد'!$E$2:$E$29,MATCH(A292,'جدول الجرد'!$B$2:$B$29,0)),""))</f>
        <v/>
      </c>
      <c r="D292" s="4" t="n"/>
      <c r="E292" s="4" t="n"/>
      <c r="F292" s="4" t="n"/>
      <c r="G292" s="4" t="n"/>
      <c r="H292" s="5" t="str">
        <f>IF(E292="","",IF(AND(F292="نعم",G292="نعم"),"جرد + مراجعة",IF(F292="نعم","جرد فقط",IF(G292="نعم","مراجعة فقط",""))))</f>
        <v/>
      </c>
      <c r="I292" s="9">
        <f>IF(H292="جرد + مراجعة",الإعدادات!$B$2,IF(H292="مراجعة فقط",الإعدادات!$B$3,IF(H292="جرد فقط",الإعدادات!$B$4,0)))</f>
        <v>0</v>
      </c>
    </row>
    <row r="293">
      <c r="A293" s="4" t="n"/>
      <c r="B293" s="5" t="str">
        <f>IF(A293="","",IFERROR(INDEX('جدول الجرد'!$A$2:$A$29,MATCH(A293,'جدول الجرد'!$B$2:$B$29,0)),""))</f>
        <v/>
      </c>
      <c r="C293" s="5" t="str">
        <f>IF(A293="","",IFERROR(INDEX('جدول الجرد'!$E$2:$E$29,MATCH(A293,'جدول الجرد'!$B$2:$B$29,0)),""))</f>
        <v/>
      </c>
      <c r="D293" s="4" t="n"/>
      <c r="E293" s="4" t="n"/>
      <c r="F293" s="4" t="n"/>
      <c r="G293" s="4" t="n"/>
      <c r="H293" s="5" t="str">
        <f>IF(E293="","",IF(AND(F293="نعم",G293="نعم"),"جرد + مراجعة",IF(F293="نعم","جرد فقط",IF(G293="نعم","مراجعة فقط",""))))</f>
        <v/>
      </c>
      <c r="I293" s="9">
        <f>IF(H293="جرد + مراجعة",الإعدادات!$B$2,IF(H293="مراجعة فقط",الإعدادات!$B$3,IF(H293="جرد فقط",الإعدادات!$B$4,0)))</f>
        <v>0</v>
      </c>
    </row>
    <row r="294">
      <c r="A294" s="4" t="n"/>
      <c r="B294" s="5" t="str">
        <f>IF(A294="","",IFERROR(INDEX('جدول الجرد'!$A$2:$A$29,MATCH(A294,'جدول الجرد'!$B$2:$B$29,0)),""))</f>
        <v/>
      </c>
      <c r="C294" s="5" t="str">
        <f>IF(A294="","",IFERROR(INDEX('جدول الجرد'!$E$2:$E$29,MATCH(A294,'جدول الجرد'!$B$2:$B$29,0)),""))</f>
        <v/>
      </c>
      <c r="D294" s="4" t="n"/>
      <c r="E294" s="4" t="n"/>
      <c r="F294" s="4" t="n"/>
      <c r="G294" s="4" t="n"/>
      <c r="H294" s="5" t="str">
        <f>IF(E294="","",IF(AND(F294="نعم",G294="نعم"),"جرد + مراجعة",IF(F294="نعم","جرد فقط",IF(G294="نعم","مراجعة فقط",""))))</f>
        <v/>
      </c>
      <c r="I294" s="9">
        <f>IF(H294="جرد + مراجعة",الإعدادات!$B$2,IF(H294="مراجعة فقط",الإعدادات!$B$3,IF(H294="جرد فقط",الإعدادات!$B$4,0)))</f>
        <v>0</v>
      </c>
    </row>
    <row r="295">
      <c r="A295" s="4" t="n"/>
      <c r="B295" s="5" t="str">
        <f>IF(A295="","",IFERROR(INDEX('جدول الجرد'!$A$2:$A$29,MATCH(A295,'جدول الجرد'!$B$2:$B$29,0)),""))</f>
        <v/>
      </c>
      <c r="C295" s="5" t="str">
        <f>IF(A295="","",IFERROR(INDEX('جدول الجرد'!$E$2:$E$29,MATCH(A295,'جدول الجرد'!$B$2:$B$29,0)),""))</f>
        <v/>
      </c>
      <c r="D295" s="4" t="n"/>
      <c r="E295" s="4" t="n"/>
      <c r="F295" s="4" t="n"/>
      <c r="G295" s="4" t="n"/>
      <c r="H295" s="5" t="str">
        <f>IF(E295="","",IF(AND(F295="نعم",G295="نعم"),"جرد + مراجعة",IF(F295="نعم","جرد فقط",IF(G295="نعم","مراجعة فقط",""))))</f>
        <v/>
      </c>
      <c r="I295" s="9">
        <f>IF(H295="جرد + مراجعة",الإعدادات!$B$2,IF(H295="مراجعة فقط",الإعدادات!$B$3,IF(H295="جرد فقط",الإعدادات!$B$4,0)))</f>
        <v>0</v>
      </c>
    </row>
    <row r="296">
      <c r="A296" s="4" t="n"/>
      <c r="B296" s="5" t="str">
        <f>IF(A296="","",IFERROR(INDEX('جدول الجرد'!$A$2:$A$29,MATCH(A296,'جدول الجرد'!$B$2:$B$29,0)),""))</f>
        <v/>
      </c>
      <c r="C296" s="5" t="str">
        <f>IF(A296="","",IFERROR(INDEX('جدول الجرد'!$E$2:$E$29,MATCH(A296,'جدول الجرد'!$B$2:$B$29,0)),""))</f>
        <v/>
      </c>
      <c r="D296" s="4" t="n"/>
      <c r="E296" s="4" t="n"/>
      <c r="F296" s="4" t="n"/>
      <c r="G296" s="4" t="n"/>
      <c r="H296" s="5" t="str">
        <f>IF(E296="","",IF(AND(F296="نعم",G296="نعم"),"جرد + مراجعة",IF(F296="نعم","جرد فقط",IF(G296="نعم","مراجعة فقط",""))))</f>
        <v/>
      </c>
      <c r="I296" s="9">
        <f>IF(H296="جرد + مراجعة",الإعدادات!$B$2,IF(H296="مراجعة فقط",الإعدادات!$B$3,IF(H296="جرد فقط",الإعدادات!$B$4,0)))</f>
        <v>0</v>
      </c>
    </row>
    <row r="297">
      <c r="A297" s="4" t="n"/>
      <c r="B297" s="5" t="str">
        <f>IF(A297="","",IFERROR(INDEX('جدول الجرد'!$A$2:$A$29,MATCH(A297,'جدول الجرد'!$B$2:$B$29,0)),""))</f>
        <v/>
      </c>
      <c r="C297" s="5" t="str">
        <f>IF(A297="","",IFERROR(INDEX('جدول الجرد'!$E$2:$E$29,MATCH(A297,'جدول الجرد'!$B$2:$B$29,0)),""))</f>
        <v/>
      </c>
      <c r="D297" s="4" t="n"/>
      <c r="E297" s="4" t="n"/>
      <c r="F297" s="4" t="n"/>
      <c r="G297" s="4" t="n"/>
      <c r="H297" s="5" t="str">
        <f>IF(E297="","",IF(AND(F297="نعم",G297="نعم"),"جرد + مراجعة",IF(F297="نعم","جرد فقط",IF(G297="نعم","مراجعة فقط",""))))</f>
        <v/>
      </c>
      <c r="I297" s="9">
        <f>IF(H297="جرد + مراجعة",الإعدادات!$B$2,IF(H297="مراجعة فقط",الإعدادات!$B$3,IF(H297="جرد فقط",الإعدادات!$B$4,0)))</f>
        <v>0</v>
      </c>
    </row>
    <row r="298">
      <c r="A298" s="4" t="n"/>
      <c r="B298" s="5" t="str">
        <f>IF(A298="","",IFERROR(INDEX('جدول الجرد'!$A$2:$A$29,MATCH(A298,'جدول الجرد'!$B$2:$B$29,0)),""))</f>
        <v/>
      </c>
      <c r="C298" s="5" t="str">
        <f>IF(A298="","",IFERROR(INDEX('جدول الجرد'!$E$2:$E$29,MATCH(A298,'جدول الجرد'!$B$2:$B$29,0)),""))</f>
        <v/>
      </c>
      <c r="D298" s="4" t="n"/>
      <c r="E298" s="4" t="n"/>
      <c r="F298" s="4" t="n"/>
      <c r="G298" s="4" t="n"/>
      <c r="H298" s="5" t="str">
        <f>IF(E298="","",IF(AND(F298="نعم",G298="نعم"),"جرد + مراجعة",IF(F298="نعم","جرد فقط",IF(G298="نعم","مراجعة فقط",""))))</f>
        <v/>
      </c>
      <c r="I298" s="9">
        <f>IF(H298="جرد + مراجعة",الإعدادات!$B$2,IF(H298="مراجعة فقط",الإعدادات!$B$3,IF(H298="جرد فقط",الإعدادات!$B$4,0)))</f>
        <v>0</v>
      </c>
    </row>
    <row r="299">
      <c r="A299" s="4" t="n"/>
      <c r="B299" s="5" t="str">
        <f>IF(A299="","",IFERROR(INDEX('جدول الجرد'!$A$2:$A$29,MATCH(A299,'جدول الجرد'!$B$2:$B$29,0)),""))</f>
        <v/>
      </c>
      <c r="C299" s="5" t="str">
        <f>IF(A299="","",IFERROR(INDEX('جدول الجرد'!$E$2:$E$29,MATCH(A299,'جدول الجرد'!$B$2:$B$29,0)),""))</f>
        <v/>
      </c>
      <c r="D299" s="4" t="n"/>
      <c r="E299" s="4" t="n"/>
      <c r="F299" s="4" t="n"/>
      <c r="G299" s="4" t="n"/>
      <c r="H299" s="5" t="str">
        <f>IF(E299="","",IF(AND(F299="نعم",G299="نعم"),"جرد + مراجعة",IF(F299="نعم","جرد فقط",IF(G299="نعم","مراجعة فقط",""))))</f>
        <v/>
      </c>
      <c r="I299" s="9">
        <f>IF(H299="جرد + مراجعة",الإعدادات!$B$2,IF(H299="مراجعة فقط",الإعدادات!$B$3,IF(H299="جرد فقط",الإعدادات!$B$4,0)))</f>
        <v>0</v>
      </c>
    </row>
    <row r="300">
      <c r="A300" s="4" t="n"/>
      <c r="B300" s="5" t="str">
        <f>IF(A300="","",IFERROR(INDEX('جدول الجرد'!$A$2:$A$29,MATCH(A300,'جدول الجرد'!$B$2:$B$29,0)),""))</f>
        <v/>
      </c>
      <c r="C300" s="5" t="str">
        <f>IF(A300="","",IFERROR(INDEX('جدول الجرد'!$E$2:$E$29,MATCH(A300,'جدول الجرد'!$B$2:$B$29,0)),""))</f>
        <v/>
      </c>
      <c r="D300" s="4" t="n"/>
      <c r="E300" s="4" t="n"/>
      <c r="F300" s="4" t="n"/>
      <c r="G300" s="4" t="n"/>
      <c r="H300" s="5" t="str">
        <f>IF(E300="","",IF(AND(F300="نعم",G300="نعم"),"جرد + مراجعة",IF(F300="نعم","جرد فقط",IF(G300="نعم","مراجعة فقط",""))))</f>
        <v/>
      </c>
      <c r="I300" s="9">
        <f>IF(H300="جرد + مراجعة",الإعدادات!$B$2,IF(H300="مراجعة فقط",الإعدادات!$B$3,IF(H300="جرد فقط",الإعدادات!$B$4,0)))</f>
        <v>0</v>
      </c>
    </row>
    <row r="301">
      <c r="A301" s="4" t="n"/>
      <c r="B301" s="5" t="str">
        <f>IF(A301="","",IFERROR(INDEX('جدول الجرد'!$A$2:$A$29,MATCH(A301,'جدول الجرد'!$B$2:$B$29,0)),""))</f>
        <v/>
      </c>
      <c r="C301" s="5" t="str">
        <f>IF(A301="","",IFERROR(INDEX('جدول الجرد'!$E$2:$E$29,MATCH(A301,'جدول الجرد'!$B$2:$B$29,0)),""))</f>
        <v/>
      </c>
      <c r="D301" s="4" t="n"/>
      <c r="E301" s="4" t="n"/>
      <c r="F301" s="4" t="n"/>
      <c r="G301" s="4" t="n"/>
      <c r="H301" s="5" t="str">
        <f>IF(E301="","",IF(AND(F301="نعم",G301="نعم"),"جرد + مراجعة",IF(F301="نعم","جرد فقط",IF(G301="نعم","مراجعة فقط",""))))</f>
        <v/>
      </c>
      <c r="I301" s="9">
        <f>IF(H301="جرد + مراجعة",الإعدادات!$B$2,IF(H301="مراجعة فقط",الإعدادات!$B$3,IF(H301="جرد فقط",الإعدادات!$B$4,0)))</f>
        <v>0</v>
      </c>
    </row>
    <row r="302">
      <c r="A302" s="4" t="n"/>
      <c r="B302" s="5" t="str">
        <f>IF(A302="","",IFERROR(INDEX('جدول الجرد'!$A$2:$A$29,MATCH(A302,'جدول الجرد'!$B$2:$B$29,0)),""))</f>
        <v/>
      </c>
      <c r="C302" s="5" t="str">
        <f>IF(A302="","",IFERROR(INDEX('جدول الجرد'!$E$2:$E$29,MATCH(A302,'جدول الجرد'!$B$2:$B$29,0)),""))</f>
        <v/>
      </c>
      <c r="D302" s="4" t="n"/>
      <c r="E302" s="4" t="n"/>
      <c r="F302" s="4" t="n"/>
      <c r="G302" s="4" t="n"/>
      <c r="H302" s="5" t="str">
        <f>IF(E302="","",IF(AND(F302="نعم",G302="نعم"),"جرد + مراجعة",IF(F302="نعم","جرد فقط",IF(G302="نعم","مراجعة فقط",""))))</f>
        <v/>
      </c>
      <c r="I302" s="9">
        <f>IF(H302="جرد + مراجعة",الإعدادات!$B$2,IF(H302="مراجعة فقط",الإعدادات!$B$3,IF(H302="جرد فقط",الإعدادات!$B$4,0)))</f>
        <v>0</v>
      </c>
    </row>
    <row r="303">
      <c r="A303" s="4" t="n"/>
      <c r="B303" s="5" t="str">
        <f>IF(A303="","",IFERROR(INDEX('جدول الجرد'!$A$2:$A$29,MATCH(A303,'جدول الجرد'!$B$2:$B$29,0)),""))</f>
        <v/>
      </c>
      <c r="C303" s="5" t="str">
        <f>IF(A303="","",IFERROR(INDEX('جدول الجرد'!$E$2:$E$29,MATCH(A303,'جدول الجرد'!$B$2:$B$29,0)),""))</f>
        <v/>
      </c>
      <c r="D303" s="4" t="n"/>
      <c r="E303" s="4" t="n"/>
      <c r="F303" s="4" t="n"/>
      <c r="G303" s="4" t="n"/>
      <c r="H303" s="5" t="str">
        <f>IF(E303="","",IF(AND(F303="نعم",G303="نعم"),"جرد + مراجعة",IF(F303="نعم","جرد فقط",IF(G303="نعم","مراجعة فقط",""))))</f>
        <v/>
      </c>
      <c r="I303" s="9">
        <f>IF(H303="جرد + مراجعة",الإعدادات!$B$2,IF(H303="مراجعة فقط",الإعدادات!$B$3,IF(H303="جرد فقط",الإعدادات!$B$4,0)))</f>
        <v>0</v>
      </c>
    </row>
    <row r="304">
      <c r="A304" s="4" t="n"/>
      <c r="B304" s="5" t="str">
        <f>IF(A304="","",IFERROR(INDEX('جدول الجرد'!$A$2:$A$29,MATCH(A304,'جدول الجرد'!$B$2:$B$29,0)),""))</f>
        <v/>
      </c>
      <c r="C304" s="5" t="str">
        <f>IF(A304="","",IFERROR(INDEX('جدول الجرد'!$E$2:$E$29,MATCH(A304,'جدول الجرد'!$B$2:$B$29,0)),""))</f>
        <v/>
      </c>
      <c r="D304" s="4" t="n"/>
      <c r="E304" s="4" t="n"/>
      <c r="F304" s="4" t="n"/>
      <c r="G304" s="4" t="n"/>
      <c r="H304" s="5" t="str">
        <f>IF(E304="","",IF(AND(F304="نعم",G304="نعم"),"جرد + مراجعة",IF(F304="نعم","جرد فقط",IF(G304="نعم","مراجعة فقط",""))))</f>
        <v/>
      </c>
      <c r="I304" s="9">
        <f>IF(H304="جرد + مراجعة",الإعدادات!$B$2,IF(H304="مراجعة فقط",الإعدادات!$B$3,IF(H304="جرد فقط",الإعدادات!$B$4,0)))</f>
        <v>0</v>
      </c>
    </row>
    <row r="305">
      <c r="A305" s="4" t="n"/>
      <c r="B305" s="5" t="str">
        <f>IF(A305="","",IFERROR(INDEX('جدول الجرد'!$A$2:$A$29,MATCH(A305,'جدول الجرد'!$B$2:$B$29,0)),""))</f>
        <v/>
      </c>
      <c r="C305" s="5" t="str">
        <f>IF(A305="","",IFERROR(INDEX('جدول الجرد'!$E$2:$E$29,MATCH(A305,'جدول الجرد'!$B$2:$B$29,0)),""))</f>
        <v/>
      </c>
      <c r="D305" s="4" t="n"/>
      <c r="E305" s="4" t="n"/>
      <c r="F305" s="4" t="n"/>
      <c r="G305" s="4" t="n"/>
      <c r="H305" s="5" t="str">
        <f>IF(E305="","",IF(AND(F305="نعم",G305="نعم"),"جرد + مراجعة",IF(F305="نعم","جرد فقط",IF(G305="نعم","مراجعة فقط",""))))</f>
        <v/>
      </c>
      <c r="I305" s="9">
        <f>IF(H305="جرد + مراجعة",الإعدادات!$B$2,IF(H305="مراجعة فقط",الإعدادات!$B$3,IF(H305="جرد فقط",الإعدادات!$B$4,0)))</f>
        <v>0</v>
      </c>
    </row>
    <row r="306">
      <c r="A306" s="4" t="n"/>
      <c r="B306" s="5" t="str">
        <f>IF(A306="","",IFERROR(INDEX('جدول الجرد'!$A$2:$A$29,MATCH(A306,'جدول الجرد'!$B$2:$B$29,0)),""))</f>
        <v/>
      </c>
      <c r="C306" s="5" t="str">
        <f>IF(A306="","",IFERROR(INDEX('جدول الجرد'!$E$2:$E$29,MATCH(A306,'جدول الجرد'!$B$2:$B$29,0)),""))</f>
        <v/>
      </c>
      <c r="D306" s="4" t="n"/>
      <c r="E306" s="4" t="n"/>
      <c r="F306" s="4" t="n"/>
      <c r="G306" s="4" t="n"/>
      <c r="H306" s="5" t="str">
        <f>IF(E306="","",IF(AND(F306="نعم",G306="نعم"),"جرد + مراجعة",IF(F306="نعم","جرد فقط",IF(G306="نعم","مراجعة فقط",""))))</f>
        <v/>
      </c>
      <c r="I306" s="9">
        <f>IF(H306="جرد + مراجعة",الإعدادات!$B$2,IF(H306="مراجعة فقط",الإعدادات!$B$3,IF(H306="جرد فقط",الإعدادات!$B$4,0)))</f>
        <v>0</v>
      </c>
    </row>
    <row r="307">
      <c r="A307" s="4" t="n"/>
      <c r="B307" s="5" t="str">
        <f>IF(A307="","",IFERROR(INDEX('جدول الجرد'!$A$2:$A$29,MATCH(A307,'جدول الجرد'!$B$2:$B$29,0)),""))</f>
        <v/>
      </c>
      <c r="C307" s="5" t="str">
        <f>IF(A307="","",IFERROR(INDEX('جدول الجرد'!$E$2:$E$29,MATCH(A307,'جدول الجرد'!$B$2:$B$29,0)),""))</f>
        <v/>
      </c>
      <c r="D307" s="4" t="n"/>
      <c r="E307" s="4" t="n"/>
      <c r="F307" s="4" t="n"/>
      <c r="G307" s="4" t="n"/>
      <c r="H307" s="5" t="str">
        <f>IF(E307="","",IF(AND(F307="نعم",G307="نعم"),"جرد + مراجعة",IF(F307="نعم","جرد فقط",IF(G307="نعم","مراجعة فقط",""))))</f>
        <v/>
      </c>
      <c r="I307" s="9">
        <f>IF(H307="جرد + مراجعة",الإعدادات!$B$2,IF(H307="مراجعة فقط",الإعدادات!$B$3,IF(H307="جرد فقط",الإعدادات!$B$4,0)))</f>
        <v>0</v>
      </c>
    </row>
    <row r="308">
      <c r="A308" s="4" t="n"/>
      <c r="B308" s="5" t="str">
        <f>IF(A308="","",IFERROR(INDEX('جدول الجرد'!$A$2:$A$29,MATCH(A308,'جدول الجرد'!$B$2:$B$29,0)),""))</f>
        <v/>
      </c>
      <c r="C308" s="5" t="str">
        <f>IF(A308="","",IFERROR(INDEX('جدول الجرد'!$E$2:$E$29,MATCH(A308,'جدول الجرد'!$B$2:$B$29,0)),""))</f>
        <v/>
      </c>
      <c r="D308" s="4" t="n"/>
      <c r="E308" s="4" t="n"/>
      <c r="F308" s="4" t="n"/>
      <c r="G308" s="4" t="n"/>
      <c r="H308" s="5" t="str">
        <f>IF(E308="","",IF(AND(F308="نعم",G308="نعم"),"جرد + مراجعة",IF(F308="نعم","جرد فقط",IF(G308="نعم","مراجعة فقط",""))))</f>
        <v/>
      </c>
      <c r="I308" s="9">
        <f>IF(H308="جرد + مراجعة",الإعدادات!$B$2,IF(H308="مراجعة فقط",الإعدادات!$B$3,IF(H308="جرد فقط",الإعدادات!$B$4,0)))</f>
        <v>0</v>
      </c>
    </row>
    <row r="309">
      <c r="A309" s="4" t="n"/>
      <c r="B309" s="5" t="str">
        <f>IF(A309="","",IFERROR(INDEX('جدول الجرد'!$A$2:$A$29,MATCH(A309,'جدول الجرد'!$B$2:$B$29,0)),""))</f>
        <v/>
      </c>
      <c r="C309" s="5" t="str">
        <f>IF(A309="","",IFERROR(INDEX('جدول الجرد'!$E$2:$E$29,MATCH(A309,'جدول الجرد'!$B$2:$B$29,0)),""))</f>
        <v/>
      </c>
      <c r="D309" s="4" t="n"/>
      <c r="E309" s="4" t="n"/>
      <c r="F309" s="4" t="n"/>
      <c r="G309" s="4" t="n"/>
      <c r="H309" s="5" t="str">
        <f>IF(E309="","",IF(AND(F309="نعم",G309="نعم"),"جرد + مراجعة",IF(F309="نعم","جرد فقط",IF(G309="نعم","مراجعة فقط",""))))</f>
        <v/>
      </c>
      <c r="I309" s="9">
        <f>IF(H309="جرد + مراجعة",الإعدادات!$B$2,IF(H309="مراجعة فقط",الإعدادات!$B$3,IF(H309="جرد فقط",الإعدادات!$B$4,0)))</f>
        <v>0</v>
      </c>
    </row>
    <row r="310">
      <c r="A310" s="4" t="n"/>
      <c r="B310" s="5" t="str">
        <f>IF(A310="","",IFERROR(INDEX('جدول الجرد'!$A$2:$A$29,MATCH(A310,'جدول الجرد'!$B$2:$B$29,0)),""))</f>
        <v/>
      </c>
      <c r="C310" s="5" t="str">
        <f>IF(A310="","",IFERROR(INDEX('جدول الجرد'!$E$2:$E$29,MATCH(A310,'جدول الجرد'!$B$2:$B$29,0)),""))</f>
        <v/>
      </c>
      <c r="D310" s="4" t="n"/>
      <c r="E310" s="4" t="n"/>
      <c r="F310" s="4" t="n"/>
      <c r="G310" s="4" t="n"/>
      <c r="H310" s="5" t="str">
        <f>IF(E310="","",IF(AND(F310="نعم",G310="نعم"),"جرد + مراجعة",IF(F310="نعم","جرد فقط",IF(G310="نعم","مراجعة فقط",""))))</f>
        <v/>
      </c>
      <c r="I310" s="9">
        <f>IF(H310="جرد + مراجعة",الإعدادات!$B$2,IF(H310="مراجعة فقط",الإعدادات!$B$3,IF(H310="جرد فقط",الإعدادات!$B$4,0)))</f>
        <v>0</v>
      </c>
    </row>
    <row r="311">
      <c r="A311" s="4" t="n"/>
      <c r="B311" s="5" t="str">
        <f>IF(A311="","",IFERROR(INDEX('جدول الجرد'!$A$2:$A$29,MATCH(A311,'جدول الجرد'!$B$2:$B$29,0)),""))</f>
        <v/>
      </c>
      <c r="C311" s="5" t="str">
        <f>IF(A311="","",IFERROR(INDEX('جدول الجرد'!$E$2:$E$29,MATCH(A311,'جدول الجرد'!$B$2:$B$29,0)),""))</f>
        <v/>
      </c>
      <c r="D311" s="4" t="n"/>
      <c r="E311" s="4" t="n"/>
      <c r="F311" s="4" t="n"/>
      <c r="G311" s="4" t="n"/>
      <c r="H311" s="5" t="str">
        <f>IF(E311="","",IF(AND(F311="نعم",G311="نعم"),"جرد + مراجعة",IF(F311="نعم","جرد فقط",IF(G311="نعم","مراجعة فقط",""))))</f>
        <v/>
      </c>
      <c r="I311" s="9">
        <f>IF(H311="جرد + مراجعة",الإعدادات!$B$2,IF(H311="مراجعة فقط",الإعدادات!$B$3,IF(H311="جرد فقط",الإعدادات!$B$4,0)))</f>
        <v>0</v>
      </c>
    </row>
    <row r="312">
      <c r="A312" s="4" t="n"/>
      <c r="B312" s="5" t="str">
        <f>IF(A312="","",IFERROR(INDEX('جدول الجرد'!$A$2:$A$29,MATCH(A312,'جدول الجرد'!$B$2:$B$29,0)),""))</f>
        <v/>
      </c>
      <c r="C312" s="5" t="str">
        <f>IF(A312="","",IFERROR(INDEX('جدول الجرد'!$E$2:$E$29,MATCH(A312,'جدول الجرد'!$B$2:$B$29,0)),""))</f>
        <v/>
      </c>
      <c r="D312" s="4" t="n"/>
      <c r="E312" s="4" t="n"/>
      <c r="F312" s="4" t="n"/>
      <c r="G312" s="4" t="n"/>
      <c r="H312" s="5" t="str">
        <f>IF(E312="","",IF(AND(F312="نعم",G312="نعم"),"جرد + مراجعة",IF(F312="نعم","جرد فقط",IF(G312="نعم","مراجعة فقط",""))))</f>
        <v/>
      </c>
      <c r="I312" s="9">
        <f>IF(H312="جرد + مراجعة",الإعدادات!$B$2,IF(H312="مراجعة فقط",الإعدادات!$B$3,IF(H312="جرد فقط",الإعدادات!$B$4,0)))</f>
        <v>0</v>
      </c>
    </row>
    <row r="313">
      <c r="A313" s="4" t="n"/>
      <c r="B313" s="5" t="str">
        <f>IF(A313="","",IFERROR(INDEX('جدول الجرد'!$A$2:$A$29,MATCH(A313,'جدول الجرد'!$B$2:$B$29,0)),""))</f>
        <v/>
      </c>
      <c r="C313" s="5" t="str">
        <f>IF(A313="","",IFERROR(INDEX('جدول الجرد'!$E$2:$E$29,MATCH(A313,'جدول الجرد'!$B$2:$B$29,0)),""))</f>
        <v/>
      </c>
      <c r="D313" s="4" t="n"/>
      <c r="E313" s="4" t="n"/>
      <c r="F313" s="4" t="n"/>
      <c r="G313" s="4" t="n"/>
      <c r="H313" s="5" t="str">
        <f>IF(E313="","",IF(AND(F313="نعم",G313="نعم"),"جرد + مراجعة",IF(F313="نعم","جرد فقط",IF(G313="نعم","مراجعة فقط",""))))</f>
        <v/>
      </c>
      <c r="I313" s="9">
        <f>IF(H313="جرد + مراجعة",الإعدادات!$B$2,IF(H313="مراجعة فقط",الإعدادات!$B$3,IF(H313="جرد فقط",الإعدادات!$B$4,0)))</f>
        <v>0</v>
      </c>
    </row>
    <row r="314">
      <c r="A314" s="4" t="n"/>
      <c r="B314" s="5" t="str">
        <f>IF(A314="","",IFERROR(INDEX('جدول الجرد'!$A$2:$A$29,MATCH(A314,'جدول الجرد'!$B$2:$B$29,0)),""))</f>
        <v/>
      </c>
      <c r="C314" s="5" t="str">
        <f>IF(A314="","",IFERROR(INDEX('جدول الجرد'!$E$2:$E$29,MATCH(A314,'جدول الجرد'!$B$2:$B$29,0)),""))</f>
        <v/>
      </c>
      <c r="D314" s="4" t="n"/>
      <c r="E314" s="4" t="n"/>
      <c r="F314" s="4" t="n"/>
      <c r="G314" s="4" t="n"/>
      <c r="H314" s="5" t="str">
        <f>IF(E314="","",IF(AND(F314="نعم",G314="نعم"),"جرد + مراجعة",IF(F314="نعم","جرد فقط",IF(G314="نعم","مراجعة فقط",""))))</f>
        <v/>
      </c>
      <c r="I314" s="9">
        <f>IF(H314="جرد + مراجعة",الإعدادات!$B$2,IF(H314="مراجعة فقط",الإعدادات!$B$3,IF(H314="جرد فقط",الإعدادات!$B$4,0)))</f>
        <v>0</v>
      </c>
    </row>
    <row r="315">
      <c r="A315" s="4" t="n"/>
      <c r="B315" s="5" t="str">
        <f>IF(A315="","",IFERROR(INDEX('جدول الجرد'!$A$2:$A$29,MATCH(A315,'جدول الجرد'!$B$2:$B$29,0)),""))</f>
        <v/>
      </c>
      <c r="C315" s="5" t="str">
        <f>IF(A315="","",IFERROR(INDEX('جدول الجرد'!$E$2:$E$29,MATCH(A315,'جدول الجرد'!$B$2:$B$29,0)),""))</f>
        <v/>
      </c>
      <c r="D315" s="4" t="n"/>
      <c r="E315" s="4" t="n"/>
      <c r="F315" s="4" t="n"/>
      <c r="G315" s="4" t="n"/>
      <c r="H315" s="5" t="str">
        <f>IF(E315="","",IF(AND(F315="نعم",G315="نعم"),"جرد + مراجعة",IF(F315="نعم","جرد فقط",IF(G315="نعم","مراجعة فقط",""))))</f>
        <v/>
      </c>
      <c r="I315" s="9">
        <f>IF(H315="جرد + مراجعة",الإعدادات!$B$2,IF(H315="مراجعة فقط",الإعدادات!$B$3,IF(H315="جرد فقط",الإعدادات!$B$4,0)))</f>
        <v>0</v>
      </c>
    </row>
    <row r="316">
      <c r="A316" s="4" t="n"/>
      <c r="B316" s="5" t="str">
        <f>IF(A316="","",IFERROR(INDEX('جدول الجرد'!$A$2:$A$29,MATCH(A316,'جدول الجرد'!$B$2:$B$29,0)),""))</f>
        <v/>
      </c>
      <c r="C316" s="5" t="str">
        <f>IF(A316="","",IFERROR(INDEX('جدول الجرد'!$E$2:$E$29,MATCH(A316,'جدول الجرد'!$B$2:$B$29,0)),""))</f>
        <v/>
      </c>
      <c r="D316" s="4" t="n"/>
      <c r="E316" s="4" t="n"/>
      <c r="F316" s="4" t="n"/>
      <c r="G316" s="4" t="n"/>
      <c r="H316" s="5" t="str">
        <f>IF(E316="","",IF(AND(F316="نعم",G316="نعم"),"جرد + مراجعة",IF(F316="نعم","جرد فقط",IF(G316="نعم","مراجعة فقط",""))))</f>
        <v/>
      </c>
      <c r="I316" s="9">
        <f>IF(H316="جرد + مراجعة",الإعدادات!$B$2,IF(H316="مراجعة فقط",الإعدادات!$B$3,IF(H316="جرد فقط",الإعدادات!$B$4,0)))</f>
        <v>0</v>
      </c>
    </row>
    <row r="317">
      <c r="A317" s="4" t="n"/>
      <c r="B317" s="5" t="str">
        <f>IF(A317="","",IFERROR(INDEX('جدول الجرد'!$A$2:$A$29,MATCH(A317,'جدول الجرد'!$B$2:$B$29,0)),""))</f>
        <v/>
      </c>
      <c r="C317" s="5" t="str">
        <f>IF(A317="","",IFERROR(INDEX('جدول الجرد'!$E$2:$E$29,MATCH(A317,'جدول الجرد'!$B$2:$B$29,0)),""))</f>
        <v/>
      </c>
      <c r="D317" s="4" t="n"/>
      <c r="E317" s="4" t="n"/>
      <c r="F317" s="4" t="n"/>
      <c r="G317" s="4" t="n"/>
      <c r="H317" s="5" t="str">
        <f>IF(E317="","",IF(AND(F317="نعم",G317="نعم"),"جرد + مراجعة",IF(F317="نعم","جرد فقط",IF(G317="نعم","مراجعة فقط",""))))</f>
        <v/>
      </c>
      <c r="I317" s="9">
        <f>IF(H317="جرد + مراجعة",الإعدادات!$B$2,IF(H317="مراجعة فقط",الإعدادات!$B$3,IF(H317="جرد فقط",الإعدادات!$B$4,0)))</f>
        <v>0</v>
      </c>
    </row>
    <row r="318">
      <c r="A318" s="4" t="n"/>
      <c r="B318" s="5" t="str">
        <f>IF(A318="","",IFERROR(INDEX('جدول الجرد'!$A$2:$A$29,MATCH(A318,'جدول الجرد'!$B$2:$B$29,0)),""))</f>
        <v/>
      </c>
      <c r="C318" s="5" t="str">
        <f>IF(A318="","",IFERROR(INDEX('جدول الجرد'!$E$2:$E$29,MATCH(A318,'جدول الجرد'!$B$2:$B$29,0)),""))</f>
        <v/>
      </c>
      <c r="D318" s="4" t="n"/>
      <c r="E318" s="4" t="n"/>
      <c r="F318" s="4" t="n"/>
      <c r="G318" s="4" t="n"/>
      <c r="H318" s="5" t="str">
        <f>IF(E318="","",IF(AND(F318="نعم",G318="نعم"),"جرد + مراجعة",IF(F318="نعم","جرد فقط",IF(G318="نعم","مراجعة فقط",""))))</f>
        <v/>
      </c>
      <c r="I318" s="9">
        <f>IF(H318="جرد + مراجعة",الإعدادات!$B$2,IF(H318="مراجعة فقط",الإعدادات!$B$3,IF(H318="جرد فقط",الإعدادات!$B$4,0)))</f>
        <v>0</v>
      </c>
    </row>
    <row r="319">
      <c r="A319" s="4" t="n"/>
      <c r="B319" s="5" t="str">
        <f>IF(A319="","",IFERROR(INDEX('جدول الجرد'!$A$2:$A$29,MATCH(A319,'جدول الجرد'!$B$2:$B$29,0)),""))</f>
        <v/>
      </c>
      <c r="C319" s="5" t="str">
        <f>IF(A319="","",IFERROR(INDEX('جدول الجرد'!$E$2:$E$29,MATCH(A319,'جدول الجرد'!$B$2:$B$29,0)),""))</f>
        <v/>
      </c>
      <c r="D319" s="4" t="n"/>
      <c r="E319" s="4" t="n"/>
      <c r="F319" s="4" t="n"/>
      <c r="G319" s="4" t="n"/>
      <c r="H319" s="5" t="str">
        <f>IF(E319="","",IF(AND(F319="نعم",G319="نعم"),"جرد + مراجعة",IF(F319="نعم","جرد فقط",IF(G319="نعم","مراجعة فقط",""))))</f>
        <v/>
      </c>
      <c r="I319" s="9">
        <f>IF(H319="جرد + مراجعة",الإعدادات!$B$2,IF(H319="مراجعة فقط",الإعدادات!$B$3,IF(H319="جرد فقط",الإعدادات!$B$4,0)))</f>
        <v>0</v>
      </c>
    </row>
    <row r="320">
      <c r="A320" s="4" t="n"/>
      <c r="B320" s="5" t="str">
        <f>IF(A320="","",IFERROR(INDEX('جدول الجرد'!$A$2:$A$29,MATCH(A320,'جدول الجرد'!$B$2:$B$29,0)),""))</f>
        <v/>
      </c>
      <c r="C320" s="5" t="str">
        <f>IF(A320="","",IFERROR(INDEX('جدول الجرد'!$E$2:$E$29,MATCH(A320,'جدول الجرد'!$B$2:$B$29,0)),""))</f>
        <v/>
      </c>
      <c r="D320" s="4" t="n"/>
      <c r="E320" s="4" t="n"/>
      <c r="F320" s="4" t="n"/>
      <c r="G320" s="4" t="n"/>
      <c r="H320" s="5" t="str">
        <f>IF(E320="","",IF(AND(F320="نعم",G320="نعم"),"جرد + مراجعة",IF(F320="نعم","جرد فقط",IF(G320="نعم","مراجعة فقط",""))))</f>
        <v/>
      </c>
      <c r="I320" s="9">
        <f>IF(H320="جرد + مراجعة",الإعدادات!$B$2,IF(H320="مراجعة فقط",الإعدادات!$B$3,IF(H320="جرد فقط",الإعدادات!$B$4,0)))</f>
        <v>0</v>
      </c>
    </row>
    <row r="321">
      <c r="A321" s="4" t="n"/>
      <c r="B321" s="5" t="str">
        <f>IF(A321="","",IFERROR(INDEX('جدول الجرد'!$A$2:$A$29,MATCH(A321,'جدول الجرد'!$B$2:$B$29,0)),""))</f>
        <v/>
      </c>
      <c r="C321" s="5" t="str">
        <f>IF(A321="","",IFERROR(INDEX('جدول الجرد'!$E$2:$E$29,MATCH(A321,'جدول الجرد'!$B$2:$B$29,0)),""))</f>
        <v/>
      </c>
      <c r="D321" s="4" t="n"/>
      <c r="E321" s="4" t="n"/>
      <c r="F321" s="4" t="n"/>
      <c r="G321" s="4" t="n"/>
      <c r="H321" s="5" t="str">
        <f>IF(E321="","",IF(AND(F321="نعم",G321="نعم"),"جرد + مراجعة",IF(F321="نعم","جرد فقط",IF(G321="نعم","مراجعة فقط",""))))</f>
        <v/>
      </c>
      <c r="I321" s="9">
        <f>IF(H321="جرد + مراجعة",الإعدادات!$B$2,IF(H321="مراجعة فقط",الإعدادات!$B$3,IF(H321="جرد فقط",الإعدادات!$B$4,0)))</f>
        <v>0</v>
      </c>
    </row>
    <row r="322">
      <c r="A322" s="4" t="n"/>
      <c r="B322" s="5" t="str">
        <f>IF(A322="","",IFERROR(INDEX('جدول الجرد'!$A$2:$A$29,MATCH(A322,'جدول الجرد'!$B$2:$B$29,0)),""))</f>
        <v/>
      </c>
      <c r="C322" s="5" t="str">
        <f>IF(A322="","",IFERROR(INDEX('جدول الجرد'!$E$2:$E$29,MATCH(A322,'جدول الجرد'!$B$2:$B$29,0)),""))</f>
        <v/>
      </c>
      <c r="D322" s="4" t="n"/>
      <c r="E322" s="4" t="n"/>
      <c r="F322" s="4" t="n"/>
      <c r="G322" s="4" t="n"/>
      <c r="H322" s="5" t="str">
        <f>IF(E322="","",IF(AND(F322="نعم",G322="نعم"),"جرد + مراجعة",IF(F322="نعم","جرد فقط",IF(G322="نعم","مراجعة فقط",""))))</f>
        <v/>
      </c>
      <c r="I322" s="9">
        <f>IF(H322="جرد + مراجعة",الإعدادات!$B$2,IF(H322="مراجعة فقط",الإعدادات!$B$3,IF(H322="جرد فقط",الإعدادات!$B$4,0)))</f>
        <v>0</v>
      </c>
    </row>
    <row r="323">
      <c r="A323" s="4" t="n"/>
      <c r="B323" s="5" t="str">
        <f>IF(A323="","",IFERROR(INDEX('جدول الجرد'!$A$2:$A$29,MATCH(A323,'جدول الجرد'!$B$2:$B$29,0)),""))</f>
        <v/>
      </c>
      <c r="C323" s="5" t="str">
        <f>IF(A323="","",IFERROR(INDEX('جدول الجرد'!$E$2:$E$29,MATCH(A323,'جدول الجرد'!$B$2:$B$29,0)),""))</f>
        <v/>
      </c>
      <c r="D323" s="4" t="n"/>
      <c r="E323" s="4" t="n"/>
      <c r="F323" s="4" t="n"/>
      <c r="G323" s="4" t="n"/>
      <c r="H323" s="5" t="str">
        <f>IF(E323="","",IF(AND(F323="نعم",G323="نعم"),"جرد + مراجعة",IF(F323="نعم","جرد فقط",IF(G323="نعم","مراجعة فقط",""))))</f>
        <v/>
      </c>
      <c r="I323" s="9">
        <f>IF(H323="جرد + مراجعة",الإعدادات!$B$2,IF(H323="مراجعة فقط",الإعدادات!$B$3,IF(H323="جرد فقط",الإعدادات!$B$4,0)))</f>
        <v>0</v>
      </c>
    </row>
    <row r="324">
      <c r="A324" s="4" t="n"/>
      <c r="B324" s="5" t="str">
        <f>IF(A324="","",IFERROR(INDEX('جدول الجرد'!$A$2:$A$29,MATCH(A324,'جدول الجرد'!$B$2:$B$29,0)),""))</f>
        <v/>
      </c>
      <c r="C324" s="5" t="str">
        <f>IF(A324="","",IFERROR(INDEX('جدول الجرد'!$E$2:$E$29,MATCH(A324,'جدول الجرد'!$B$2:$B$29,0)),""))</f>
        <v/>
      </c>
      <c r="D324" s="4" t="n"/>
      <c r="E324" s="4" t="n"/>
      <c r="F324" s="4" t="n"/>
      <c r="G324" s="4" t="n"/>
      <c r="H324" s="5" t="str">
        <f>IF(E324="","",IF(AND(F324="نعم",G324="نعم"),"جرد + مراجعة",IF(F324="نعم","جرد فقط",IF(G324="نعم","مراجعة فقط",""))))</f>
        <v/>
      </c>
      <c r="I324" s="9">
        <f>IF(H324="جرد + مراجعة",الإعدادات!$B$2,IF(H324="مراجعة فقط",الإعدادات!$B$3,IF(H324="جرد فقط",الإعدادات!$B$4,0)))</f>
        <v>0</v>
      </c>
    </row>
    <row r="325">
      <c r="A325" s="4" t="n"/>
      <c r="B325" s="5" t="str">
        <f>IF(A325="","",IFERROR(INDEX('جدول الجرد'!$A$2:$A$29,MATCH(A325,'جدول الجرد'!$B$2:$B$29,0)),""))</f>
        <v/>
      </c>
      <c r="C325" s="5" t="str">
        <f>IF(A325="","",IFERROR(INDEX('جدول الجرد'!$E$2:$E$29,MATCH(A325,'جدول الجرد'!$B$2:$B$29,0)),""))</f>
        <v/>
      </c>
      <c r="D325" s="4" t="n"/>
      <c r="E325" s="4" t="n"/>
      <c r="F325" s="4" t="n"/>
      <c r="G325" s="4" t="n"/>
      <c r="H325" s="5" t="str">
        <f>IF(E325="","",IF(AND(F325="نعم",G325="نعم"),"جرد + مراجعة",IF(F325="نعم","جرد فقط",IF(G325="نعم","مراجعة فقط",""))))</f>
        <v/>
      </c>
      <c r="I325" s="9">
        <f>IF(H325="جرد + مراجعة",الإعدادات!$B$2,IF(H325="مراجعة فقط",الإعدادات!$B$3,IF(H325="جرد فقط",الإعدادات!$B$4,0)))</f>
        <v>0</v>
      </c>
    </row>
    <row r="326">
      <c r="A326" s="4" t="n"/>
      <c r="B326" s="5" t="str">
        <f>IF(A326="","",IFERROR(INDEX('جدول الجرد'!$A$2:$A$29,MATCH(A326,'جدول الجرد'!$B$2:$B$29,0)),""))</f>
        <v/>
      </c>
      <c r="C326" s="5" t="str">
        <f>IF(A326="","",IFERROR(INDEX('جدول الجرد'!$E$2:$E$29,MATCH(A326,'جدول الجرد'!$B$2:$B$29,0)),""))</f>
        <v/>
      </c>
      <c r="D326" s="4" t="n"/>
      <c r="E326" s="4" t="n"/>
      <c r="F326" s="4" t="n"/>
      <c r="G326" s="4" t="n"/>
      <c r="H326" s="5" t="str">
        <f>IF(E326="","",IF(AND(F326="نعم",G326="نعم"),"جرد + مراجعة",IF(F326="نعم","جرد فقط",IF(G326="نعم","مراجعة فقط",""))))</f>
        <v/>
      </c>
      <c r="I326" s="9">
        <f>IF(H326="جرد + مراجعة",الإعدادات!$B$2,IF(H326="مراجعة فقط",الإعدادات!$B$3,IF(H326="جرد فقط",الإعدادات!$B$4,0)))</f>
        <v>0</v>
      </c>
    </row>
    <row r="327">
      <c r="A327" s="4" t="n"/>
      <c r="B327" s="5" t="str">
        <f>IF(A327="","",IFERROR(INDEX('جدول الجرد'!$A$2:$A$29,MATCH(A327,'جدول الجرد'!$B$2:$B$29,0)),""))</f>
        <v/>
      </c>
      <c r="C327" s="5" t="str">
        <f>IF(A327="","",IFERROR(INDEX('جدول الجرد'!$E$2:$E$29,MATCH(A327,'جدول الجرد'!$B$2:$B$29,0)),""))</f>
        <v/>
      </c>
      <c r="D327" s="4" t="n"/>
      <c r="E327" s="4" t="n"/>
      <c r="F327" s="4" t="n"/>
      <c r="G327" s="4" t="n"/>
      <c r="H327" s="5" t="str">
        <f>IF(E327="","",IF(AND(F327="نعم",G327="نعم"),"جرد + مراجعة",IF(F327="نعم","جرد فقط",IF(G327="نعم","مراجعة فقط",""))))</f>
        <v/>
      </c>
      <c r="I327" s="9">
        <f>IF(H327="جرد + مراجعة",الإعدادات!$B$2,IF(H327="مراجعة فقط",الإعدادات!$B$3,IF(H327="جرد فقط",الإعدادات!$B$4,0)))</f>
        <v>0</v>
      </c>
    </row>
    <row r="328">
      <c r="A328" s="4" t="n"/>
      <c r="B328" s="5" t="str">
        <f>IF(A328="","",IFERROR(INDEX('جدول الجرد'!$A$2:$A$29,MATCH(A328,'جدول الجرد'!$B$2:$B$29,0)),""))</f>
        <v/>
      </c>
      <c r="C328" s="5" t="str">
        <f>IF(A328="","",IFERROR(INDEX('جدول الجرد'!$E$2:$E$29,MATCH(A328,'جدول الجرد'!$B$2:$B$29,0)),""))</f>
        <v/>
      </c>
      <c r="D328" s="4" t="n"/>
      <c r="E328" s="4" t="n"/>
      <c r="F328" s="4" t="n"/>
      <c r="G328" s="4" t="n"/>
      <c r="H328" s="5" t="str">
        <f>IF(E328="","",IF(AND(F328="نعم",G328="نعم"),"جرد + مراجعة",IF(F328="نعم","جرد فقط",IF(G328="نعم","مراجعة فقط",""))))</f>
        <v/>
      </c>
      <c r="I328" s="9">
        <f>IF(H328="جرد + مراجعة",الإعدادات!$B$2,IF(H328="مراجعة فقط",الإعدادات!$B$3,IF(H328="جرد فقط",الإعدادات!$B$4,0)))</f>
        <v>0</v>
      </c>
    </row>
    <row r="329">
      <c r="A329" s="4" t="n"/>
      <c r="B329" s="5" t="str">
        <f>IF(A329="","",IFERROR(INDEX('جدول الجرد'!$A$2:$A$29,MATCH(A329,'جدول الجرد'!$B$2:$B$29,0)),""))</f>
        <v/>
      </c>
      <c r="C329" s="5" t="str">
        <f>IF(A329="","",IFERROR(INDEX('جدول الجرد'!$E$2:$E$29,MATCH(A329,'جدول الجرد'!$B$2:$B$29,0)),""))</f>
        <v/>
      </c>
      <c r="D329" s="4" t="n"/>
      <c r="E329" s="4" t="n"/>
      <c r="F329" s="4" t="n"/>
      <c r="G329" s="4" t="n"/>
      <c r="H329" s="5" t="str">
        <f>IF(E329="","",IF(AND(F329="نعم",G329="نعم"),"جرد + مراجعة",IF(F329="نعم","جرد فقط",IF(G329="نعم","مراجعة فقط",""))))</f>
        <v/>
      </c>
      <c r="I329" s="9">
        <f>IF(H329="جرد + مراجعة",الإعدادات!$B$2,IF(H329="مراجعة فقط",الإعدادات!$B$3,IF(H329="جرد فقط",الإعدادات!$B$4,0)))</f>
        <v>0</v>
      </c>
    </row>
    <row r="330">
      <c r="A330" s="4" t="n"/>
      <c r="B330" s="5" t="str">
        <f>IF(A330="","",IFERROR(INDEX('جدول الجرد'!$A$2:$A$29,MATCH(A330,'جدول الجرد'!$B$2:$B$29,0)),""))</f>
        <v/>
      </c>
      <c r="C330" s="5" t="str">
        <f>IF(A330="","",IFERROR(INDEX('جدول الجرد'!$E$2:$E$29,MATCH(A330,'جدول الجرد'!$B$2:$B$29,0)),""))</f>
        <v/>
      </c>
      <c r="D330" s="4" t="n"/>
      <c r="E330" s="4" t="n"/>
      <c r="F330" s="4" t="n"/>
      <c r="G330" s="4" t="n"/>
      <c r="H330" s="5" t="str">
        <f>IF(E330="","",IF(AND(F330="نعم",G330="نعم"),"جرد + مراجعة",IF(F330="نعم","جرد فقط",IF(G330="نعم","مراجعة فقط",""))))</f>
        <v/>
      </c>
      <c r="I330" s="9">
        <f>IF(H330="جرد + مراجعة",الإعدادات!$B$2,IF(H330="مراجعة فقط",الإعدادات!$B$3,IF(H330="جرد فقط",الإعدادات!$B$4,0)))</f>
        <v>0</v>
      </c>
    </row>
    <row r="331">
      <c r="A331" s="4" t="n"/>
      <c r="B331" s="5" t="str">
        <f>IF(A331="","",IFERROR(INDEX('جدول الجرد'!$A$2:$A$29,MATCH(A331,'جدول الجرد'!$B$2:$B$29,0)),""))</f>
        <v/>
      </c>
      <c r="C331" s="5" t="str">
        <f>IF(A331="","",IFERROR(INDEX('جدول الجرد'!$E$2:$E$29,MATCH(A331,'جدول الجرد'!$B$2:$B$29,0)),""))</f>
        <v/>
      </c>
      <c r="D331" s="4" t="n"/>
      <c r="E331" s="4" t="n"/>
      <c r="F331" s="4" t="n"/>
      <c r="G331" s="4" t="n"/>
      <c r="H331" s="5" t="str">
        <f>IF(E331="","",IF(AND(F331="نعم",G331="نعم"),"جرد + مراجعة",IF(F331="نعم","جرد فقط",IF(G331="نعم","مراجعة فقط",""))))</f>
        <v/>
      </c>
      <c r="I331" s="9">
        <f>IF(H331="جرد + مراجعة",الإعدادات!$B$2,IF(H331="مراجعة فقط",الإعدادات!$B$3,IF(H331="جرد فقط",الإعدادات!$B$4,0)))</f>
        <v>0</v>
      </c>
    </row>
    <row r="332">
      <c r="A332" s="4" t="n"/>
      <c r="B332" s="5" t="str">
        <f>IF(A332="","",IFERROR(INDEX('جدول الجرد'!$A$2:$A$29,MATCH(A332,'جدول الجرد'!$B$2:$B$29,0)),""))</f>
        <v/>
      </c>
      <c r="C332" s="5" t="str">
        <f>IF(A332="","",IFERROR(INDEX('جدول الجرد'!$E$2:$E$29,MATCH(A332,'جدول الجرد'!$B$2:$B$29,0)),""))</f>
        <v/>
      </c>
      <c r="D332" s="4" t="n"/>
      <c r="E332" s="4" t="n"/>
      <c r="F332" s="4" t="n"/>
      <c r="G332" s="4" t="n"/>
      <c r="H332" s="5" t="str">
        <f>IF(E332="","",IF(AND(F332="نعم",G332="نعم"),"جرد + مراجعة",IF(F332="نعم","جرد فقط",IF(G332="نعم","مراجعة فقط",""))))</f>
        <v/>
      </c>
      <c r="I332" s="9">
        <f>IF(H332="جرد + مراجعة",الإعدادات!$B$2,IF(H332="مراجعة فقط",الإعدادات!$B$3,IF(H332="جرد فقط",الإعدادات!$B$4,0)))</f>
        <v>0</v>
      </c>
    </row>
    <row r="333">
      <c r="A333" s="4" t="n"/>
      <c r="B333" s="5" t="str">
        <f>IF(A333="","",IFERROR(INDEX('جدول الجرد'!$A$2:$A$29,MATCH(A333,'جدول الجرد'!$B$2:$B$29,0)),""))</f>
        <v/>
      </c>
      <c r="C333" s="5" t="str">
        <f>IF(A333="","",IFERROR(INDEX('جدول الجرد'!$E$2:$E$29,MATCH(A333,'جدول الجرد'!$B$2:$B$29,0)),""))</f>
        <v/>
      </c>
      <c r="D333" s="4" t="n"/>
      <c r="E333" s="4" t="n"/>
      <c r="F333" s="4" t="n"/>
      <c r="G333" s="4" t="n"/>
      <c r="H333" s="5" t="str">
        <f>IF(E333="","",IF(AND(F333="نعم",G333="نعم"),"جرد + مراجعة",IF(F333="نعم","جرد فقط",IF(G333="نعم","مراجعة فقط",""))))</f>
        <v/>
      </c>
      <c r="I333" s="9">
        <f>IF(H333="جرد + مراجعة",الإعدادات!$B$2,IF(H333="مراجعة فقط",الإعدادات!$B$3,IF(H333="جرد فقط",الإعدادات!$B$4,0)))</f>
        <v>0</v>
      </c>
    </row>
    <row r="334">
      <c r="A334" s="4" t="n"/>
      <c r="B334" s="5" t="str">
        <f>IF(A334="","",IFERROR(INDEX('جدول الجرد'!$A$2:$A$29,MATCH(A334,'جدول الجرد'!$B$2:$B$29,0)),""))</f>
        <v/>
      </c>
      <c r="C334" s="5" t="str">
        <f>IF(A334="","",IFERROR(INDEX('جدول الجرد'!$E$2:$E$29,MATCH(A334,'جدول الجرد'!$B$2:$B$29,0)),""))</f>
        <v/>
      </c>
      <c r="D334" s="4" t="n"/>
      <c r="E334" s="4" t="n"/>
      <c r="F334" s="4" t="n"/>
      <c r="G334" s="4" t="n"/>
      <c r="H334" s="5" t="str">
        <f>IF(E334="","",IF(AND(F334="نعم",G334="نعم"),"جرد + مراجعة",IF(F334="نعم","جرد فقط",IF(G334="نعم","مراجعة فقط",""))))</f>
        <v/>
      </c>
      <c r="I334" s="9">
        <f>IF(H334="جرد + مراجعة",الإعدادات!$B$2,IF(H334="مراجعة فقط",الإعدادات!$B$3,IF(H334="جرد فقط",الإعدادات!$B$4,0)))</f>
        <v>0</v>
      </c>
    </row>
    <row r="335">
      <c r="A335" s="4" t="n"/>
      <c r="B335" s="5" t="str">
        <f>IF(A335="","",IFERROR(INDEX('جدول الجرد'!$A$2:$A$29,MATCH(A335,'جدول الجرد'!$B$2:$B$29,0)),""))</f>
        <v/>
      </c>
      <c r="C335" s="5" t="str">
        <f>IF(A335="","",IFERROR(INDEX('جدول الجرد'!$E$2:$E$29,MATCH(A335,'جدول الجرد'!$B$2:$B$29,0)),""))</f>
        <v/>
      </c>
      <c r="D335" s="4" t="n"/>
      <c r="E335" s="4" t="n"/>
      <c r="F335" s="4" t="n"/>
      <c r="G335" s="4" t="n"/>
      <c r="H335" s="5" t="str">
        <f>IF(E335="","",IF(AND(F335="نعم",G335="نعم"),"جرد + مراجعة",IF(F335="نعم","جرد فقط",IF(G335="نعم","مراجعة فقط",""))))</f>
        <v/>
      </c>
      <c r="I335" s="9">
        <f>IF(H335="جرد + مراجعة",الإعدادات!$B$2,IF(H335="مراجعة فقط",الإعدادات!$B$3,IF(H335="جرد فقط",الإعدادات!$B$4,0)))</f>
        <v>0</v>
      </c>
    </row>
    <row r="336">
      <c r="A336" s="4" t="n"/>
      <c r="B336" s="5" t="str">
        <f>IF(A336="","",IFERROR(INDEX('جدول الجرد'!$A$2:$A$29,MATCH(A336,'جدول الجرد'!$B$2:$B$29,0)),""))</f>
        <v/>
      </c>
      <c r="C336" s="5" t="str">
        <f>IF(A336="","",IFERROR(INDEX('جدول الجرد'!$E$2:$E$29,MATCH(A336,'جدول الجرد'!$B$2:$B$29,0)),""))</f>
        <v/>
      </c>
      <c r="D336" s="4" t="n"/>
      <c r="E336" s="4" t="n"/>
      <c r="F336" s="4" t="n"/>
      <c r="G336" s="4" t="n"/>
      <c r="H336" s="5" t="str">
        <f>IF(E336="","",IF(AND(F336="نعم",G336="نعم"),"جرد + مراجعة",IF(F336="نعم","جرد فقط",IF(G336="نعم","مراجعة فقط",""))))</f>
        <v/>
      </c>
      <c r="I336" s="9">
        <f>IF(H336="جرد + مراجعة",الإعدادات!$B$2,IF(H336="مراجعة فقط",الإعدادات!$B$3,IF(H336="جرد فقط",الإعدادات!$B$4,0)))</f>
        <v>0</v>
      </c>
    </row>
    <row r="337">
      <c r="A337" s="4" t="n"/>
      <c r="B337" s="5" t="str">
        <f>IF(A337="","",IFERROR(INDEX('جدول الجرد'!$A$2:$A$29,MATCH(A337,'جدول الجرد'!$B$2:$B$29,0)),""))</f>
        <v/>
      </c>
      <c r="C337" s="5" t="str">
        <f>IF(A337="","",IFERROR(INDEX('جدول الجرد'!$E$2:$E$29,MATCH(A337,'جدول الجرد'!$B$2:$B$29,0)),""))</f>
        <v/>
      </c>
      <c r="D337" s="4" t="n"/>
      <c r="E337" s="4" t="n"/>
      <c r="F337" s="4" t="n"/>
      <c r="G337" s="4" t="n"/>
      <c r="H337" s="5" t="str">
        <f>IF(E337="","",IF(AND(F337="نعم",G337="نعم"),"جرد + مراجعة",IF(F337="نعم","جرد فقط",IF(G337="نعم","مراجعة فقط",""))))</f>
        <v/>
      </c>
      <c r="I337" s="9">
        <f>IF(H337="جرد + مراجعة",الإعدادات!$B$2,IF(H337="مراجعة فقط",الإعدادات!$B$3,IF(H337="جرد فقط",الإعدادات!$B$4,0)))</f>
        <v>0</v>
      </c>
    </row>
    <row r="338">
      <c r="A338" s="4" t="n"/>
      <c r="B338" s="5" t="str">
        <f>IF(A338="","",IFERROR(INDEX('جدول الجرد'!$A$2:$A$29,MATCH(A338,'جدول الجرد'!$B$2:$B$29,0)),""))</f>
        <v/>
      </c>
      <c r="C338" s="5" t="str">
        <f>IF(A338="","",IFERROR(INDEX('جدول الجرد'!$E$2:$E$29,MATCH(A338,'جدول الجرد'!$B$2:$B$29,0)),""))</f>
        <v/>
      </c>
      <c r="D338" s="4" t="n"/>
      <c r="E338" s="4" t="n"/>
      <c r="F338" s="4" t="n"/>
      <c r="G338" s="4" t="n"/>
      <c r="H338" s="5" t="str">
        <f>IF(E338="","",IF(AND(F338="نعم",G338="نعم"),"جرد + مراجعة",IF(F338="نعم","جرد فقط",IF(G338="نعم","مراجعة فقط",""))))</f>
        <v/>
      </c>
      <c r="I338" s="9">
        <f>IF(H338="جرد + مراجعة",الإعدادات!$B$2,IF(H338="مراجعة فقط",الإعدادات!$B$3,IF(H338="جرد فقط",الإعدادات!$B$4,0)))</f>
        <v>0</v>
      </c>
    </row>
    <row r="339">
      <c r="A339" s="4" t="n"/>
      <c r="B339" s="5" t="str">
        <f>IF(A339="","",IFERROR(INDEX('جدول الجرد'!$A$2:$A$29,MATCH(A339,'جدول الجرد'!$B$2:$B$29,0)),""))</f>
        <v/>
      </c>
      <c r="C339" s="5" t="str">
        <f>IF(A339="","",IFERROR(INDEX('جدول الجرد'!$E$2:$E$29,MATCH(A339,'جدول الجرد'!$B$2:$B$29,0)),""))</f>
        <v/>
      </c>
      <c r="D339" s="4" t="n"/>
      <c r="E339" s="4" t="n"/>
      <c r="F339" s="4" t="n"/>
      <c r="G339" s="4" t="n"/>
      <c r="H339" s="5" t="str">
        <f>IF(E339="","",IF(AND(F339="نعم",G339="نعم"),"جرد + مراجعة",IF(F339="نعم","جرد فقط",IF(G339="نعم","مراجعة فقط",""))))</f>
        <v/>
      </c>
      <c r="I339" s="9">
        <f>IF(H339="جرد + مراجعة",الإعدادات!$B$2,IF(H339="مراجعة فقط",الإعدادات!$B$3,IF(H339="جرد فقط",الإعدادات!$B$4,0)))</f>
        <v>0</v>
      </c>
    </row>
    <row r="340">
      <c r="A340" s="4" t="n"/>
      <c r="B340" s="5" t="str">
        <f>IF(A340="","",IFERROR(INDEX('جدول الجرد'!$A$2:$A$29,MATCH(A340,'جدول الجرد'!$B$2:$B$29,0)),""))</f>
        <v/>
      </c>
      <c r="C340" s="5" t="str">
        <f>IF(A340="","",IFERROR(INDEX('جدول الجرد'!$E$2:$E$29,MATCH(A340,'جدول الجرد'!$B$2:$B$29,0)),""))</f>
        <v/>
      </c>
      <c r="D340" s="4" t="n"/>
      <c r="E340" s="4" t="n"/>
      <c r="F340" s="4" t="n"/>
      <c r="G340" s="4" t="n"/>
      <c r="H340" s="5" t="str">
        <f>IF(E340="","",IF(AND(F340="نعم",G340="نعم"),"جرد + مراجعة",IF(F340="نعم","جرد فقط",IF(G340="نعم","مراجعة فقط",""))))</f>
        <v/>
      </c>
      <c r="I340" s="9">
        <f>IF(H340="جرد + مراجعة",الإعدادات!$B$2,IF(H340="مراجعة فقط",الإعدادات!$B$3,IF(H340="جرد فقط",الإعدادات!$B$4,0)))</f>
        <v>0</v>
      </c>
    </row>
    <row r="341">
      <c r="A341" s="4" t="n"/>
      <c r="B341" s="5" t="str">
        <f>IF(A341="","",IFERROR(INDEX('جدول الجرد'!$A$2:$A$29,MATCH(A341,'جدول الجرد'!$B$2:$B$29,0)),""))</f>
        <v/>
      </c>
      <c r="C341" s="5" t="str">
        <f>IF(A341="","",IFERROR(INDEX('جدول الجرد'!$E$2:$E$29,MATCH(A341,'جدول الجرد'!$B$2:$B$29,0)),""))</f>
        <v/>
      </c>
      <c r="D341" s="4" t="n"/>
      <c r="E341" s="4" t="n"/>
      <c r="F341" s="4" t="n"/>
      <c r="G341" s="4" t="n"/>
      <c r="H341" s="5" t="str">
        <f>IF(E341="","",IF(AND(F341="نعم",G341="نعم"),"جرد + مراجعة",IF(F341="نعم","جرد فقط",IF(G341="نعم","مراجعة فقط",""))))</f>
        <v/>
      </c>
      <c r="I341" s="9">
        <f>IF(H341="جرد + مراجعة",الإعدادات!$B$2,IF(H341="مراجعة فقط",الإعدادات!$B$3,IF(H341="جرد فقط",الإعدادات!$B$4,0)))</f>
        <v>0</v>
      </c>
    </row>
    <row r="342">
      <c r="A342" s="4" t="n"/>
      <c r="B342" s="5" t="str">
        <f>IF(A342="","",IFERROR(INDEX('جدول الجرد'!$A$2:$A$29,MATCH(A342,'جدول الجرد'!$B$2:$B$29,0)),""))</f>
        <v/>
      </c>
      <c r="C342" s="5" t="str">
        <f>IF(A342="","",IFERROR(INDEX('جدول الجرد'!$E$2:$E$29,MATCH(A342,'جدول الجرد'!$B$2:$B$29,0)),""))</f>
        <v/>
      </c>
      <c r="D342" s="4" t="n"/>
      <c r="E342" s="4" t="n"/>
      <c r="F342" s="4" t="n"/>
      <c r="G342" s="4" t="n"/>
      <c r="H342" s="5" t="str">
        <f>IF(E342="","",IF(AND(F342="نعم",G342="نعم"),"جرد + مراجعة",IF(F342="نعم","جرد فقط",IF(G342="نعم","مراجعة فقط",""))))</f>
        <v/>
      </c>
      <c r="I342" s="9">
        <f>IF(H342="جرد + مراجعة",الإعدادات!$B$2,IF(H342="مراجعة فقط",الإعدادات!$B$3,IF(H342="جرد فقط",الإعدادات!$B$4,0)))</f>
        <v>0</v>
      </c>
    </row>
    <row r="343">
      <c r="A343" s="4" t="n"/>
      <c r="B343" s="5" t="str">
        <f>IF(A343="","",IFERROR(INDEX('جدول الجرد'!$A$2:$A$29,MATCH(A343,'جدول الجرد'!$B$2:$B$29,0)),""))</f>
        <v/>
      </c>
      <c r="C343" s="5" t="str">
        <f>IF(A343="","",IFERROR(INDEX('جدول الجرد'!$E$2:$E$29,MATCH(A343,'جدول الجرد'!$B$2:$B$29,0)),""))</f>
        <v/>
      </c>
      <c r="D343" s="4" t="n"/>
      <c r="E343" s="4" t="n"/>
      <c r="F343" s="4" t="n"/>
      <c r="G343" s="4" t="n"/>
      <c r="H343" s="5" t="str">
        <f>IF(E343="","",IF(AND(F343="نعم",G343="نعم"),"جرد + مراجعة",IF(F343="نعم","جرد فقط",IF(G343="نعم","مراجعة فقط",""))))</f>
        <v/>
      </c>
      <c r="I343" s="9">
        <f>IF(H343="جرد + مراجعة",الإعدادات!$B$2,IF(H343="مراجعة فقط",الإعدادات!$B$3,IF(H343="جرد فقط",الإعدادات!$B$4,0)))</f>
        <v>0</v>
      </c>
    </row>
    <row r="344">
      <c r="A344" s="4" t="n"/>
      <c r="B344" s="5" t="str">
        <f>IF(A344="","",IFERROR(INDEX('جدول الجرد'!$A$2:$A$29,MATCH(A344,'جدول الجرد'!$B$2:$B$29,0)),""))</f>
        <v/>
      </c>
      <c r="C344" s="5" t="str">
        <f>IF(A344="","",IFERROR(INDEX('جدول الجرد'!$E$2:$E$29,MATCH(A344,'جدول الجرد'!$B$2:$B$29,0)),""))</f>
        <v/>
      </c>
      <c r="D344" s="4" t="n"/>
      <c r="E344" s="4" t="n"/>
      <c r="F344" s="4" t="n"/>
      <c r="G344" s="4" t="n"/>
      <c r="H344" s="5" t="str">
        <f>IF(E344="","",IF(AND(F344="نعم",G344="نعم"),"جرد + مراجعة",IF(F344="نعم","جرد فقط",IF(G344="نعم","مراجعة فقط",""))))</f>
        <v/>
      </c>
      <c r="I344" s="9">
        <f>IF(H344="جرد + مراجعة",الإعدادات!$B$2,IF(H344="مراجعة فقط",الإعدادات!$B$3,IF(H344="جرد فقط",الإعدادات!$B$4,0)))</f>
        <v>0</v>
      </c>
    </row>
    <row r="345">
      <c r="A345" s="4" t="n"/>
      <c r="B345" s="5" t="str">
        <f>IF(A345="","",IFERROR(INDEX('جدول الجرد'!$A$2:$A$29,MATCH(A345,'جدول الجرد'!$B$2:$B$29,0)),""))</f>
        <v/>
      </c>
      <c r="C345" s="5" t="str">
        <f>IF(A345="","",IFERROR(INDEX('جدول الجرد'!$E$2:$E$29,MATCH(A345,'جدول الجرد'!$B$2:$B$29,0)),""))</f>
        <v/>
      </c>
      <c r="D345" s="4" t="n"/>
      <c r="E345" s="4" t="n"/>
      <c r="F345" s="4" t="n"/>
      <c r="G345" s="4" t="n"/>
      <c r="H345" s="5" t="str">
        <f>IF(E345="","",IF(AND(F345="نعم",G345="نعم"),"جرد + مراجعة",IF(F345="نعم","جرد فقط",IF(G345="نعم","مراجعة فقط",""))))</f>
        <v/>
      </c>
      <c r="I345" s="9">
        <f>IF(H345="جرد + مراجعة",الإعدادات!$B$2,IF(H345="مراجعة فقط",الإعدادات!$B$3,IF(H345="جرد فقط",الإعدادات!$B$4,0)))</f>
        <v>0</v>
      </c>
    </row>
    <row r="346">
      <c r="A346" s="4" t="n"/>
      <c r="B346" s="5" t="str">
        <f>IF(A346="","",IFERROR(INDEX('جدول الجرد'!$A$2:$A$29,MATCH(A346,'جدول الجرد'!$B$2:$B$29,0)),""))</f>
        <v/>
      </c>
      <c r="C346" s="5" t="str">
        <f>IF(A346="","",IFERROR(INDEX('جدول الجرد'!$E$2:$E$29,MATCH(A346,'جدول الجرد'!$B$2:$B$29,0)),""))</f>
        <v/>
      </c>
      <c r="D346" s="4" t="n"/>
      <c r="E346" s="4" t="n"/>
      <c r="F346" s="4" t="n"/>
      <c r="G346" s="4" t="n"/>
      <c r="H346" s="5" t="str">
        <f>IF(E346="","",IF(AND(F346="نعم",G346="نعم"),"جرد + مراجعة",IF(F346="نعم","جرد فقط",IF(G346="نعم","مراجعة فقط",""))))</f>
        <v/>
      </c>
      <c r="I346" s="9">
        <f>IF(H346="جرد + مراجعة",الإعدادات!$B$2,IF(H346="مراجعة فقط",الإعدادات!$B$3,IF(H346="جرد فقط",الإعدادات!$B$4,0)))</f>
        <v>0</v>
      </c>
    </row>
    <row r="347">
      <c r="A347" s="4" t="n"/>
      <c r="B347" s="5" t="str">
        <f>IF(A347="","",IFERROR(INDEX('جدول الجرد'!$A$2:$A$29,MATCH(A347,'جدول الجرد'!$B$2:$B$29,0)),""))</f>
        <v/>
      </c>
      <c r="C347" s="5" t="str">
        <f>IF(A347="","",IFERROR(INDEX('جدول الجرد'!$E$2:$E$29,MATCH(A347,'جدول الجرد'!$B$2:$B$29,0)),""))</f>
        <v/>
      </c>
      <c r="D347" s="4" t="n"/>
      <c r="E347" s="4" t="n"/>
      <c r="F347" s="4" t="n"/>
      <c r="G347" s="4" t="n"/>
      <c r="H347" s="5" t="str">
        <f>IF(E347="","",IF(AND(F347="نعم",G347="نعم"),"جرد + مراجعة",IF(F347="نعم","جرد فقط",IF(G347="نعم","مراجعة فقط",""))))</f>
        <v/>
      </c>
      <c r="I347" s="9">
        <f>IF(H347="جرد + مراجعة",الإعدادات!$B$2,IF(H347="مراجعة فقط",الإعدادات!$B$3,IF(H347="جرد فقط",الإعدادات!$B$4,0)))</f>
        <v>0</v>
      </c>
    </row>
    <row r="348">
      <c r="A348" s="4" t="n"/>
      <c r="B348" s="5" t="str">
        <f>IF(A348="","",IFERROR(INDEX('جدول الجرد'!$A$2:$A$29,MATCH(A348,'جدول الجرد'!$B$2:$B$29,0)),""))</f>
        <v/>
      </c>
      <c r="C348" s="5" t="str">
        <f>IF(A348="","",IFERROR(INDEX('جدول الجرد'!$E$2:$E$29,MATCH(A348,'جدول الجرد'!$B$2:$B$29,0)),""))</f>
        <v/>
      </c>
      <c r="D348" s="4" t="n"/>
      <c r="E348" s="4" t="n"/>
      <c r="F348" s="4" t="n"/>
      <c r="G348" s="4" t="n"/>
      <c r="H348" s="5" t="str">
        <f>IF(E348="","",IF(AND(F348="نعم",G348="نعم"),"جرد + مراجعة",IF(F348="نعم","جرد فقط",IF(G348="نعم","مراجعة فقط",""))))</f>
        <v/>
      </c>
      <c r="I348" s="9">
        <f>IF(H348="جرد + مراجعة",الإعدادات!$B$2,IF(H348="مراجعة فقط",الإعدادات!$B$3,IF(H348="جرد فقط",الإعدادات!$B$4,0)))</f>
        <v>0</v>
      </c>
    </row>
    <row r="349">
      <c r="A349" s="4" t="n"/>
      <c r="B349" s="5" t="str">
        <f>IF(A349="","",IFERROR(INDEX('جدول الجرد'!$A$2:$A$29,MATCH(A349,'جدول الجرد'!$B$2:$B$29,0)),""))</f>
        <v/>
      </c>
      <c r="C349" s="5" t="str">
        <f>IF(A349="","",IFERROR(INDEX('جدول الجرد'!$E$2:$E$29,MATCH(A349,'جدول الجرد'!$B$2:$B$29,0)),""))</f>
        <v/>
      </c>
      <c r="D349" s="4" t="n"/>
      <c r="E349" s="4" t="n"/>
      <c r="F349" s="4" t="n"/>
      <c r="G349" s="4" t="n"/>
      <c r="H349" s="5" t="str">
        <f>IF(E349="","",IF(AND(F349="نعم",G349="نعم"),"جرد + مراجعة",IF(F349="نعم","جرد فقط",IF(G349="نعم","مراجعة فقط",""))))</f>
        <v/>
      </c>
      <c r="I349" s="9">
        <f>IF(H349="جرد + مراجعة",الإعدادات!$B$2,IF(H349="مراجعة فقط",الإعدادات!$B$3,IF(H349="جرد فقط",الإعدادات!$B$4,0)))</f>
        <v>0</v>
      </c>
    </row>
    <row r="350">
      <c r="A350" s="4" t="n"/>
      <c r="B350" s="5" t="str">
        <f>IF(A350="","",IFERROR(INDEX('جدول الجرد'!$A$2:$A$29,MATCH(A350,'جدول الجرد'!$B$2:$B$29,0)),""))</f>
        <v/>
      </c>
      <c r="C350" s="5" t="str">
        <f>IF(A350="","",IFERROR(INDEX('جدول الجرد'!$E$2:$E$29,MATCH(A350,'جدول الجرد'!$B$2:$B$29,0)),""))</f>
        <v/>
      </c>
      <c r="D350" s="4" t="n"/>
      <c r="E350" s="4" t="n"/>
      <c r="F350" s="4" t="n"/>
      <c r="G350" s="4" t="n"/>
      <c r="H350" s="5" t="str">
        <f>IF(E350="","",IF(AND(F350="نعم",G350="نعم"),"جرد + مراجعة",IF(F350="نعم","جرد فقط",IF(G350="نعم","مراجعة فقط",""))))</f>
        <v/>
      </c>
      <c r="I350" s="9">
        <f>IF(H350="جرد + مراجعة",الإعدادات!$B$2,IF(H350="مراجعة فقط",الإعدادات!$B$3,IF(H350="جرد فقط",الإعدادات!$B$4,0)))</f>
        <v>0</v>
      </c>
    </row>
    <row r="351">
      <c r="A351" s="4" t="n"/>
      <c r="B351" s="5" t="str">
        <f>IF(A351="","",IFERROR(INDEX('جدول الجرد'!$A$2:$A$29,MATCH(A351,'جدول الجرد'!$B$2:$B$29,0)),""))</f>
        <v/>
      </c>
      <c r="C351" s="5" t="str">
        <f>IF(A351="","",IFERROR(INDEX('جدول الجرد'!$E$2:$E$29,MATCH(A351,'جدول الجرد'!$B$2:$B$29,0)),""))</f>
        <v/>
      </c>
      <c r="D351" s="4" t="n"/>
      <c r="E351" s="4" t="n"/>
      <c r="F351" s="4" t="n"/>
      <c r="G351" s="4" t="n"/>
      <c r="H351" s="5" t="str">
        <f>IF(E351="","",IF(AND(F351="نعم",G351="نعم"),"جرد + مراجعة",IF(F351="نعم","جرد فقط",IF(G351="نعم","مراجعة فقط",""))))</f>
        <v/>
      </c>
      <c r="I351" s="9">
        <f>IF(H351="جرد + مراجعة",الإعدادات!$B$2,IF(H351="مراجعة فقط",الإعدادات!$B$3,IF(H351="جرد فقط",الإعدادات!$B$4,0)))</f>
        <v>0</v>
      </c>
    </row>
    <row r="352">
      <c r="A352" s="4" t="n"/>
      <c r="B352" s="5" t="str">
        <f>IF(A352="","",IFERROR(INDEX('جدول الجرد'!$A$2:$A$29,MATCH(A352,'جدول الجرد'!$B$2:$B$29,0)),""))</f>
        <v/>
      </c>
      <c r="C352" s="5" t="str">
        <f>IF(A352="","",IFERROR(INDEX('جدول الجرد'!$E$2:$E$29,MATCH(A352,'جدول الجرد'!$B$2:$B$29,0)),""))</f>
        <v/>
      </c>
      <c r="D352" s="4" t="n"/>
      <c r="E352" s="4" t="n"/>
      <c r="F352" s="4" t="n"/>
      <c r="G352" s="4" t="n"/>
      <c r="H352" s="5" t="str">
        <f>IF(E352="","",IF(AND(F352="نعم",G352="نعم"),"جرد + مراجعة",IF(F352="نعم","جرد فقط",IF(G352="نعم","مراجعة فقط",""))))</f>
        <v/>
      </c>
      <c r="I352" s="9">
        <f>IF(H352="جرد + مراجعة",الإعدادات!$B$2,IF(H352="مراجعة فقط",الإعدادات!$B$3,IF(H352="جرد فقط",الإعدادات!$B$4,0)))</f>
        <v>0</v>
      </c>
    </row>
    <row r="353">
      <c r="A353" s="4" t="n"/>
      <c r="B353" s="5" t="str">
        <f>IF(A353="","",IFERROR(INDEX('جدول الجرد'!$A$2:$A$29,MATCH(A353,'جدول الجرد'!$B$2:$B$29,0)),""))</f>
        <v/>
      </c>
      <c r="C353" s="5" t="str">
        <f>IF(A353="","",IFERROR(INDEX('جدول الجرد'!$E$2:$E$29,MATCH(A353,'جدول الجرد'!$B$2:$B$29,0)),""))</f>
        <v/>
      </c>
      <c r="D353" s="4" t="n"/>
      <c r="E353" s="4" t="n"/>
      <c r="F353" s="4" t="n"/>
      <c r="G353" s="4" t="n"/>
      <c r="H353" s="5" t="str">
        <f>IF(E353="","",IF(AND(F353="نعم",G353="نعم"),"جرد + مراجعة",IF(F353="نعم","جرد فقط",IF(G353="نعم","مراجعة فقط",""))))</f>
        <v/>
      </c>
      <c r="I353" s="9">
        <f>IF(H353="جرد + مراجعة",الإعدادات!$B$2,IF(H353="مراجعة فقط",الإعدادات!$B$3,IF(H353="جرد فقط",الإعدادات!$B$4,0)))</f>
        <v>0</v>
      </c>
    </row>
    <row r="354">
      <c r="A354" s="4" t="n"/>
      <c r="B354" s="5" t="str">
        <f>IF(A354="","",IFERROR(INDEX('جدول الجرد'!$A$2:$A$29,MATCH(A354,'جدول الجرد'!$B$2:$B$29,0)),""))</f>
        <v/>
      </c>
      <c r="C354" s="5" t="str">
        <f>IF(A354="","",IFERROR(INDEX('جدول الجرد'!$E$2:$E$29,MATCH(A354,'جدول الجرد'!$B$2:$B$29,0)),""))</f>
        <v/>
      </c>
      <c r="D354" s="4" t="n"/>
      <c r="E354" s="4" t="n"/>
      <c r="F354" s="4" t="n"/>
      <c r="G354" s="4" t="n"/>
      <c r="H354" s="5" t="str">
        <f>IF(E354="","",IF(AND(F354="نعم",G354="نعم"),"جرد + مراجعة",IF(F354="نعم","جرد فقط",IF(G354="نعم","مراجعة فقط",""))))</f>
        <v/>
      </c>
      <c r="I354" s="9">
        <f>IF(H354="جرد + مراجعة",الإعدادات!$B$2,IF(H354="مراجعة فقط",الإعدادات!$B$3,IF(H354="جرد فقط",الإعدادات!$B$4,0)))</f>
        <v>0</v>
      </c>
    </row>
    <row r="355">
      <c r="A355" s="4" t="n"/>
      <c r="B355" s="5" t="str">
        <f>IF(A355="","",IFERROR(INDEX('جدول الجرد'!$A$2:$A$29,MATCH(A355,'جدول الجرد'!$B$2:$B$29,0)),""))</f>
        <v/>
      </c>
      <c r="C355" s="5" t="str">
        <f>IF(A355="","",IFERROR(INDEX('جدول الجرد'!$E$2:$E$29,MATCH(A355,'جدول الجرد'!$B$2:$B$29,0)),""))</f>
        <v/>
      </c>
      <c r="D355" s="4" t="n"/>
      <c r="E355" s="4" t="n"/>
      <c r="F355" s="4" t="n"/>
      <c r="G355" s="4" t="n"/>
      <c r="H355" s="5" t="str">
        <f>IF(E355="","",IF(AND(F355="نعم",G355="نعم"),"جرد + مراجعة",IF(F355="نعم","جرد فقط",IF(G355="نعم","مراجعة فقط",""))))</f>
        <v/>
      </c>
      <c r="I355" s="9">
        <f>IF(H355="جرد + مراجعة",الإعدادات!$B$2,IF(H355="مراجعة فقط",الإعدادات!$B$3,IF(H355="جرد فقط",الإعدادات!$B$4,0)))</f>
        <v>0</v>
      </c>
    </row>
    <row r="356">
      <c r="A356" s="4" t="n"/>
      <c r="B356" s="5" t="str">
        <f>IF(A356="","",IFERROR(INDEX('جدول الجرد'!$A$2:$A$29,MATCH(A356,'جدول الجرد'!$B$2:$B$29,0)),""))</f>
        <v/>
      </c>
      <c r="C356" s="5" t="str">
        <f>IF(A356="","",IFERROR(INDEX('جدول الجرد'!$E$2:$E$29,MATCH(A356,'جدول الجرد'!$B$2:$B$29,0)),""))</f>
        <v/>
      </c>
      <c r="D356" s="4" t="n"/>
      <c r="E356" s="4" t="n"/>
      <c r="F356" s="4" t="n"/>
      <c r="G356" s="4" t="n"/>
      <c r="H356" s="5" t="str">
        <f>IF(E356="","",IF(AND(F356="نعم",G356="نعم"),"جرد + مراجعة",IF(F356="نعم","جرد فقط",IF(G356="نعم","مراجعة فقط",""))))</f>
        <v/>
      </c>
      <c r="I356" s="9">
        <f>IF(H356="جرد + مراجعة",الإعدادات!$B$2,IF(H356="مراجعة فقط",الإعدادات!$B$3,IF(H356="جرد فقط",الإعدادات!$B$4,0)))</f>
        <v>0</v>
      </c>
    </row>
    <row r="357">
      <c r="A357" s="4" t="n"/>
      <c r="B357" s="5" t="str">
        <f>IF(A357="","",IFERROR(INDEX('جدول الجرد'!$A$2:$A$29,MATCH(A357,'جدول الجرد'!$B$2:$B$29,0)),""))</f>
        <v/>
      </c>
      <c r="C357" s="5" t="str">
        <f>IF(A357="","",IFERROR(INDEX('جدول الجرد'!$E$2:$E$29,MATCH(A357,'جدول الجرد'!$B$2:$B$29,0)),""))</f>
        <v/>
      </c>
      <c r="D357" s="4" t="n"/>
      <c r="E357" s="4" t="n"/>
      <c r="F357" s="4" t="n"/>
      <c r="G357" s="4" t="n"/>
      <c r="H357" s="5" t="str">
        <f>IF(E357="","",IF(AND(F357="نعم",G357="نعم"),"جرد + مراجعة",IF(F357="نعم","جرد فقط",IF(G357="نعم","مراجعة فقط",""))))</f>
        <v/>
      </c>
      <c r="I357" s="9">
        <f>IF(H357="جرد + مراجعة",الإعدادات!$B$2,IF(H357="مراجعة فقط",الإعدادات!$B$3,IF(H357="جرد فقط",الإعدادات!$B$4,0)))</f>
        <v>0</v>
      </c>
    </row>
    <row r="358">
      <c r="A358" s="4" t="n"/>
      <c r="B358" s="5" t="str">
        <f>IF(A358="","",IFERROR(INDEX('جدول الجرد'!$A$2:$A$29,MATCH(A358,'جدول الجرد'!$B$2:$B$29,0)),""))</f>
        <v/>
      </c>
      <c r="C358" s="5" t="str">
        <f>IF(A358="","",IFERROR(INDEX('جدول الجرد'!$E$2:$E$29,MATCH(A358,'جدول الجرد'!$B$2:$B$29,0)),""))</f>
        <v/>
      </c>
      <c r="D358" s="4" t="n"/>
      <c r="E358" s="4" t="n"/>
      <c r="F358" s="4" t="n"/>
      <c r="G358" s="4" t="n"/>
      <c r="H358" s="5" t="str">
        <f>IF(E358="","",IF(AND(F358="نعم",G358="نعم"),"جرد + مراجعة",IF(F358="نعم","جرد فقط",IF(G358="نعم","مراجعة فقط",""))))</f>
        <v/>
      </c>
      <c r="I358" s="9">
        <f>IF(H358="جرد + مراجعة",الإعدادات!$B$2,IF(H358="مراجعة فقط",الإعدادات!$B$3,IF(H358="جرد فقط",الإعدادات!$B$4,0)))</f>
        <v>0</v>
      </c>
    </row>
    <row r="359">
      <c r="A359" s="4" t="n"/>
      <c r="B359" s="5" t="str">
        <f>IF(A359="","",IFERROR(INDEX('جدول الجرد'!$A$2:$A$29,MATCH(A359,'جدول الجرد'!$B$2:$B$29,0)),""))</f>
        <v/>
      </c>
      <c r="C359" s="5" t="str">
        <f>IF(A359="","",IFERROR(INDEX('جدول الجرد'!$E$2:$E$29,MATCH(A359,'جدول الجرد'!$B$2:$B$29,0)),""))</f>
        <v/>
      </c>
      <c r="D359" s="4" t="n"/>
      <c r="E359" s="4" t="n"/>
      <c r="F359" s="4" t="n"/>
      <c r="G359" s="4" t="n"/>
      <c r="H359" s="5" t="str">
        <f>IF(E359="","",IF(AND(F359="نعم",G359="نعم"),"جرد + مراجعة",IF(F359="نعم","جرد فقط",IF(G359="نعم","مراجعة فقط",""))))</f>
        <v/>
      </c>
      <c r="I359" s="9">
        <f>IF(H359="جرد + مراجعة",الإعدادات!$B$2,IF(H359="مراجعة فقط",الإعدادات!$B$3,IF(H359="جرد فقط",الإعدادات!$B$4,0)))</f>
        <v>0</v>
      </c>
    </row>
    <row r="360">
      <c r="A360" s="4" t="n"/>
      <c r="B360" s="5" t="str">
        <f>IF(A360="","",IFERROR(INDEX('جدول الجرد'!$A$2:$A$29,MATCH(A360,'جدول الجرد'!$B$2:$B$29,0)),""))</f>
        <v/>
      </c>
      <c r="C360" s="5" t="str">
        <f>IF(A360="","",IFERROR(INDEX('جدول الجرد'!$E$2:$E$29,MATCH(A360,'جدول الجرد'!$B$2:$B$29,0)),""))</f>
        <v/>
      </c>
      <c r="D360" s="4" t="n"/>
      <c r="E360" s="4" t="n"/>
      <c r="F360" s="4" t="n"/>
      <c r="G360" s="4" t="n"/>
      <c r="H360" s="5" t="str">
        <f>IF(E360="","",IF(AND(F360="نعم",G360="نعم"),"جرد + مراجعة",IF(F360="نعم","جرد فقط",IF(G360="نعم","مراجعة فقط",""))))</f>
        <v/>
      </c>
      <c r="I360" s="9">
        <f>IF(H360="جرد + مراجعة",الإعدادات!$B$2,IF(H360="مراجعة فقط",الإعدادات!$B$3,IF(H360="جرد فقط",الإعدادات!$B$4,0)))</f>
        <v>0</v>
      </c>
    </row>
    <row r="361">
      <c r="A361" s="4" t="n"/>
      <c r="B361" s="5" t="str">
        <f>IF(A361="","",IFERROR(INDEX('جدول الجرد'!$A$2:$A$29,MATCH(A361,'جدول الجرد'!$B$2:$B$29,0)),""))</f>
        <v/>
      </c>
      <c r="C361" s="5" t="str">
        <f>IF(A361="","",IFERROR(INDEX('جدول الجرد'!$E$2:$E$29,MATCH(A361,'جدول الجرد'!$B$2:$B$29,0)),""))</f>
        <v/>
      </c>
      <c r="D361" s="4" t="n"/>
      <c r="E361" s="4" t="n"/>
      <c r="F361" s="4" t="n"/>
      <c r="G361" s="4" t="n"/>
      <c r="H361" s="5" t="str">
        <f>IF(E361="","",IF(AND(F361="نعم",G361="نعم"),"جرد + مراجعة",IF(F361="نعم","جرد فقط",IF(G361="نعم","مراجعة فقط",""))))</f>
        <v/>
      </c>
      <c r="I361" s="9">
        <f>IF(H361="جرد + مراجعة",الإعدادات!$B$2,IF(H361="مراجعة فقط",الإعدادات!$B$3,IF(H361="جرد فقط",الإعدادات!$B$4,0)))</f>
        <v>0</v>
      </c>
    </row>
    <row r="362">
      <c r="A362" s="4" t="n"/>
      <c r="B362" s="5" t="str">
        <f>IF(A362="","",IFERROR(INDEX('جدول الجرد'!$A$2:$A$29,MATCH(A362,'جدول الجرد'!$B$2:$B$29,0)),""))</f>
        <v/>
      </c>
      <c r="C362" s="5" t="str">
        <f>IF(A362="","",IFERROR(INDEX('جدول الجرد'!$E$2:$E$29,MATCH(A362,'جدول الجرد'!$B$2:$B$29,0)),""))</f>
        <v/>
      </c>
      <c r="D362" s="4" t="n"/>
      <c r="E362" s="4" t="n"/>
      <c r="F362" s="4" t="n"/>
      <c r="G362" s="4" t="n"/>
      <c r="H362" s="5" t="str">
        <f>IF(E362="","",IF(AND(F362="نعم",G362="نعم"),"جرد + مراجعة",IF(F362="نعم","جرد فقط",IF(G362="نعم","مراجعة فقط",""))))</f>
        <v/>
      </c>
      <c r="I362" s="9">
        <f>IF(H362="جرد + مراجعة",الإعدادات!$B$2,IF(H362="مراجعة فقط",الإعدادات!$B$3,IF(H362="جرد فقط",الإعدادات!$B$4,0)))</f>
        <v>0</v>
      </c>
    </row>
    <row r="363">
      <c r="A363" s="4" t="n"/>
      <c r="B363" s="5" t="str">
        <f>IF(A363="","",IFERROR(INDEX('جدول الجرد'!$A$2:$A$29,MATCH(A363,'جدول الجرد'!$B$2:$B$29,0)),""))</f>
        <v/>
      </c>
      <c r="C363" s="5" t="str">
        <f>IF(A363="","",IFERROR(INDEX('جدول الجرد'!$E$2:$E$29,MATCH(A363,'جدول الجرد'!$B$2:$B$29,0)),""))</f>
        <v/>
      </c>
      <c r="D363" s="4" t="n"/>
      <c r="E363" s="4" t="n"/>
      <c r="F363" s="4" t="n"/>
      <c r="G363" s="4" t="n"/>
      <c r="H363" s="5" t="str">
        <f>IF(E363="","",IF(AND(F363="نعم",G363="نعم"),"جرد + مراجعة",IF(F363="نعم","جرد فقط",IF(G363="نعم","مراجعة فقط",""))))</f>
        <v/>
      </c>
      <c r="I363" s="9">
        <f>IF(H363="جرد + مراجعة",الإعدادات!$B$2,IF(H363="مراجعة فقط",الإعدادات!$B$3,IF(H363="جرد فقط",الإعدادات!$B$4,0)))</f>
        <v>0</v>
      </c>
    </row>
    <row r="364">
      <c r="A364" s="4" t="n"/>
      <c r="B364" s="5" t="str">
        <f>IF(A364="","",IFERROR(INDEX('جدول الجرد'!$A$2:$A$29,MATCH(A364,'جدول الجرد'!$B$2:$B$29,0)),""))</f>
        <v/>
      </c>
      <c r="C364" s="5" t="str">
        <f>IF(A364="","",IFERROR(INDEX('جدول الجرد'!$E$2:$E$29,MATCH(A364,'جدول الجرد'!$B$2:$B$29,0)),""))</f>
        <v/>
      </c>
      <c r="D364" s="4" t="n"/>
      <c r="E364" s="4" t="n"/>
      <c r="F364" s="4" t="n"/>
      <c r="G364" s="4" t="n"/>
      <c r="H364" s="5" t="str">
        <f>IF(E364="","",IF(AND(F364="نعم",G364="نعم"),"جرد + مراجعة",IF(F364="نعم","جرد فقط",IF(G364="نعم","مراجعة فقط",""))))</f>
        <v/>
      </c>
      <c r="I364" s="9">
        <f>IF(H364="جرد + مراجعة",الإعدادات!$B$2,IF(H364="مراجعة فقط",الإعدادات!$B$3,IF(H364="جرد فقط",الإعدادات!$B$4,0)))</f>
        <v>0</v>
      </c>
    </row>
    <row r="365">
      <c r="A365" s="4" t="n"/>
      <c r="B365" s="5" t="str">
        <f>IF(A365="","",IFERROR(INDEX('جدول الجرد'!$A$2:$A$29,MATCH(A365,'جدول الجرد'!$B$2:$B$29,0)),""))</f>
        <v/>
      </c>
      <c r="C365" s="5" t="str">
        <f>IF(A365="","",IFERROR(INDEX('جدول الجرد'!$E$2:$E$29,MATCH(A365,'جدول الجرد'!$B$2:$B$29,0)),""))</f>
        <v/>
      </c>
      <c r="D365" s="4" t="n"/>
      <c r="E365" s="4" t="n"/>
      <c r="F365" s="4" t="n"/>
      <c r="G365" s="4" t="n"/>
      <c r="H365" s="5" t="str">
        <f>IF(E365="","",IF(AND(F365="نعم",G365="نعم"),"جرد + مراجعة",IF(F365="نعم","جرد فقط",IF(G365="نعم","مراجعة فقط",""))))</f>
        <v/>
      </c>
      <c r="I365" s="9">
        <f>IF(H365="جرد + مراجعة",الإعدادات!$B$2,IF(H365="مراجعة فقط",الإعدادات!$B$3,IF(H365="جرد فقط",الإعدادات!$B$4,0)))</f>
        <v>0</v>
      </c>
    </row>
    <row r="366">
      <c r="A366" s="4" t="n"/>
      <c r="B366" s="5" t="str">
        <f>IF(A366="","",IFERROR(INDEX('جدول الجرد'!$A$2:$A$29,MATCH(A366,'جدول الجرد'!$B$2:$B$29,0)),""))</f>
        <v/>
      </c>
      <c r="C366" s="5" t="str">
        <f>IF(A366="","",IFERROR(INDEX('جدول الجرد'!$E$2:$E$29,MATCH(A366,'جدول الجرد'!$B$2:$B$29,0)),""))</f>
        <v/>
      </c>
      <c r="D366" s="4" t="n"/>
      <c r="E366" s="4" t="n"/>
      <c r="F366" s="4" t="n"/>
      <c r="G366" s="4" t="n"/>
      <c r="H366" s="5" t="str">
        <f>IF(E366="","",IF(AND(F366="نعم",G366="نعم"),"جرد + مراجعة",IF(F366="نعم","جرد فقط",IF(G366="نعم","مراجعة فقط",""))))</f>
        <v/>
      </c>
      <c r="I366" s="9">
        <f>IF(H366="جرد + مراجعة",الإعدادات!$B$2,IF(H366="مراجعة فقط",الإعدادات!$B$3,IF(H366="جرد فقط",الإعدادات!$B$4,0)))</f>
        <v>0</v>
      </c>
    </row>
    <row r="367">
      <c r="A367" s="4" t="n"/>
      <c r="B367" s="5" t="str">
        <f>IF(A367="","",IFERROR(INDEX('جدول الجرد'!$A$2:$A$29,MATCH(A367,'جدول الجرد'!$B$2:$B$29,0)),""))</f>
        <v/>
      </c>
      <c r="C367" s="5" t="str">
        <f>IF(A367="","",IFERROR(INDEX('جدول الجرد'!$E$2:$E$29,MATCH(A367,'جدول الجرد'!$B$2:$B$29,0)),""))</f>
        <v/>
      </c>
      <c r="D367" s="4" t="n"/>
      <c r="E367" s="4" t="n"/>
      <c r="F367" s="4" t="n"/>
      <c r="G367" s="4" t="n"/>
      <c r="H367" s="5" t="str">
        <f>IF(E367="","",IF(AND(F367="نعم",G367="نعم"),"جرد + مراجعة",IF(F367="نعم","جرد فقط",IF(G367="نعم","مراجعة فقط",""))))</f>
        <v/>
      </c>
      <c r="I367" s="9">
        <f>IF(H367="جرد + مراجعة",الإعدادات!$B$2,IF(H367="مراجعة فقط",الإعدادات!$B$3,IF(H367="جرد فقط",الإعدادات!$B$4,0)))</f>
        <v>0</v>
      </c>
    </row>
    <row r="368">
      <c r="A368" s="4" t="n"/>
      <c r="B368" s="5" t="str">
        <f>IF(A368="","",IFERROR(INDEX('جدول الجرد'!$A$2:$A$29,MATCH(A368,'جدول الجرد'!$B$2:$B$29,0)),""))</f>
        <v/>
      </c>
      <c r="C368" s="5" t="str">
        <f>IF(A368="","",IFERROR(INDEX('جدول الجرد'!$E$2:$E$29,MATCH(A368,'جدول الجرد'!$B$2:$B$29,0)),""))</f>
        <v/>
      </c>
      <c r="D368" s="4" t="n"/>
      <c r="E368" s="4" t="n"/>
      <c r="F368" s="4" t="n"/>
      <c r="G368" s="4" t="n"/>
      <c r="H368" s="5" t="str">
        <f>IF(E368="","",IF(AND(F368="نعم",G368="نعم"),"جرد + مراجعة",IF(F368="نعم","جرد فقط",IF(G368="نعم","مراجعة فقط",""))))</f>
        <v/>
      </c>
      <c r="I368" s="9">
        <f>IF(H368="جرد + مراجعة",الإعدادات!$B$2,IF(H368="مراجعة فقط",الإعدادات!$B$3,IF(H368="جرد فقط",الإعدادات!$B$4,0)))</f>
        <v>0</v>
      </c>
    </row>
    <row r="369">
      <c r="A369" s="4" t="n"/>
      <c r="B369" s="5" t="str">
        <f>IF(A369="","",IFERROR(INDEX('جدول الجرد'!$A$2:$A$29,MATCH(A369,'جدول الجرد'!$B$2:$B$29,0)),""))</f>
        <v/>
      </c>
      <c r="C369" s="5" t="str">
        <f>IF(A369="","",IFERROR(INDEX('جدول الجرد'!$E$2:$E$29,MATCH(A369,'جدول الجرد'!$B$2:$B$29,0)),""))</f>
        <v/>
      </c>
      <c r="D369" s="4" t="n"/>
      <c r="E369" s="4" t="n"/>
      <c r="F369" s="4" t="n"/>
      <c r="G369" s="4" t="n"/>
      <c r="H369" s="5" t="str">
        <f>IF(E369="","",IF(AND(F369="نعم",G369="نعم"),"جرد + مراجعة",IF(F369="نعم","جرد فقط",IF(G369="نعم","مراجعة فقط",""))))</f>
        <v/>
      </c>
      <c r="I369" s="9">
        <f>IF(H369="جرد + مراجعة",الإعدادات!$B$2,IF(H369="مراجعة فقط",الإعدادات!$B$3,IF(H369="جرد فقط",الإعدادات!$B$4,0)))</f>
        <v>0</v>
      </c>
    </row>
    <row r="370">
      <c r="A370" s="4" t="n"/>
      <c r="B370" s="5" t="str">
        <f>IF(A370="","",IFERROR(INDEX('جدول الجرد'!$A$2:$A$29,MATCH(A370,'جدول الجرد'!$B$2:$B$29,0)),""))</f>
        <v/>
      </c>
      <c r="C370" s="5" t="str">
        <f>IF(A370="","",IFERROR(INDEX('جدول الجرد'!$E$2:$E$29,MATCH(A370,'جدول الجرد'!$B$2:$B$29,0)),""))</f>
        <v/>
      </c>
      <c r="D370" s="4" t="n"/>
      <c r="E370" s="4" t="n"/>
      <c r="F370" s="4" t="n"/>
      <c r="G370" s="4" t="n"/>
      <c r="H370" s="5" t="str">
        <f>IF(E370="","",IF(AND(F370="نعم",G370="نعم"),"جرد + مراجعة",IF(F370="نعم","جرد فقط",IF(G370="نعم","مراجعة فقط",""))))</f>
        <v/>
      </c>
      <c r="I370" s="9">
        <f>IF(H370="جرد + مراجعة",الإعدادات!$B$2,IF(H370="مراجعة فقط",الإعدادات!$B$3,IF(H370="جرد فقط",الإعدادات!$B$4,0)))</f>
        <v>0</v>
      </c>
    </row>
    <row r="371">
      <c r="A371" s="4" t="n"/>
      <c r="B371" s="5" t="str">
        <f>IF(A371="","",IFERROR(INDEX('جدول الجرد'!$A$2:$A$29,MATCH(A371,'جدول الجرد'!$B$2:$B$29,0)),""))</f>
        <v/>
      </c>
      <c r="C371" s="5" t="str">
        <f>IF(A371="","",IFERROR(INDEX('جدول الجرد'!$E$2:$E$29,MATCH(A371,'جدول الجرد'!$B$2:$B$29,0)),""))</f>
        <v/>
      </c>
      <c r="D371" s="4" t="n"/>
      <c r="E371" s="4" t="n"/>
      <c r="F371" s="4" t="n"/>
      <c r="G371" s="4" t="n"/>
      <c r="H371" s="5" t="str">
        <f>IF(E371="","",IF(AND(F371="نعم",G371="نعم"),"جرد + مراجعة",IF(F371="نعم","جرد فقط",IF(G371="نعم","مراجعة فقط",""))))</f>
        <v/>
      </c>
      <c r="I371" s="9">
        <f>IF(H371="جرد + مراجعة",الإعدادات!$B$2,IF(H371="مراجعة فقط",الإعدادات!$B$3,IF(H371="جرد فقط",الإعدادات!$B$4,0)))</f>
        <v>0</v>
      </c>
    </row>
    <row r="372">
      <c r="A372" s="4" t="n"/>
      <c r="B372" s="5" t="str">
        <f>IF(A372="","",IFERROR(INDEX('جدول الجرد'!$A$2:$A$29,MATCH(A372,'جدول الجرد'!$B$2:$B$29,0)),""))</f>
        <v/>
      </c>
      <c r="C372" s="5" t="str">
        <f>IF(A372="","",IFERROR(INDEX('جدول الجرد'!$E$2:$E$29,MATCH(A372,'جدول الجرد'!$B$2:$B$29,0)),""))</f>
        <v/>
      </c>
      <c r="D372" s="4" t="n"/>
      <c r="E372" s="4" t="n"/>
      <c r="F372" s="4" t="n"/>
      <c r="G372" s="4" t="n"/>
      <c r="H372" s="5" t="str">
        <f>IF(E372="","",IF(AND(F372="نعم",G372="نعم"),"جرد + مراجعة",IF(F372="نعم","جرد فقط",IF(G372="نعم","مراجعة فقط",""))))</f>
        <v/>
      </c>
      <c r="I372" s="9">
        <f>IF(H372="جرد + مراجعة",الإعدادات!$B$2,IF(H372="مراجعة فقط",الإعدادات!$B$3,IF(H372="جرد فقط",الإعدادات!$B$4,0)))</f>
        <v>0</v>
      </c>
    </row>
    <row r="373">
      <c r="A373" s="4" t="n"/>
      <c r="B373" s="5" t="str">
        <f>IF(A373="","",IFERROR(INDEX('جدول الجرد'!$A$2:$A$29,MATCH(A373,'جدول الجرد'!$B$2:$B$29,0)),""))</f>
        <v/>
      </c>
      <c r="C373" s="5" t="str">
        <f>IF(A373="","",IFERROR(INDEX('جدول الجرد'!$E$2:$E$29,MATCH(A373,'جدول الجرد'!$B$2:$B$29,0)),""))</f>
        <v/>
      </c>
      <c r="D373" s="4" t="n"/>
      <c r="E373" s="4" t="n"/>
      <c r="F373" s="4" t="n"/>
      <c r="G373" s="4" t="n"/>
      <c r="H373" s="5" t="str">
        <f>IF(E373="","",IF(AND(F373="نعم",G373="نعم"),"جرد + مراجعة",IF(F373="نعم","جرد فقط",IF(G373="نعم","مراجعة فقط",""))))</f>
        <v/>
      </c>
      <c r="I373" s="9">
        <f>IF(H373="جرد + مراجعة",الإعدادات!$B$2,IF(H373="مراجعة فقط",الإعدادات!$B$3,IF(H373="جرد فقط",الإعدادات!$B$4,0)))</f>
        <v>0</v>
      </c>
    </row>
    <row r="374">
      <c r="A374" s="4" t="n"/>
      <c r="B374" s="5" t="str">
        <f>IF(A374="","",IFERROR(INDEX('جدول الجرد'!$A$2:$A$29,MATCH(A374,'جدول الجرد'!$B$2:$B$29,0)),""))</f>
        <v/>
      </c>
      <c r="C374" s="5" t="str">
        <f>IF(A374="","",IFERROR(INDEX('جدول الجرد'!$E$2:$E$29,MATCH(A374,'جدول الجرد'!$B$2:$B$29,0)),""))</f>
        <v/>
      </c>
      <c r="D374" s="4" t="n"/>
      <c r="E374" s="4" t="n"/>
      <c r="F374" s="4" t="n"/>
      <c r="G374" s="4" t="n"/>
      <c r="H374" s="5" t="str">
        <f>IF(E374="","",IF(AND(F374="نعم",G374="نعم"),"جرد + مراجعة",IF(F374="نعم","جرد فقط",IF(G374="نعم","مراجعة فقط",""))))</f>
        <v/>
      </c>
      <c r="I374" s="9">
        <f>IF(H374="جرد + مراجعة",الإعدادات!$B$2,IF(H374="مراجعة فقط",الإعدادات!$B$3,IF(H374="جرد فقط",الإعدادات!$B$4,0)))</f>
        <v>0</v>
      </c>
    </row>
    <row r="375">
      <c r="A375" s="4" t="n"/>
      <c r="B375" s="5" t="str">
        <f>IF(A375="","",IFERROR(INDEX('جدول الجرد'!$A$2:$A$29,MATCH(A375,'جدول الجرد'!$B$2:$B$29,0)),""))</f>
        <v/>
      </c>
      <c r="C375" s="5" t="str">
        <f>IF(A375="","",IFERROR(INDEX('جدول الجرد'!$E$2:$E$29,MATCH(A375,'جدول الجرد'!$B$2:$B$29,0)),""))</f>
        <v/>
      </c>
      <c r="D375" s="4" t="n"/>
      <c r="E375" s="4" t="n"/>
      <c r="F375" s="4" t="n"/>
      <c r="G375" s="4" t="n"/>
      <c r="H375" s="5" t="str">
        <f>IF(E375="","",IF(AND(F375="نعم",G375="نعم"),"جرد + مراجعة",IF(F375="نعم","جرد فقط",IF(G375="نعم","مراجعة فقط",""))))</f>
        <v/>
      </c>
      <c r="I375" s="9">
        <f>IF(H375="جرد + مراجعة",الإعدادات!$B$2,IF(H375="مراجعة فقط",الإعدادات!$B$3,IF(H375="جرد فقط",الإعدادات!$B$4,0)))</f>
        <v>0</v>
      </c>
    </row>
    <row r="376">
      <c r="A376" s="4" t="n"/>
      <c r="B376" s="5" t="str">
        <f>IF(A376="","",IFERROR(INDEX('جدول الجرد'!$A$2:$A$29,MATCH(A376,'جدول الجرد'!$B$2:$B$29,0)),""))</f>
        <v/>
      </c>
      <c r="C376" s="5" t="str">
        <f>IF(A376="","",IFERROR(INDEX('جدول الجرد'!$E$2:$E$29,MATCH(A376,'جدول الجرد'!$B$2:$B$29,0)),""))</f>
        <v/>
      </c>
      <c r="D376" s="4" t="n"/>
      <c r="E376" s="4" t="n"/>
      <c r="F376" s="4" t="n"/>
      <c r="G376" s="4" t="n"/>
      <c r="H376" s="5" t="str">
        <f>IF(E376="","",IF(AND(F376="نعم",G376="نعم"),"جرد + مراجعة",IF(F376="نعم","جرد فقط",IF(G376="نعم","مراجعة فقط",""))))</f>
        <v/>
      </c>
      <c r="I376" s="9">
        <f>IF(H376="جرد + مراجعة",الإعدادات!$B$2,IF(H376="مراجعة فقط",الإعدادات!$B$3,IF(H376="جرد فقط",الإعدادات!$B$4,0)))</f>
        <v>0</v>
      </c>
    </row>
    <row r="377">
      <c r="A377" s="4" t="n"/>
      <c r="B377" s="5" t="str">
        <f>IF(A377="","",IFERROR(INDEX('جدول الجرد'!$A$2:$A$29,MATCH(A377,'جدول الجرد'!$B$2:$B$29,0)),""))</f>
        <v/>
      </c>
      <c r="C377" s="5" t="str">
        <f>IF(A377="","",IFERROR(INDEX('جدول الجرد'!$E$2:$E$29,MATCH(A377,'جدول الجرد'!$B$2:$B$29,0)),""))</f>
        <v/>
      </c>
      <c r="D377" s="4" t="n"/>
      <c r="E377" s="4" t="n"/>
      <c r="F377" s="4" t="n"/>
      <c r="G377" s="4" t="n"/>
      <c r="H377" s="5" t="str">
        <f>IF(E377="","",IF(AND(F377="نعم",G377="نعم"),"جرد + مراجعة",IF(F377="نعم","جرد فقط",IF(G377="نعم","مراجعة فقط",""))))</f>
        <v/>
      </c>
      <c r="I377" s="9">
        <f>IF(H377="جرد + مراجعة",الإعدادات!$B$2,IF(H377="مراجعة فقط",الإعدادات!$B$3,IF(H377="جرد فقط",الإعدادات!$B$4,0)))</f>
        <v>0</v>
      </c>
    </row>
    <row r="378">
      <c r="A378" s="4" t="n"/>
      <c r="B378" s="5" t="str">
        <f>IF(A378="","",IFERROR(INDEX('جدول الجرد'!$A$2:$A$29,MATCH(A378,'جدول الجرد'!$B$2:$B$29,0)),""))</f>
        <v/>
      </c>
      <c r="C378" s="5" t="str">
        <f>IF(A378="","",IFERROR(INDEX('جدول الجرد'!$E$2:$E$29,MATCH(A378,'جدول الجرد'!$B$2:$B$29,0)),""))</f>
        <v/>
      </c>
      <c r="D378" s="4" t="n"/>
      <c r="E378" s="4" t="n"/>
      <c r="F378" s="4" t="n"/>
      <c r="G378" s="4" t="n"/>
      <c r="H378" s="5" t="str">
        <f>IF(E378="","",IF(AND(F378="نعم",G378="نعم"),"جرد + مراجعة",IF(F378="نعم","جرد فقط",IF(G378="نعم","مراجعة فقط",""))))</f>
        <v/>
      </c>
      <c r="I378" s="9">
        <f>IF(H378="جرد + مراجعة",الإعدادات!$B$2,IF(H378="مراجعة فقط",الإعدادات!$B$3,IF(H378="جرد فقط",الإعدادات!$B$4,0)))</f>
        <v>0</v>
      </c>
    </row>
    <row r="379">
      <c r="A379" s="4" t="n"/>
      <c r="B379" s="5" t="str">
        <f>IF(A379="","",IFERROR(INDEX('جدول الجرد'!$A$2:$A$29,MATCH(A379,'جدول الجرد'!$B$2:$B$29,0)),""))</f>
        <v/>
      </c>
      <c r="C379" s="5" t="str">
        <f>IF(A379="","",IFERROR(INDEX('جدول الجرد'!$E$2:$E$29,MATCH(A379,'جدول الجرد'!$B$2:$B$29,0)),""))</f>
        <v/>
      </c>
      <c r="D379" s="4" t="n"/>
      <c r="E379" s="4" t="n"/>
      <c r="F379" s="4" t="n"/>
      <c r="G379" s="4" t="n"/>
      <c r="H379" s="5" t="str">
        <f>IF(E379="","",IF(AND(F379="نعم",G379="نعم"),"جرد + مراجعة",IF(F379="نعم","جرد فقط",IF(G379="نعم","مراجعة فقط",""))))</f>
        <v/>
      </c>
      <c r="I379" s="9">
        <f>IF(H379="جرد + مراجعة",الإعدادات!$B$2,IF(H379="مراجعة فقط",الإعدادات!$B$3,IF(H379="جرد فقط",الإعدادات!$B$4,0)))</f>
        <v>0</v>
      </c>
    </row>
    <row r="380">
      <c r="A380" s="4" t="n"/>
      <c r="B380" s="5" t="str">
        <f>IF(A380="","",IFERROR(INDEX('جدول الجرد'!$A$2:$A$29,MATCH(A380,'جدول الجرد'!$B$2:$B$29,0)),""))</f>
        <v/>
      </c>
      <c r="C380" s="5" t="str">
        <f>IF(A380="","",IFERROR(INDEX('جدول الجرد'!$E$2:$E$29,MATCH(A380,'جدول الجرد'!$B$2:$B$29,0)),""))</f>
        <v/>
      </c>
      <c r="D380" s="4" t="n"/>
      <c r="E380" s="4" t="n"/>
      <c r="F380" s="4" t="n"/>
      <c r="G380" s="4" t="n"/>
      <c r="H380" s="5" t="str">
        <f>IF(E380="","",IF(AND(F380="نعم",G380="نعم"),"جرد + مراجعة",IF(F380="نعم","جرد فقط",IF(G380="نعم","مراجعة فقط",""))))</f>
        <v/>
      </c>
      <c r="I380" s="9">
        <f>IF(H380="جرد + مراجعة",الإعدادات!$B$2,IF(H380="مراجعة فقط",الإعدادات!$B$3,IF(H380="جرد فقط",الإعدادات!$B$4,0)))</f>
        <v>0</v>
      </c>
    </row>
    <row r="381">
      <c r="A381" s="4" t="n"/>
      <c r="B381" s="5" t="str">
        <f>IF(A381="","",IFERROR(INDEX('جدول الجرد'!$A$2:$A$29,MATCH(A381,'جدول الجرد'!$B$2:$B$29,0)),""))</f>
        <v/>
      </c>
      <c r="C381" s="5" t="str">
        <f>IF(A381="","",IFERROR(INDEX('جدول الجرد'!$E$2:$E$29,MATCH(A381,'جدول الجرد'!$B$2:$B$29,0)),""))</f>
        <v/>
      </c>
      <c r="D381" s="4" t="n"/>
      <c r="E381" s="4" t="n"/>
      <c r="F381" s="4" t="n"/>
      <c r="G381" s="4" t="n"/>
      <c r="H381" s="5" t="str">
        <f>IF(E381="","",IF(AND(F381="نعم",G381="نعم"),"جرد + مراجعة",IF(F381="نعم","جرد فقط",IF(G381="نعم","مراجعة فقط",""))))</f>
        <v/>
      </c>
      <c r="I381" s="9">
        <f>IF(H381="جرد + مراجعة",الإعدادات!$B$2,IF(H381="مراجعة فقط",الإعدادات!$B$3,IF(H381="جرد فقط",الإعدادات!$B$4,0)))</f>
        <v>0</v>
      </c>
    </row>
    <row r="382">
      <c r="A382" s="4" t="n"/>
      <c r="B382" s="5" t="str">
        <f>IF(A382="","",IFERROR(INDEX('جدول الجرد'!$A$2:$A$29,MATCH(A382,'جدول الجرد'!$B$2:$B$29,0)),""))</f>
        <v/>
      </c>
      <c r="C382" s="5" t="str">
        <f>IF(A382="","",IFERROR(INDEX('جدول الجرد'!$E$2:$E$29,MATCH(A382,'جدول الجرد'!$B$2:$B$29,0)),""))</f>
        <v/>
      </c>
      <c r="D382" s="4" t="n"/>
      <c r="E382" s="4" t="n"/>
      <c r="F382" s="4" t="n"/>
      <c r="G382" s="4" t="n"/>
      <c r="H382" s="5" t="str">
        <f>IF(E382="","",IF(AND(F382="نعم",G382="نعم"),"جرد + مراجعة",IF(F382="نعم","جرد فقط",IF(G382="نعم","مراجعة فقط",""))))</f>
        <v/>
      </c>
      <c r="I382" s="9">
        <f>IF(H382="جرد + مراجعة",الإعدادات!$B$2,IF(H382="مراجعة فقط",الإعدادات!$B$3,IF(H382="جرد فقط",الإعدادات!$B$4,0)))</f>
        <v>0</v>
      </c>
    </row>
    <row r="383">
      <c r="A383" s="4" t="n"/>
      <c r="B383" s="5" t="str">
        <f>IF(A383="","",IFERROR(INDEX('جدول الجرد'!$A$2:$A$29,MATCH(A383,'جدول الجرد'!$B$2:$B$29,0)),""))</f>
        <v/>
      </c>
      <c r="C383" s="5" t="str">
        <f>IF(A383="","",IFERROR(INDEX('جدول الجرد'!$E$2:$E$29,MATCH(A383,'جدول الجرد'!$B$2:$B$29,0)),""))</f>
        <v/>
      </c>
      <c r="D383" s="4" t="n"/>
      <c r="E383" s="4" t="n"/>
      <c r="F383" s="4" t="n"/>
      <c r="G383" s="4" t="n"/>
      <c r="H383" s="5" t="str">
        <f>IF(E383="","",IF(AND(F383="نعم",G383="نعم"),"جرد + مراجعة",IF(F383="نعم","جرد فقط",IF(G383="نعم","مراجعة فقط",""))))</f>
        <v/>
      </c>
      <c r="I383" s="9">
        <f>IF(H383="جرد + مراجعة",الإعدادات!$B$2,IF(H383="مراجعة فقط",الإعدادات!$B$3,IF(H383="جرد فقط",الإعدادات!$B$4,0)))</f>
        <v>0</v>
      </c>
    </row>
    <row r="384">
      <c r="A384" s="4" t="n"/>
      <c r="B384" s="5" t="str">
        <f>IF(A384="","",IFERROR(INDEX('جدول الجرد'!$A$2:$A$29,MATCH(A384,'جدول الجرد'!$B$2:$B$29,0)),""))</f>
        <v/>
      </c>
      <c r="C384" s="5" t="str">
        <f>IF(A384="","",IFERROR(INDEX('جدول الجرد'!$E$2:$E$29,MATCH(A384,'جدول الجرد'!$B$2:$B$29,0)),""))</f>
        <v/>
      </c>
      <c r="D384" s="4" t="n"/>
      <c r="E384" s="4" t="n"/>
      <c r="F384" s="4" t="n"/>
      <c r="G384" s="4" t="n"/>
      <c r="H384" s="5" t="str">
        <f>IF(E384="","",IF(AND(F384="نعم",G384="نعم"),"جرد + مراجعة",IF(F384="نعم","جرد فقط",IF(G384="نعم","مراجعة فقط",""))))</f>
        <v/>
      </c>
      <c r="I384" s="9">
        <f>IF(H384="جرد + مراجعة",الإعدادات!$B$2,IF(H384="مراجعة فقط",الإعدادات!$B$3,IF(H384="جرد فقط",الإعدادات!$B$4,0)))</f>
        <v>0</v>
      </c>
    </row>
    <row r="385">
      <c r="A385" s="4" t="n"/>
      <c r="B385" s="5" t="str">
        <f>IF(A385="","",IFERROR(INDEX('جدول الجرد'!$A$2:$A$29,MATCH(A385,'جدول الجرد'!$B$2:$B$29,0)),""))</f>
        <v/>
      </c>
      <c r="C385" s="5" t="str">
        <f>IF(A385="","",IFERROR(INDEX('جدول الجرد'!$E$2:$E$29,MATCH(A385,'جدول الجرد'!$B$2:$B$29,0)),""))</f>
        <v/>
      </c>
      <c r="D385" s="4" t="n"/>
      <c r="E385" s="4" t="n"/>
      <c r="F385" s="4" t="n"/>
      <c r="G385" s="4" t="n"/>
      <c r="H385" s="5" t="str">
        <f>IF(E385="","",IF(AND(F385="نعم",G385="نعم"),"جرد + مراجعة",IF(F385="نعم","جرد فقط",IF(G385="نعم","مراجعة فقط",""))))</f>
        <v/>
      </c>
      <c r="I385" s="9">
        <f>IF(H385="جرد + مراجعة",الإعدادات!$B$2,IF(H385="مراجعة فقط",الإعدادات!$B$3,IF(H385="جرد فقط",الإعدادات!$B$4,0)))</f>
        <v>0</v>
      </c>
    </row>
    <row r="386">
      <c r="A386" s="4" t="n"/>
      <c r="B386" s="5" t="str">
        <f>IF(A386="","",IFERROR(INDEX('جدول الجرد'!$A$2:$A$29,MATCH(A386,'جدول الجرد'!$B$2:$B$29,0)),""))</f>
        <v/>
      </c>
      <c r="C386" s="5" t="str">
        <f>IF(A386="","",IFERROR(INDEX('جدول الجرد'!$E$2:$E$29,MATCH(A386,'جدول الجرد'!$B$2:$B$29,0)),""))</f>
        <v/>
      </c>
      <c r="D386" s="4" t="n"/>
      <c r="E386" s="4" t="n"/>
      <c r="F386" s="4" t="n"/>
      <c r="G386" s="4" t="n"/>
      <c r="H386" s="5" t="str">
        <f>IF(E386="","",IF(AND(F386="نعم",G386="نعم"),"جرد + مراجعة",IF(F386="نعم","جرد فقط",IF(G386="نعم","مراجعة فقط",""))))</f>
        <v/>
      </c>
      <c r="I386" s="9">
        <f>IF(H386="جرد + مراجعة",الإعدادات!$B$2,IF(H386="مراجعة فقط",الإعدادات!$B$3,IF(H386="جرد فقط",الإعدادات!$B$4,0)))</f>
        <v>0</v>
      </c>
    </row>
    <row r="387">
      <c r="A387" s="4" t="n"/>
      <c r="B387" s="5" t="str">
        <f>IF(A387="","",IFERROR(INDEX('جدول الجرد'!$A$2:$A$29,MATCH(A387,'جدول الجرد'!$B$2:$B$29,0)),""))</f>
        <v/>
      </c>
      <c r="C387" s="5" t="str">
        <f>IF(A387="","",IFERROR(INDEX('جدول الجرد'!$E$2:$E$29,MATCH(A387,'جدول الجرد'!$B$2:$B$29,0)),""))</f>
        <v/>
      </c>
      <c r="D387" s="4" t="n"/>
      <c r="E387" s="4" t="n"/>
      <c r="F387" s="4" t="n"/>
      <c r="G387" s="4" t="n"/>
      <c r="H387" s="5" t="str">
        <f>IF(E387="","",IF(AND(F387="نعم",G387="نعم"),"جرد + مراجعة",IF(F387="نعم","جرد فقط",IF(G387="نعم","مراجعة فقط",""))))</f>
        <v/>
      </c>
      <c r="I387" s="9">
        <f>IF(H387="جرد + مراجعة",الإعدادات!$B$2,IF(H387="مراجعة فقط",الإعدادات!$B$3,IF(H387="جرد فقط",الإعدادات!$B$4,0)))</f>
        <v>0</v>
      </c>
    </row>
    <row r="388">
      <c r="A388" s="4" t="n"/>
      <c r="B388" s="5" t="str">
        <f>IF(A388="","",IFERROR(INDEX('جدول الجرد'!$A$2:$A$29,MATCH(A388,'جدول الجرد'!$B$2:$B$29,0)),""))</f>
        <v/>
      </c>
      <c r="C388" s="5" t="str">
        <f>IF(A388="","",IFERROR(INDEX('جدول الجرد'!$E$2:$E$29,MATCH(A388,'جدول الجرد'!$B$2:$B$29,0)),""))</f>
        <v/>
      </c>
      <c r="D388" s="4" t="n"/>
      <c r="E388" s="4" t="n"/>
      <c r="F388" s="4" t="n"/>
      <c r="G388" s="4" t="n"/>
      <c r="H388" s="5" t="str">
        <f>IF(E388="","",IF(AND(F388="نعم",G388="نعم"),"جرد + مراجعة",IF(F388="نعم","جرد فقط",IF(G388="نعم","مراجعة فقط",""))))</f>
        <v/>
      </c>
      <c r="I388" s="9">
        <f>IF(H388="جرد + مراجعة",الإعدادات!$B$2,IF(H388="مراجعة فقط",الإعدادات!$B$3,IF(H388="جرد فقط",الإعدادات!$B$4,0)))</f>
        <v>0</v>
      </c>
    </row>
    <row r="389">
      <c r="A389" s="4" t="n"/>
      <c r="B389" s="5" t="str">
        <f>IF(A389="","",IFERROR(INDEX('جدول الجرد'!$A$2:$A$29,MATCH(A389,'جدول الجرد'!$B$2:$B$29,0)),""))</f>
        <v/>
      </c>
      <c r="C389" s="5" t="str">
        <f>IF(A389="","",IFERROR(INDEX('جدول الجرد'!$E$2:$E$29,MATCH(A389,'جدول الجرد'!$B$2:$B$29,0)),""))</f>
        <v/>
      </c>
      <c r="D389" s="4" t="n"/>
      <c r="E389" s="4" t="n"/>
      <c r="F389" s="4" t="n"/>
      <c r="G389" s="4" t="n"/>
      <c r="H389" s="5" t="str">
        <f>IF(E389="","",IF(AND(F389="نعم",G389="نعم"),"جرد + مراجعة",IF(F389="نعم","جرد فقط",IF(G389="نعم","مراجعة فقط",""))))</f>
        <v/>
      </c>
      <c r="I389" s="9">
        <f>IF(H389="جرد + مراجعة",الإعدادات!$B$2,IF(H389="مراجعة فقط",الإعدادات!$B$3,IF(H389="جرد فقط",الإعدادات!$B$4,0)))</f>
        <v>0</v>
      </c>
    </row>
    <row r="390">
      <c r="A390" s="4" t="n"/>
      <c r="B390" s="5" t="str">
        <f>IF(A390="","",IFERROR(INDEX('جدول الجرد'!$A$2:$A$29,MATCH(A390,'جدول الجرد'!$B$2:$B$29,0)),""))</f>
        <v/>
      </c>
      <c r="C390" s="5" t="str">
        <f>IF(A390="","",IFERROR(INDEX('جدول الجرد'!$E$2:$E$29,MATCH(A390,'جدول الجرد'!$B$2:$B$29,0)),""))</f>
        <v/>
      </c>
      <c r="D390" s="4" t="n"/>
      <c r="E390" s="4" t="n"/>
      <c r="F390" s="4" t="n"/>
      <c r="G390" s="4" t="n"/>
      <c r="H390" s="5" t="str">
        <f>IF(E390="","",IF(AND(F390="نعم",G390="نعم"),"جرد + مراجعة",IF(F390="نعم","جرد فقط",IF(G390="نعم","مراجعة فقط",""))))</f>
        <v/>
      </c>
      <c r="I390" s="9">
        <f>IF(H390="جرد + مراجعة",الإعدادات!$B$2,IF(H390="مراجعة فقط",الإعدادات!$B$3,IF(H390="جرد فقط",الإعدادات!$B$4,0)))</f>
        <v>0</v>
      </c>
    </row>
    <row r="391">
      <c r="A391" s="4" t="n"/>
      <c r="B391" s="5" t="str">
        <f>IF(A391="","",IFERROR(INDEX('جدول الجرد'!$A$2:$A$29,MATCH(A391,'جدول الجرد'!$B$2:$B$29,0)),""))</f>
        <v/>
      </c>
      <c r="C391" s="5" t="str">
        <f>IF(A391="","",IFERROR(INDEX('جدول الجرد'!$E$2:$E$29,MATCH(A391,'جدول الجرد'!$B$2:$B$29,0)),""))</f>
        <v/>
      </c>
      <c r="D391" s="4" t="n"/>
      <c r="E391" s="4" t="n"/>
      <c r="F391" s="4" t="n"/>
      <c r="G391" s="4" t="n"/>
      <c r="H391" s="5" t="str">
        <f>IF(E391="","",IF(AND(F391="نعم",G391="نعم"),"جرد + مراجعة",IF(F391="نعم","جرد فقط",IF(G391="نعم","مراجعة فقط",""))))</f>
        <v/>
      </c>
      <c r="I391" s="9">
        <f>IF(H391="جرد + مراجعة",الإعدادات!$B$2,IF(H391="مراجعة فقط",الإعدادات!$B$3,IF(H391="جرد فقط",الإعدادات!$B$4,0)))</f>
        <v>0</v>
      </c>
    </row>
    <row r="392">
      <c r="A392" s="4" t="n"/>
      <c r="B392" s="5" t="str">
        <f>IF(A392="","",IFERROR(INDEX('جدول الجرد'!$A$2:$A$29,MATCH(A392,'جدول الجرد'!$B$2:$B$29,0)),""))</f>
        <v/>
      </c>
      <c r="C392" s="5" t="str">
        <f>IF(A392="","",IFERROR(INDEX('جدول الجرد'!$E$2:$E$29,MATCH(A392,'جدول الجرد'!$B$2:$B$29,0)),""))</f>
        <v/>
      </c>
      <c r="D392" s="4" t="n"/>
      <c r="E392" s="4" t="n"/>
      <c r="F392" s="4" t="n"/>
      <c r="G392" s="4" t="n"/>
      <c r="H392" s="5" t="str">
        <f>IF(E392="","",IF(AND(F392="نعم",G392="نعم"),"جرد + مراجعة",IF(F392="نعم","جرد فقط",IF(G392="نعم","مراجعة فقط",""))))</f>
        <v/>
      </c>
      <c r="I392" s="9">
        <f>IF(H392="جرد + مراجعة",الإعدادات!$B$2,IF(H392="مراجعة فقط",الإعدادات!$B$3,IF(H392="جرد فقط",الإعدادات!$B$4,0)))</f>
        <v>0</v>
      </c>
    </row>
    <row r="393">
      <c r="A393" s="4" t="n"/>
      <c r="B393" s="5" t="str">
        <f>IF(A393="","",IFERROR(INDEX('جدول الجرد'!$A$2:$A$29,MATCH(A393,'جدول الجرد'!$B$2:$B$29,0)),""))</f>
        <v/>
      </c>
      <c r="C393" s="5" t="str">
        <f>IF(A393="","",IFERROR(INDEX('جدول الجرد'!$E$2:$E$29,MATCH(A393,'جدول الجرد'!$B$2:$B$29,0)),""))</f>
        <v/>
      </c>
      <c r="D393" s="4" t="n"/>
      <c r="E393" s="4" t="n"/>
      <c r="F393" s="4" t="n"/>
      <c r="G393" s="4" t="n"/>
      <c r="H393" s="5" t="str">
        <f>IF(E393="","",IF(AND(F393="نعم",G393="نعم"),"جرد + مراجعة",IF(F393="نعم","جرد فقط",IF(G393="نعم","مراجعة فقط",""))))</f>
        <v/>
      </c>
      <c r="I393" s="9">
        <f>IF(H393="جرد + مراجعة",الإعدادات!$B$2,IF(H393="مراجعة فقط",الإعدادات!$B$3,IF(H393="جرد فقط",الإعدادات!$B$4,0)))</f>
        <v>0</v>
      </c>
    </row>
    <row r="394">
      <c r="A394" s="4" t="n"/>
      <c r="B394" s="5" t="str">
        <f>IF(A394="","",IFERROR(INDEX('جدول الجرد'!$A$2:$A$29,MATCH(A394,'جدول الجرد'!$B$2:$B$29,0)),""))</f>
        <v/>
      </c>
      <c r="C394" s="5" t="str">
        <f>IF(A394="","",IFERROR(INDEX('جدول الجرد'!$E$2:$E$29,MATCH(A394,'جدول الجرد'!$B$2:$B$29,0)),""))</f>
        <v/>
      </c>
      <c r="D394" s="4" t="n"/>
      <c r="E394" s="4" t="n"/>
      <c r="F394" s="4" t="n"/>
      <c r="G394" s="4" t="n"/>
      <c r="H394" s="5" t="str">
        <f>IF(E394="","",IF(AND(F394="نعم",G394="نعم"),"جرد + مراجعة",IF(F394="نعم","جرد فقط",IF(G394="نعم","مراجعة فقط",""))))</f>
        <v/>
      </c>
      <c r="I394" s="9">
        <f>IF(H394="جرد + مراجعة",الإعدادات!$B$2,IF(H394="مراجعة فقط",الإعدادات!$B$3,IF(H394="جرد فقط",الإعدادات!$B$4,0)))</f>
        <v>0</v>
      </c>
    </row>
    <row r="395">
      <c r="A395" s="4" t="n"/>
      <c r="B395" s="5" t="str">
        <f>IF(A395="","",IFERROR(INDEX('جدول الجرد'!$A$2:$A$29,MATCH(A395,'جدول الجرد'!$B$2:$B$29,0)),""))</f>
        <v/>
      </c>
      <c r="C395" s="5" t="str">
        <f>IF(A395="","",IFERROR(INDEX('جدول الجرد'!$E$2:$E$29,MATCH(A395,'جدول الجرد'!$B$2:$B$29,0)),""))</f>
        <v/>
      </c>
      <c r="D395" s="4" t="n"/>
      <c r="E395" s="4" t="n"/>
      <c r="F395" s="4" t="n"/>
      <c r="G395" s="4" t="n"/>
      <c r="H395" s="5" t="str">
        <f>IF(E395="","",IF(AND(F395="نعم",G395="نعم"),"جرد + مراجعة",IF(F395="نعم","جرد فقط",IF(G395="نعم","مراجعة فقط",""))))</f>
        <v/>
      </c>
      <c r="I395" s="9">
        <f>IF(H395="جرد + مراجعة",الإعدادات!$B$2,IF(H395="مراجعة فقط",الإعدادات!$B$3,IF(H395="جرد فقط",الإعدادات!$B$4,0)))</f>
        <v>0</v>
      </c>
    </row>
    <row r="396">
      <c r="A396" s="4" t="n"/>
      <c r="B396" s="5" t="str">
        <f>IF(A396="","",IFERROR(INDEX('جدول الجرد'!$A$2:$A$29,MATCH(A396,'جدول الجرد'!$B$2:$B$29,0)),""))</f>
        <v/>
      </c>
      <c r="C396" s="5" t="str">
        <f>IF(A396="","",IFERROR(INDEX('جدول الجرد'!$E$2:$E$29,MATCH(A396,'جدول الجرد'!$B$2:$B$29,0)),""))</f>
        <v/>
      </c>
      <c r="D396" s="4" t="n"/>
      <c r="E396" s="4" t="n"/>
      <c r="F396" s="4" t="n"/>
      <c r="G396" s="4" t="n"/>
      <c r="H396" s="5" t="str">
        <f>IF(E396="","",IF(AND(F396="نعم",G396="نعم"),"جرد + مراجعة",IF(F396="نعم","جرد فقط",IF(G396="نعم","مراجعة فقط",""))))</f>
        <v/>
      </c>
      <c r="I396" s="9">
        <f>IF(H396="جرد + مراجعة",الإعدادات!$B$2,IF(H396="مراجعة فقط",الإعدادات!$B$3,IF(H396="جرد فقط",الإعدادات!$B$4,0)))</f>
        <v>0</v>
      </c>
    </row>
    <row r="397">
      <c r="A397" s="4" t="n"/>
      <c r="B397" s="5" t="str">
        <f>IF(A397="","",IFERROR(INDEX('جدول الجرد'!$A$2:$A$29,MATCH(A397,'جدول الجرد'!$B$2:$B$29,0)),""))</f>
        <v/>
      </c>
      <c r="C397" s="5" t="str">
        <f>IF(A397="","",IFERROR(INDEX('جدول الجرد'!$E$2:$E$29,MATCH(A397,'جدول الجرد'!$B$2:$B$29,0)),""))</f>
        <v/>
      </c>
      <c r="D397" s="4" t="n"/>
      <c r="E397" s="4" t="n"/>
      <c r="F397" s="4" t="n"/>
      <c r="G397" s="4" t="n"/>
      <c r="H397" s="5" t="str">
        <f>IF(E397="","",IF(AND(F397="نعم",G397="نعم"),"جرد + مراجعة",IF(F397="نعم","جرد فقط",IF(G397="نعم","مراجعة فقط",""))))</f>
        <v/>
      </c>
      <c r="I397" s="9">
        <f>IF(H397="جرد + مراجعة",الإعدادات!$B$2,IF(H397="مراجعة فقط",الإعدادات!$B$3,IF(H397="جرد فقط",الإعدادات!$B$4,0)))</f>
        <v>0</v>
      </c>
    </row>
    <row r="398">
      <c r="A398" s="4" t="n"/>
      <c r="B398" s="5" t="str">
        <f>IF(A398="","",IFERROR(INDEX('جدول الجرد'!$A$2:$A$29,MATCH(A398,'جدول الجرد'!$B$2:$B$29,0)),""))</f>
        <v/>
      </c>
      <c r="C398" s="5" t="str">
        <f>IF(A398="","",IFERROR(INDEX('جدول الجرد'!$E$2:$E$29,MATCH(A398,'جدول الجرد'!$B$2:$B$29,0)),""))</f>
        <v/>
      </c>
      <c r="D398" s="4" t="n"/>
      <c r="E398" s="4" t="n"/>
      <c r="F398" s="4" t="n"/>
      <c r="G398" s="4" t="n"/>
      <c r="H398" s="5" t="str">
        <f>IF(E398="","",IF(AND(F398="نعم",G398="نعم"),"جرد + مراجعة",IF(F398="نعم","جرد فقط",IF(G398="نعم","مراجعة فقط",""))))</f>
        <v/>
      </c>
      <c r="I398" s="9">
        <f>IF(H398="جرد + مراجعة",الإعدادات!$B$2,IF(H398="مراجعة فقط",الإعدادات!$B$3,IF(H398="جرد فقط",الإعدادات!$B$4,0)))</f>
        <v>0</v>
      </c>
    </row>
    <row r="399">
      <c r="A399" s="4" t="n"/>
      <c r="B399" s="5" t="str">
        <f>IF(A399="","",IFERROR(INDEX('جدول الجرد'!$A$2:$A$29,MATCH(A399,'جدول الجرد'!$B$2:$B$29,0)),""))</f>
        <v/>
      </c>
      <c r="C399" s="5" t="str">
        <f>IF(A399="","",IFERROR(INDEX('جدول الجرد'!$E$2:$E$29,MATCH(A399,'جدول الجرد'!$B$2:$B$29,0)),""))</f>
        <v/>
      </c>
      <c r="D399" s="4" t="n"/>
      <c r="E399" s="4" t="n"/>
      <c r="F399" s="4" t="n"/>
      <c r="G399" s="4" t="n"/>
      <c r="H399" s="5" t="str">
        <f>IF(E399="","",IF(AND(F399="نعم",G399="نعم"),"جرد + مراجعة",IF(F399="نعم","جرد فقط",IF(G399="نعم","مراجعة فقط",""))))</f>
        <v/>
      </c>
      <c r="I399" s="9">
        <f>IF(H399="جرد + مراجعة",الإعدادات!$B$2,IF(H399="مراجعة فقط",الإعدادات!$B$3,IF(H399="جرد فقط",الإعدادات!$B$4,0)))</f>
        <v>0</v>
      </c>
    </row>
    <row r="400">
      <c r="A400" s="4" t="n"/>
      <c r="B400" s="5" t="str">
        <f>IF(A400="","",IFERROR(INDEX('جدول الجرد'!$A$2:$A$29,MATCH(A400,'جدول الجرد'!$B$2:$B$29,0)),""))</f>
        <v/>
      </c>
      <c r="C400" s="5" t="str">
        <f>IF(A400="","",IFERROR(INDEX('جدول الجرد'!$E$2:$E$29,MATCH(A400,'جدول الجرد'!$B$2:$B$29,0)),""))</f>
        <v/>
      </c>
      <c r="D400" s="4" t="n"/>
      <c r="E400" s="4" t="n"/>
      <c r="F400" s="4" t="n"/>
      <c r="G400" s="4" t="n"/>
      <c r="H400" s="5" t="str">
        <f>IF(E400="","",IF(AND(F400="نعم",G400="نعم"),"جرد + مراجعة",IF(F400="نعم","جرد فقط",IF(G400="نعم","مراجعة فقط",""))))</f>
        <v/>
      </c>
      <c r="I400" s="9">
        <f>IF(H400="جرد + مراجعة",الإعدادات!$B$2,IF(H400="مراجعة فقط",الإعدادات!$B$3,IF(H400="جرد فقط",الإعدادات!$B$4,0)))</f>
        <v>0</v>
      </c>
    </row>
    <row r="401">
      <c r="A401" s="4" t="n"/>
      <c r="B401" s="5" t="str">
        <f>IF(A401="","",IFERROR(INDEX('جدول الجرد'!$A$2:$A$29,MATCH(A401,'جدول الجرد'!$B$2:$B$29,0)),""))</f>
        <v/>
      </c>
      <c r="C401" s="5" t="str">
        <f>IF(A401="","",IFERROR(INDEX('جدول الجرد'!$E$2:$E$29,MATCH(A401,'جدول الجرد'!$B$2:$B$29,0)),""))</f>
        <v/>
      </c>
      <c r="D401" s="4" t="n"/>
      <c r="E401" s="4" t="n"/>
      <c r="F401" s="4" t="n"/>
      <c r="G401" s="4" t="n"/>
      <c r="H401" s="5" t="str">
        <f>IF(E401="","",IF(AND(F401="نعم",G401="نعم"),"جرد + مراجعة",IF(F401="نعم","جرد فقط",IF(G401="نعم","مراجعة فقط",""))))</f>
        <v/>
      </c>
      <c r="I401" s="9">
        <f>IF(H401="جرد + مراجعة",الإعدادات!$B$2,IF(H401="مراجعة فقط",الإعدادات!$B$3,IF(H401="جرد فقط",الإعدادات!$B$4,0)))</f>
        <v>0</v>
      </c>
    </row>
    <row r="402">
      <c r="A402" s="4" t="n"/>
      <c r="B402" s="5" t="str">
        <f>IF(A402="","",IFERROR(INDEX('جدول الجرد'!$A$2:$A$29,MATCH(A402,'جدول الجرد'!$B$2:$B$29,0)),""))</f>
        <v/>
      </c>
      <c r="C402" s="5" t="str">
        <f>IF(A402="","",IFERROR(INDEX('جدول الجرد'!$E$2:$E$29,MATCH(A402,'جدول الجرد'!$B$2:$B$29,0)),""))</f>
        <v/>
      </c>
      <c r="D402" s="4" t="n"/>
      <c r="E402" s="4" t="n"/>
      <c r="F402" s="4" t="n"/>
      <c r="G402" s="4" t="n"/>
      <c r="H402" s="5" t="str">
        <f>IF(E402="","",IF(AND(F402="نعم",G402="نعم"),"جرد + مراجعة",IF(F402="نعم","جرد فقط",IF(G402="نعم","مراجعة فقط",""))))</f>
        <v/>
      </c>
      <c r="I402" s="9">
        <f>IF(H402="جرد + مراجعة",الإعدادات!$B$2,IF(H402="مراجعة فقط",الإعدادات!$B$3,IF(H402="جرد فقط",الإعدادات!$B$4,0)))</f>
        <v>0</v>
      </c>
    </row>
    <row r="403">
      <c r="A403" s="4" t="n"/>
      <c r="B403" s="5" t="str">
        <f>IF(A403="","",IFERROR(INDEX('جدول الجرد'!$A$2:$A$29,MATCH(A403,'جدول الجرد'!$B$2:$B$29,0)),""))</f>
        <v/>
      </c>
      <c r="C403" s="5" t="str">
        <f>IF(A403="","",IFERROR(INDEX('جدول الجرد'!$E$2:$E$29,MATCH(A403,'جدول الجرد'!$B$2:$B$29,0)),""))</f>
        <v/>
      </c>
      <c r="D403" s="4" t="n"/>
      <c r="E403" s="4" t="n"/>
      <c r="F403" s="4" t="n"/>
      <c r="G403" s="4" t="n"/>
      <c r="H403" s="5" t="str">
        <f>IF(E403="","",IF(AND(F403="نعم",G403="نعم"),"جرد + مراجعة",IF(F403="نعم","جرد فقط",IF(G403="نعم","مراجعة فقط",""))))</f>
        <v/>
      </c>
      <c r="I403" s="9">
        <f>IF(H403="جرد + مراجعة",الإعدادات!$B$2,IF(H403="مراجعة فقط",الإعدادات!$B$3,IF(H403="جرد فقط",الإعدادات!$B$4,0)))</f>
        <v>0</v>
      </c>
    </row>
    <row r="404">
      <c r="A404" s="4" t="n"/>
      <c r="B404" s="5" t="str">
        <f>IF(A404="","",IFERROR(INDEX('جدول الجرد'!$A$2:$A$29,MATCH(A404,'جدول الجرد'!$B$2:$B$29,0)),""))</f>
        <v/>
      </c>
      <c r="C404" s="5" t="str">
        <f>IF(A404="","",IFERROR(INDEX('جدول الجرد'!$E$2:$E$29,MATCH(A404,'جدول الجرد'!$B$2:$B$29,0)),""))</f>
        <v/>
      </c>
      <c r="D404" s="4" t="n"/>
      <c r="E404" s="4" t="n"/>
      <c r="F404" s="4" t="n"/>
      <c r="G404" s="4" t="n"/>
      <c r="H404" s="5" t="str">
        <f>IF(E404="","",IF(AND(F404="نعم",G404="نعم"),"جرد + مراجعة",IF(F404="نعم","جرد فقط",IF(G404="نعم","مراجعة فقط",""))))</f>
        <v/>
      </c>
      <c r="I404" s="9">
        <f>IF(H404="جرد + مراجعة",الإعدادات!$B$2,IF(H404="مراجعة فقط",الإعدادات!$B$3,IF(H404="جرد فقط",الإعدادات!$B$4,0)))</f>
        <v>0</v>
      </c>
    </row>
    <row r="405">
      <c r="A405" s="4" t="n"/>
      <c r="B405" s="5" t="str">
        <f>IF(A405="","",IFERROR(INDEX('جدول الجرد'!$A$2:$A$29,MATCH(A405,'جدول الجرد'!$B$2:$B$29,0)),""))</f>
        <v/>
      </c>
      <c r="C405" s="5" t="str">
        <f>IF(A405="","",IFERROR(INDEX('جدول الجرد'!$E$2:$E$29,MATCH(A405,'جدول الجرد'!$B$2:$B$29,0)),""))</f>
        <v/>
      </c>
      <c r="D405" s="4" t="n"/>
      <c r="E405" s="4" t="n"/>
      <c r="F405" s="4" t="n"/>
      <c r="G405" s="4" t="n"/>
      <c r="H405" s="5" t="str">
        <f>IF(E405="","",IF(AND(F405="نعم",G405="نعم"),"جرد + مراجعة",IF(F405="نعم","جرد فقط",IF(G405="نعم","مراجعة فقط",""))))</f>
        <v/>
      </c>
      <c r="I405" s="9">
        <f>IF(H405="جرد + مراجعة",الإعدادات!$B$2,IF(H405="مراجعة فقط",الإعدادات!$B$3,IF(H405="جرد فقط",الإعدادات!$B$4,0)))</f>
        <v>0</v>
      </c>
    </row>
    <row r="406">
      <c r="A406" s="4" t="n"/>
      <c r="B406" s="5" t="str">
        <f>IF(A406="","",IFERROR(INDEX('جدول الجرد'!$A$2:$A$29,MATCH(A406,'جدول الجرد'!$B$2:$B$29,0)),""))</f>
        <v/>
      </c>
      <c r="C406" s="5" t="str">
        <f>IF(A406="","",IFERROR(INDEX('جدول الجرد'!$E$2:$E$29,MATCH(A406,'جدول الجرد'!$B$2:$B$29,0)),""))</f>
        <v/>
      </c>
      <c r="D406" s="4" t="n"/>
      <c r="E406" s="4" t="n"/>
      <c r="F406" s="4" t="n"/>
      <c r="G406" s="4" t="n"/>
      <c r="H406" s="5" t="str">
        <f>IF(E406="","",IF(AND(F406="نعم",G406="نعم"),"جرد + مراجعة",IF(F406="نعم","جرد فقط",IF(G406="نعم","مراجعة فقط",""))))</f>
        <v/>
      </c>
      <c r="I406" s="9">
        <f>IF(H406="جرد + مراجعة",الإعدادات!$B$2,IF(H406="مراجعة فقط",الإعدادات!$B$3,IF(H406="جرد فقط",الإعدادات!$B$4,0)))</f>
        <v>0</v>
      </c>
    </row>
    <row r="407">
      <c r="A407" s="4" t="n"/>
      <c r="B407" s="5" t="str">
        <f>IF(A407="","",IFERROR(INDEX('جدول الجرد'!$A$2:$A$29,MATCH(A407,'جدول الجرد'!$B$2:$B$29,0)),""))</f>
        <v/>
      </c>
      <c r="C407" s="5" t="str">
        <f>IF(A407="","",IFERROR(INDEX('جدول الجرد'!$E$2:$E$29,MATCH(A407,'جدول الجرد'!$B$2:$B$29,0)),""))</f>
        <v/>
      </c>
      <c r="D407" s="4" t="n"/>
      <c r="E407" s="4" t="n"/>
      <c r="F407" s="4" t="n"/>
      <c r="G407" s="4" t="n"/>
      <c r="H407" s="5" t="str">
        <f>IF(E407="","",IF(AND(F407="نعم",G407="نعم"),"جرد + مراجعة",IF(F407="نعم","جرد فقط",IF(G407="نعم","مراجعة فقط",""))))</f>
        <v/>
      </c>
      <c r="I407" s="9">
        <f>IF(H407="جرد + مراجعة",الإعدادات!$B$2,IF(H407="مراجعة فقط",الإعدادات!$B$3,IF(H407="جرد فقط",الإعدادات!$B$4,0)))</f>
        <v>0</v>
      </c>
    </row>
    <row r="408">
      <c r="A408" s="4" t="n"/>
      <c r="B408" s="5" t="str">
        <f>IF(A408="","",IFERROR(INDEX('جدول الجرد'!$A$2:$A$29,MATCH(A408,'جدول الجرد'!$B$2:$B$29,0)),""))</f>
        <v/>
      </c>
      <c r="C408" s="5" t="str">
        <f>IF(A408="","",IFERROR(INDEX('جدول الجرد'!$E$2:$E$29,MATCH(A408,'جدول الجرد'!$B$2:$B$29,0)),""))</f>
        <v/>
      </c>
      <c r="D408" s="4" t="n"/>
      <c r="E408" s="4" t="n"/>
      <c r="F408" s="4" t="n"/>
      <c r="G408" s="4" t="n"/>
      <c r="H408" s="5" t="str">
        <f>IF(E408="","",IF(AND(F408="نعم",G408="نعم"),"جرد + مراجعة",IF(F408="نعم","جرد فقط",IF(G408="نعم","مراجعة فقط",""))))</f>
        <v/>
      </c>
      <c r="I408" s="9">
        <f>IF(H408="جرد + مراجعة",الإعدادات!$B$2,IF(H408="مراجعة فقط",الإعدادات!$B$3,IF(H408="جرد فقط",الإعدادات!$B$4,0)))</f>
        <v>0</v>
      </c>
    </row>
    <row r="409">
      <c r="A409" s="4" t="n"/>
      <c r="B409" s="5" t="str">
        <f>IF(A409="","",IFERROR(INDEX('جدول الجرد'!$A$2:$A$29,MATCH(A409,'جدول الجرد'!$B$2:$B$29,0)),""))</f>
        <v/>
      </c>
      <c r="C409" s="5" t="str">
        <f>IF(A409="","",IFERROR(INDEX('جدول الجرد'!$E$2:$E$29,MATCH(A409,'جدول الجرد'!$B$2:$B$29,0)),""))</f>
        <v/>
      </c>
      <c r="D409" s="4" t="n"/>
      <c r="E409" s="4" t="n"/>
      <c r="F409" s="4" t="n"/>
      <c r="G409" s="4" t="n"/>
      <c r="H409" s="5" t="str">
        <f>IF(E409="","",IF(AND(F409="نعم",G409="نعم"),"جرد + مراجعة",IF(F409="نعم","جرد فقط",IF(G409="نعم","مراجعة فقط",""))))</f>
        <v/>
      </c>
      <c r="I409" s="9">
        <f>IF(H409="جرد + مراجعة",الإعدادات!$B$2,IF(H409="مراجعة فقط",الإعدادات!$B$3,IF(H409="جرد فقط",الإعدادات!$B$4,0)))</f>
        <v>0</v>
      </c>
    </row>
    <row r="410">
      <c r="A410" s="4" t="n"/>
      <c r="B410" s="5" t="str">
        <f>IF(A410="","",IFERROR(INDEX('جدول الجرد'!$A$2:$A$29,MATCH(A410,'جدول الجرد'!$B$2:$B$29,0)),""))</f>
        <v/>
      </c>
      <c r="C410" s="5" t="str">
        <f>IF(A410="","",IFERROR(INDEX('جدول الجرد'!$E$2:$E$29,MATCH(A410,'جدول الجرد'!$B$2:$B$29,0)),""))</f>
        <v/>
      </c>
      <c r="D410" s="4" t="n"/>
      <c r="E410" s="4" t="n"/>
      <c r="F410" s="4" t="n"/>
      <c r="G410" s="4" t="n"/>
      <c r="H410" s="5" t="str">
        <f>IF(E410="","",IF(AND(F410="نعم",G410="نعم"),"جرد + مراجعة",IF(F410="نعم","جرد فقط",IF(G410="نعم","مراجعة فقط",""))))</f>
        <v/>
      </c>
      <c r="I410" s="9">
        <f>IF(H410="جرد + مراجعة",الإعدادات!$B$2,IF(H410="مراجعة فقط",الإعدادات!$B$3,IF(H410="جرد فقط",الإعدادات!$B$4,0)))</f>
        <v>0</v>
      </c>
    </row>
    <row r="411">
      <c r="A411" s="4" t="n"/>
      <c r="B411" s="5" t="str">
        <f>IF(A411="","",IFERROR(INDEX('جدول الجرد'!$A$2:$A$29,MATCH(A411,'جدول الجرد'!$B$2:$B$29,0)),""))</f>
        <v/>
      </c>
      <c r="C411" s="5" t="str">
        <f>IF(A411="","",IFERROR(INDEX('جدول الجرد'!$E$2:$E$29,MATCH(A411,'جدول الجرد'!$B$2:$B$29,0)),""))</f>
        <v/>
      </c>
      <c r="D411" s="4" t="n"/>
      <c r="E411" s="4" t="n"/>
      <c r="F411" s="4" t="n"/>
      <c r="G411" s="4" t="n"/>
      <c r="H411" s="5" t="str">
        <f>IF(E411="","",IF(AND(F411="نعم",G411="نعم"),"جرد + مراجعة",IF(F411="نعم","جرد فقط",IF(G411="نعم","مراجعة فقط",""))))</f>
        <v/>
      </c>
      <c r="I411" s="9">
        <f>IF(H411="جرد + مراجعة",الإعدادات!$B$2,IF(H411="مراجعة فقط",الإعدادات!$B$3,IF(H411="جرد فقط",الإعدادات!$B$4,0)))</f>
        <v>0</v>
      </c>
    </row>
    <row r="412">
      <c r="A412" s="4" t="n"/>
      <c r="B412" s="5" t="str">
        <f>IF(A412="","",IFERROR(INDEX('جدول الجرد'!$A$2:$A$29,MATCH(A412,'جدول الجرد'!$B$2:$B$29,0)),""))</f>
        <v/>
      </c>
      <c r="C412" s="5" t="str">
        <f>IF(A412="","",IFERROR(INDEX('جدول الجرد'!$E$2:$E$29,MATCH(A412,'جدول الجرد'!$B$2:$B$29,0)),""))</f>
        <v/>
      </c>
      <c r="D412" s="4" t="n"/>
      <c r="E412" s="4" t="n"/>
      <c r="F412" s="4" t="n"/>
      <c r="G412" s="4" t="n"/>
      <c r="H412" s="5" t="str">
        <f>IF(E412="","",IF(AND(F412="نعم",G412="نعم"),"جرد + مراجعة",IF(F412="نعم","جرد فقط",IF(G412="نعم","مراجعة فقط",""))))</f>
        <v/>
      </c>
      <c r="I412" s="9">
        <f>IF(H412="جرد + مراجعة",الإعدادات!$B$2,IF(H412="مراجعة فقط",الإعدادات!$B$3,IF(H412="جرد فقط",الإعدادات!$B$4,0)))</f>
        <v>0</v>
      </c>
    </row>
    <row r="413">
      <c r="A413" s="4" t="n"/>
      <c r="B413" s="5" t="str">
        <f>IF(A413="","",IFERROR(INDEX('جدول الجرد'!$A$2:$A$29,MATCH(A413,'جدول الجرد'!$B$2:$B$29,0)),""))</f>
        <v/>
      </c>
      <c r="C413" s="5" t="str">
        <f>IF(A413="","",IFERROR(INDEX('جدول الجرد'!$E$2:$E$29,MATCH(A413,'جدول الجرد'!$B$2:$B$29,0)),""))</f>
        <v/>
      </c>
      <c r="D413" s="4" t="n"/>
      <c r="E413" s="4" t="n"/>
      <c r="F413" s="4" t="n"/>
      <c r="G413" s="4" t="n"/>
      <c r="H413" s="5" t="str">
        <f>IF(E413="","",IF(AND(F413="نعم",G413="نعم"),"جرد + مراجعة",IF(F413="نعم","جرد فقط",IF(G413="نعم","مراجعة فقط",""))))</f>
        <v/>
      </c>
      <c r="I413" s="9">
        <f>IF(H413="جرد + مراجعة",الإعدادات!$B$2,IF(H413="مراجعة فقط",الإعدادات!$B$3,IF(H413="جرد فقط",الإعدادات!$B$4,0)))</f>
        <v>0</v>
      </c>
    </row>
    <row r="414">
      <c r="A414" s="4" t="n"/>
      <c r="B414" s="5" t="str">
        <f>IF(A414="","",IFERROR(INDEX('جدول الجرد'!$A$2:$A$29,MATCH(A414,'جدول الجرد'!$B$2:$B$29,0)),""))</f>
        <v/>
      </c>
      <c r="C414" s="5" t="str">
        <f>IF(A414="","",IFERROR(INDEX('جدول الجرد'!$E$2:$E$29,MATCH(A414,'جدول الجرد'!$B$2:$B$29,0)),""))</f>
        <v/>
      </c>
      <c r="D414" s="4" t="n"/>
      <c r="E414" s="4" t="n"/>
      <c r="F414" s="4" t="n"/>
      <c r="G414" s="4" t="n"/>
      <c r="H414" s="5" t="str">
        <f>IF(E414="","",IF(AND(F414="نعم",G414="نعم"),"جرد + مراجعة",IF(F414="نعم","جرد فقط",IF(G414="نعم","مراجعة فقط",""))))</f>
        <v/>
      </c>
      <c r="I414" s="9">
        <f>IF(H414="جرد + مراجعة",الإعدادات!$B$2,IF(H414="مراجعة فقط",الإعدادات!$B$3,IF(H414="جرد فقط",الإعدادات!$B$4,0)))</f>
        <v>0</v>
      </c>
    </row>
    <row r="415">
      <c r="A415" s="4" t="n"/>
      <c r="B415" s="5" t="str">
        <f>IF(A415="","",IFERROR(INDEX('جدول الجرد'!$A$2:$A$29,MATCH(A415,'جدول الجرد'!$B$2:$B$29,0)),""))</f>
        <v/>
      </c>
      <c r="C415" s="5" t="str">
        <f>IF(A415="","",IFERROR(INDEX('جدول الجرد'!$E$2:$E$29,MATCH(A415,'جدول الجرد'!$B$2:$B$29,0)),""))</f>
        <v/>
      </c>
      <c r="D415" s="4" t="n"/>
      <c r="E415" s="4" t="n"/>
      <c r="F415" s="4" t="n"/>
      <c r="G415" s="4" t="n"/>
      <c r="H415" s="5" t="str">
        <f>IF(E415="","",IF(AND(F415="نعم",G415="نعم"),"جرد + مراجعة",IF(F415="نعم","جرد فقط",IF(G415="نعم","مراجعة فقط",""))))</f>
        <v/>
      </c>
      <c r="I415" s="9">
        <f>IF(H415="جرد + مراجعة",الإعدادات!$B$2,IF(H415="مراجعة فقط",الإعدادات!$B$3,IF(H415="جرد فقط",الإعدادات!$B$4,0)))</f>
        <v>0</v>
      </c>
    </row>
    <row r="416">
      <c r="A416" s="4" t="n"/>
      <c r="B416" s="5" t="str">
        <f>IF(A416="","",IFERROR(INDEX('جدول الجرد'!$A$2:$A$29,MATCH(A416,'جدول الجرد'!$B$2:$B$29,0)),""))</f>
        <v/>
      </c>
      <c r="C416" s="5" t="str">
        <f>IF(A416="","",IFERROR(INDEX('جدول الجرد'!$E$2:$E$29,MATCH(A416,'جدول الجرد'!$B$2:$B$29,0)),""))</f>
        <v/>
      </c>
      <c r="D416" s="4" t="n"/>
      <c r="E416" s="4" t="n"/>
      <c r="F416" s="4" t="n"/>
      <c r="G416" s="4" t="n"/>
      <c r="H416" s="5" t="str">
        <f>IF(E416="","",IF(AND(F416="نعم",G416="نعم"),"جرد + مراجعة",IF(F416="نعم","جرد فقط",IF(G416="نعم","مراجعة فقط",""))))</f>
        <v/>
      </c>
      <c r="I416" s="9">
        <f>IF(H416="جرد + مراجعة",الإعدادات!$B$2,IF(H416="مراجعة فقط",الإعدادات!$B$3,IF(H416="جرد فقط",الإعدادات!$B$4,0)))</f>
        <v>0</v>
      </c>
    </row>
    <row r="417">
      <c r="A417" s="4" t="n"/>
      <c r="B417" s="5" t="str">
        <f>IF(A417="","",IFERROR(INDEX('جدول الجرد'!$A$2:$A$29,MATCH(A417,'جدول الجرد'!$B$2:$B$29,0)),""))</f>
        <v/>
      </c>
      <c r="C417" s="5" t="str">
        <f>IF(A417="","",IFERROR(INDEX('جدول الجرد'!$E$2:$E$29,MATCH(A417,'جدول الجرد'!$B$2:$B$29,0)),""))</f>
        <v/>
      </c>
      <c r="D417" s="4" t="n"/>
      <c r="E417" s="4" t="n"/>
      <c r="F417" s="4" t="n"/>
      <c r="G417" s="4" t="n"/>
      <c r="H417" s="5" t="str">
        <f>IF(E417="","",IF(AND(F417="نعم",G417="نعم"),"جرد + مراجعة",IF(F417="نعم","جرد فقط",IF(G417="نعم","مراجعة فقط",""))))</f>
        <v/>
      </c>
      <c r="I417" s="9">
        <f>IF(H417="جرد + مراجعة",الإعدادات!$B$2,IF(H417="مراجعة فقط",الإعدادات!$B$3,IF(H417="جرد فقط",الإعدادات!$B$4,0)))</f>
        <v>0</v>
      </c>
    </row>
    <row r="418">
      <c r="A418" s="4" t="n"/>
      <c r="B418" s="5" t="str">
        <f>IF(A418="","",IFERROR(INDEX('جدول الجرد'!$A$2:$A$29,MATCH(A418,'جدول الجرد'!$B$2:$B$29,0)),""))</f>
        <v/>
      </c>
      <c r="C418" s="5" t="str">
        <f>IF(A418="","",IFERROR(INDEX('جدول الجرد'!$E$2:$E$29,MATCH(A418,'جدول الجرد'!$B$2:$B$29,0)),""))</f>
        <v/>
      </c>
      <c r="D418" s="4" t="n"/>
      <c r="E418" s="4" t="n"/>
      <c r="F418" s="4" t="n"/>
      <c r="G418" s="4" t="n"/>
      <c r="H418" s="5" t="str">
        <f>IF(E418="","",IF(AND(F418="نعم",G418="نعم"),"جرد + مراجعة",IF(F418="نعم","جرد فقط",IF(G418="نعم","مراجعة فقط",""))))</f>
        <v/>
      </c>
      <c r="I418" s="9">
        <f>IF(H418="جرد + مراجعة",الإعدادات!$B$2,IF(H418="مراجعة فقط",الإعدادات!$B$3,IF(H418="جرد فقط",الإعدادات!$B$4,0)))</f>
        <v>0</v>
      </c>
    </row>
    <row r="419">
      <c r="A419" s="4" t="n"/>
      <c r="B419" s="5" t="str">
        <f>IF(A419="","",IFERROR(INDEX('جدول الجرد'!$A$2:$A$29,MATCH(A419,'جدول الجرد'!$B$2:$B$29,0)),""))</f>
        <v/>
      </c>
      <c r="C419" s="5" t="str">
        <f>IF(A419="","",IFERROR(INDEX('جدول الجرد'!$E$2:$E$29,MATCH(A419,'جدول الجرد'!$B$2:$B$29,0)),""))</f>
        <v/>
      </c>
      <c r="D419" s="4" t="n"/>
      <c r="E419" s="4" t="n"/>
      <c r="F419" s="4" t="n"/>
      <c r="G419" s="4" t="n"/>
      <c r="H419" s="5" t="str">
        <f>IF(E419="","",IF(AND(F419="نعم",G419="نعم"),"جرد + مراجعة",IF(F419="نعم","جرد فقط",IF(G419="نعم","مراجعة فقط",""))))</f>
        <v/>
      </c>
      <c r="I419" s="9">
        <f>IF(H419="جرد + مراجعة",الإعدادات!$B$2,IF(H419="مراجعة فقط",الإعدادات!$B$3,IF(H419="جرد فقط",الإعدادات!$B$4,0)))</f>
        <v>0</v>
      </c>
    </row>
    <row r="420">
      <c r="A420" s="4" t="n"/>
      <c r="B420" s="5" t="str">
        <f>IF(A420="","",IFERROR(INDEX('جدول الجرد'!$A$2:$A$29,MATCH(A420,'جدول الجرد'!$B$2:$B$29,0)),""))</f>
        <v/>
      </c>
      <c r="C420" s="5" t="str">
        <f>IF(A420="","",IFERROR(INDEX('جدول الجرد'!$E$2:$E$29,MATCH(A420,'جدول الجرد'!$B$2:$B$29,0)),""))</f>
        <v/>
      </c>
      <c r="D420" s="4" t="n"/>
      <c r="E420" s="4" t="n"/>
      <c r="F420" s="4" t="n"/>
      <c r="G420" s="4" t="n"/>
      <c r="H420" s="5" t="str">
        <f>IF(E420="","",IF(AND(F420="نعم",G420="نعم"),"جرد + مراجعة",IF(F420="نعم","جرد فقط",IF(G420="نعم","مراجعة فقط",""))))</f>
        <v/>
      </c>
      <c r="I420" s="9">
        <f>IF(H420="جرد + مراجعة",الإعدادات!$B$2,IF(H420="مراجعة فقط",الإعدادات!$B$3,IF(H420="جرد فقط",الإعدادات!$B$4,0)))</f>
        <v>0</v>
      </c>
    </row>
    <row r="421">
      <c r="A421" s="4" t="n"/>
      <c r="B421" s="5" t="str">
        <f>IF(A421="","",IFERROR(INDEX('جدول الجرد'!$A$2:$A$29,MATCH(A421,'جدول الجرد'!$B$2:$B$29,0)),""))</f>
        <v/>
      </c>
      <c r="C421" s="5" t="str">
        <f>IF(A421="","",IFERROR(INDEX('جدول الجرد'!$E$2:$E$29,MATCH(A421,'جدول الجرد'!$B$2:$B$29,0)),""))</f>
        <v/>
      </c>
      <c r="D421" s="4" t="n"/>
      <c r="E421" s="4" t="n"/>
      <c r="F421" s="4" t="n"/>
      <c r="G421" s="4" t="n"/>
      <c r="H421" s="5" t="str">
        <f>IF(E421="","",IF(AND(F421="نعم",G421="نعم"),"جرد + مراجعة",IF(F421="نعم","جرد فقط",IF(G421="نعم","مراجعة فقط",""))))</f>
        <v/>
      </c>
      <c r="I421" s="9">
        <f>IF(H421="جرد + مراجعة",الإعدادات!$B$2,IF(H421="مراجعة فقط",الإعدادات!$B$3,IF(H421="جرد فقط",الإعدادات!$B$4,0)))</f>
        <v>0</v>
      </c>
    </row>
    <row r="422">
      <c r="A422" s="4" t="n"/>
      <c r="B422" s="5" t="str">
        <f>IF(A422="","",IFERROR(INDEX('جدول الجرد'!$A$2:$A$29,MATCH(A422,'جدول الجرد'!$B$2:$B$29,0)),""))</f>
        <v/>
      </c>
      <c r="C422" s="5" t="str">
        <f>IF(A422="","",IFERROR(INDEX('جدول الجرد'!$E$2:$E$29,MATCH(A422,'جدول الجرد'!$B$2:$B$29,0)),""))</f>
        <v/>
      </c>
      <c r="D422" s="4" t="n"/>
      <c r="E422" s="4" t="n"/>
      <c r="F422" s="4" t="n"/>
      <c r="G422" s="4" t="n"/>
      <c r="H422" s="5" t="str">
        <f>IF(E422="","",IF(AND(F422="نعم",G422="نعم"),"جرد + مراجعة",IF(F422="نعم","جرد فقط",IF(G422="نعم","مراجعة فقط",""))))</f>
        <v/>
      </c>
      <c r="I422" s="9">
        <f>IF(H422="جرد + مراجعة",الإعدادات!$B$2,IF(H422="مراجعة فقط",الإعدادات!$B$3,IF(H422="جرد فقط",الإعدادات!$B$4,0)))</f>
        <v>0</v>
      </c>
    </row>
    <row r="423">
      <c r="A423" s="4" t="n"/>
      <c r="B423" s="5" t="str">
        <f>IF(A423="","",IFERROR(INDEX('جدول الجرد'!$A$2:$A$29,MATCH(A423,'جدول الجرد'!$B$2:$B$29,0)),""))</f>
        <v/>
      </c>
      <c r="C423" s="5" t="str">
        <f>IF(A423="","",IFERROR(INDEX('جدول الجرد'!$E$2:$E$29,MATCH(A423,'جدول الجرد'!$B$2:$B$29,0)),""))</f>
        <v/>
      </c>
      <c r="D423" s="4" t="n"/>
      <c r="E423" s="4" t="n"/>
      <c r="F423" s="4" t="n"/>
      <c r="G423" s="4" t="n"/>
      <c r="H423" s="5" t="str">
        <f>IF(E423="","",IF(AND(F423="نعم",G423="نعم"),"جرد + مراجعة",IF(F423="نعم","جرد فقط",IF(G423="نعم","مراجعة فقط",""))))</f>
        <v/>
      </c>
      <c r="I423" s="9">
        <f>IF(H423="جرد + مراجعة",الإعدادات!$B$2,IF(H423="مراجعة فقط",الإعدادات!$B$3,IF(H423="جرد فقط",الإعدادات!$B$4,0)))</f>
        <v>0</v>
      </c>
    </row>
    <row r="424">
      <c r="A424" s="4" t="n"/>
      <c r="B424" s="5" t="str">
        <f>IF(A424="","",IFERROR(INDEX('جدول الجرد'!$A$2:$A$29,MATCH(A424,'جدول الجرد'!$B$2:$B$29,0)),""))</f>
        <v/>
      </c>
      <c r="C424" s="5" t="str">
        <f>IF(A424="","",IFERROR(INDEX('جدول الجرد'!$E$2:$E$29,MATCH(A424,'جدول الجرد'!$B$2:$B$29,0)),""))</f>
        <v/>
      </c>
      <c r="D424" s="4" t="n"/>
      <c r="E424" s="4" t="n"/>
      <c r="F424" s="4" t="n"/>
      <c r="G424" s="4" t="n"/>
      <c r="H424" s="5" t="str">
        <f>IF(E424="","",IF(AND(F424="نعم",G424="نعم"),"جرد + مراجعة",IF(F424="نعم","جرد فقط",IF(G424="نعم","مراجعة فقط",""))))</f>
        <v/>
      </c>
      <c r="I424" s="9">
        <f>IF(H424="جرد + مراجعة",الإعدادات!$B$2,IF(H424="مراجعة فقط",الإعدادات!$B$3,IF(H424="جرد فقط",الإعدادات!$B$4,0)))</f>
        <v>0</v>
      </c>
    </row>
    <row r="425">
      <c r="A425" s="4" t="n"/>
      <c r="B425" s="5" t="str">
        <f>IF(A425="","",IFERROR(INDEX('جدول الجرد'!$A$2:$A$29,MATCH(A425,'جدول الجرد'!$B$2:$B$29,0)),""))</f>
        <v/>
      </c>
      <c r="C425" s="5" t="str">
        <f>IF(A425="","",IFERROR(INDEX('جدول الجرد'!$E$2:$E$29,MATCH(A425,'جدول الجرد'!$B$2:$B$29,0)),""))</f>
        <v/>
      </c>
      <c r="D425" s="4" t="n"/>
      <c r="E425" s="4" t="n"/>
      <c r="F425" s="4" t="n"/>
      <c r="G425" s="4" t="n"/>
      <c r="H425" s="5" t="str">
        <f>IF(E425="","",IF(AND(F425="نعم",G425="نعم"),"جرد + مراجعة",IF(F425="نعم","جرد فقط",IF(G425="نعم","مراجعة فقط",""))))</f>
        <v/>
      </c>
      <c r="I425" s="9">
        <f>IF(H425="جرد + مراجعة",الإعدادات!$B$2,IF(H425="مراجعة فقط",الإعدادات!$B$3,IF(H425="جرد فقط",الإعدادات!$B$4,0)))</f>
        <v>0</v>
      </c>
    </row>
    <row r="426">
      <c r="A426" s="4" t="n"/>
      <c r="B426" s="5" t="str">
        <f>IF(A426="","",IFERROR(INDEX('جدول الجرد'!$A$2:$A$29,MATCH(A426,'جدول الجرد'!$B$2:$B$29,0)),""))</f>
        <v/>
      </c>
      <c r="C426" s="5" t="str">
        <f>IF(A426="","",IFERROR(INDEX('جدول الجرد'!$E$2:$E$29,MATCH(A426,'جدول الجرد'!$B$2:$B$29,0)),""))</f>
        <v/>
      </c>
      <c r="D426" s="4" t="n"/>
      <c r="E426" s="4" t="n"/>
      <c r="F426" s="4" t="n"/>
      <c r="G426" s="4" t="n"/>
      <c r="H426" s="5" t="str">
        <f>IF(E426="","",IF(AND(F426="نعم",G426="نعم"),"جرد + مراجعة",IF(F426="نعم","جرد فقط",IF(G426="نعم","مراجعة فقط",""))))</f>
        <v/>
      </c>
      <c r="I426" s="9">
        <f>IF(H426="جرد + مراجعة",الإعدادات!$B$2,IF(H426="مراجعة فقط",الإعدادات!$B$3,IF(H426="جرد فقط",الإعدادات!$B$4,0)))</f>
        <v>0</v>
      </c>
    </row>
    <row r="427">
      <c r="A427" s="4" t="n"/>
      <c r="B427" s="5" t="str">
        <f>IF(A427="","",IFERROR(INDEX('جدول الجرد'!$A$2:$A$29,MATCH(A427,'جدول الجرد'!$B$2:$B$29,0)),""))</f>
        <v/>
      </c>
      <c r="C427" s="5" t="str">
        <f>IF(A427="","",IFERROR(INDEX('جدول الجرد'!$E$2:$E$29,MATCH(A427,'جدول الجرد'!$B$2:$B$29,0)),""))</f>
        <v/>
      </c>
      <c r="D427" s="4" t="n"/>
      <c r="E427" s="4" t="n"/>
      <c r="F427" s="4" t="n"/>
      <c r="G427" s="4" t="n"/>
      <c r="H427" s="5" t="str">
        <f>IF(E427="","",IF(AND(F427="نعم",G427="نعم"),"جرد + مراجعة",IF(F427="نعم","جرد فقط",IF(G427="نعم","مراجعة فقط",""))))</f>
        <v/>
      </c>
      <c r="I427" s="9">
        <f>IF(H427="جرد + مراجعة",الإعدادات!$B$2,IF(H427="مراجعة فقط",الإعدادات!$B$3,IF(H427="جرد فقط",الإعدادات!$B$4,0)))</f>
        <v>0</v>
      </c>
    </row>
    <row r="428">
      <c r="A428" s="4" t="n"/>
      <c r="B428" s="5" t="str">
        <f>IF(A428="","",IFERROR(INDEX('جدول الجرد'!$A$2:$A$29,MATCH(A428,'جدول الجرد'!$B$2:$B$29,0)),""))</f>
        <v/>
      </c>
      <c r="C428" s="5" t="str">
        <f>IF(A428="","",IFERROR(INDEX('جدول الجرد'!$E$2:$E$29,MATCH(A428,'جدول الجرد'!$B$2:$B$29,0)),""))</f>
        <v/>
      </c>
      <c r="D428" s="4" t="n"/>
      <c r="E428" s="4" t="n"/>
      <c r="F428" s="4" t="n"/>
      <c r="G428" s="4" t="n"/>
      <c r="H428" s="5" t="str">
        <f>IF(E428="","",IF(AND(F428="نعم",G428="نعم"),"جرد + مراجعة",IF(F428="نعم","جرد فقط",IF(G428="نعم","مراجعة فقط",""))))</f>
        <v/>
      </c>
      <c r="I428" s="9">
        <f>IF(H428="جرد + مراجعة",الإعدادات!$B$2,IF(H428="مراجعة فقط",الإعدادات!$B$3,IF(H428="جرد فقط",الإعدادات!$B$4,0)))</f>
        <v>0</v>
      </c>
    </row>
    <row r="429">
      <c r="A429" s="4" t="n"/>
      <c r="B429" s="5" t="str">
        <f>IF(A429="","",IFERROR(INDEX('جدول الجرد'!$A$2:$A$29,MATCH(A429,'جدول الجرد'!$B$2:$B$29,0)),""))</f>
        <v/>
      </c>
      <c r="C429" s="5" t="str">
        <f>IF(A429="","",IFERROR(INDEX('جدول الجرد'!$E$2:$E$29,MATCH(A429,'جدول الجرد'!$B$2:$B$29,0)),""))</f>
        <v/>
      </c>
      <c r="D429" s="4" t="n"/>
      <c r="E429" s="4" t="n"/>
      <c r="F429" s="4" t="n"/>
      <c r="G429" s="4" t="n"/>
      <c r="H429" s="5" t="str">
        <f>IF(E429="","",IF(AND(F429="نعم",G429="نعم"),"جرد + مراجعة",IF(F429="نعم","جرد فقط",IF(G429="نعم","مراجعة فقط",""))))</f>
        <v/>
      </c>
      <c r="I429" s="9">
        <f>IF(H429="جرد + مراجعة",الإعدادات!$B$2,IF(H429="مراجعة فقط",الإعدادات!$B$3,IF(H429="جرد فقط",الإعدادات!$B$4,0)))</f>
        <v>0</v>
      </c>
    </row>
    <row r="430">
      <c r="A430" s="4" t="n"/>
      <c r="B430" s="5" t="str">
        <f>IF(A430="","",IFERROR(INDEX('جدول الجرد'!$A$2:$A$29,MATCH(A430,'جدول الجرد'!$B$2:$B$29,0)),""))</f>
        <v/>
      </c>
      <c r="C430" s="5" t="str">
        <f>IF(A430="","",IFERROR(INDEX('جدول الجرد'!$E$2:$E$29,MATCH(A430,'جدول الجرد'!$B$2:$B$29,0)),""))</f>
        <v/>
      </c>
      <c r="D430" s="4" t="n"/>
      <c r="E430" s="4" t="n"/>
      <c r="F430" s="4" t="n"/>
      <c r="G430" s="4" t="n"/>
      <c r="H430" s="5" t="str">
        <f>IF(E430="","",IF(AND(F430="نعم",G430="نعم"),"جرد + مراجعة",IF(F430="نعم","جرد فقط",IF(G430="نعم","مراجعة فقط",""))))</f>
        <v/>
      </c>
      <c r="I430" s="9">
        <f>IF(H430="جرد + مراجعة",الإعدادات!$B$2,IF(H430="مراجعة فقط",الإعدادات!$B$3,IF(H430="جرد فقط",الإعدادات!$B$4,0)))</f>
        <v>0</v>
      </c>
    </row>
    <row r="431">
      <c r="A431" s="4" t="n"/>
      <c r="B431" s="5" t="str">
        <f>IF(A431="","",IFERROR(INDEX('جدول الجرد'!$A$2:$A$29,MATCH(A431,'جدول الجرد'!$B$2:$B$29,0)),""))</f>
        <v/>
      </c>
      <c r="C431" s="5" t="str">
        <f>IF(A431="","",IFERROR(INDEX('جدول الجرد'!$E$2:$E$29,MATCH(A431,'جدول الجرد'!$B$2:$B$29,0)),""))</f>
        <v/>
      </c>
      <c r="D431" s="4" t="n"/>
      <c r="E431" s="4" t="n"/>
      <c r="F431" s="4" t="n"/>
      <c r="G431" s="4" t="n"/>
      <c r="H431" s="5" t="str">
        <f>IF(E431="","",IF(AND(F431="نعم",G431="نعم"),"جرد + مراجعة",IF(F431="نعم","جرد فقط",IF(G431="نعم","مراجعة فقط",""))))</f>
        <v/>
      </c>
      <c r="I431" s="9">
        <f>IF(H431="جرد + مراجعة",الإعدادات!$B$2,IF(H431="مراجعة فقط",الإعدادات!$B$3,IF(H431="جرد فقط",الإعدادات!$B$4,0)))</f>
        <v>0</v>
      </c>
    </row>
    <row r="432">
      <c r="A432" s="4" t="n"/>
      <c r="B432" s="5" t="str">
        <f>IF(A432="","",IFERROR(INDEX('جدول الجرد'!$A$2:$A$29,MATCH(A432,'جدول الجرد'!$B$2:$B$29,0)),""))</f>
        <v/>
      </c>
      <c r="C432" s="5" t="str">
        <f>IF(A432="","",IFERROR(INDEX('جدول الجرد'!$E$2:$E$29,MATCH(A432,'جدول الجرد'!$B$2:$B$29,0)),""))</f>
        <v/>
      </c>
      <c r="D432" s="4" t="n"/>
      <c r="E432" s="4" t="n"/>
      <c r="F432" s="4" t="n"/>
      <c r="G432" s="4" t="n"/>
      <c r="H432" s="5" t="str">
        <f>IF(E432="","",IF(AND(F432="نعم",G432="نعم"),"جرد + مراجعة",IF(F432="نعم","جرد فقط",IF(G432="نعم","مراجعة فقط",""))))</f>
        <v/>
      </c>
      <c r="I432" s="9">
        <f>IF(H432="جرد + مراجعة",الإعدادات!$B$2,IF(H432="مراجعة فقط",الإعدادات!$B$3,IF(H432="جرد فقط",الإعدادات!$B$4,0)))</f>
        <v>0</v>
      </c>
    </row>
    <row r="433">
      <c r="A433" s="4" t="n"/>
      <c r="B433" s="5" t="str">
        <f>IF(A433="","",IFERROR(INDEX('جدول الجرد'!$A$2:$A$29,MATCH(A433,'جدول الجرد'!$B$2:$B$29,0)),""))</f>
        <v/>
      </c>
      <c r="C433" s="5" t="str">
        <f>IF(A433="","",IFERROR(INDEX('جدول الجرد'!$E$2:$E$29,MATCH(A433,'جدول الجرد'!$B$2:$B$29,0)),""))</f>
        <v/>
      </c>
      <c r="D433" s="4" t="n"/>
      <c r="E433" s="4" t="n"/>
      <c r="F433" s="4" t="n"/>
      <c r="G433" s="4" t="n"/>
      <c r="H433" s="5" t="str">
        <f>IF(E433="","",IF(AND(F433="نعم",G433="نعم"),"جرد + مراجعة",IF(F433="نعم","جرد فقط",IF(G433="نعم","مراجعة فقط",""))))</f>
        <v/>
      </c>
      <c r="I433" s="9">
        <f>IF(H433="جرد + مراجعة",الإعدادات!$B$2,IF(H433="مراجعة فقط",الإعدادات!$B$3,IF(H433="جرد فقط",الإعدادات!$B$4,0)))</f>
        <v>0</v>
      </c>
    </row>
    <row r="434">
      <c r="A434" s="4" t="n"/>
      <c r="B434" s="5" t="str">
        <f>IF(A434="","",IFERROR(INDEX('جدول الجرد'!$A$2:$A$29,MATCH(A434,'جدول الجرد'!$B$2:$B$29,0)),""))</f>
        <v/>
      </c>
      <c r="C434" s="5" t="str">
        <f>IF(A434="","",IFERROR(INDEX('جدول الجرد'!$E$2:$E$29,MATCH(A434,'جدول الجرد'!$B$2:$B$29,0)),""))</f>
        <v/>
      </c>
      <c r="D434" s="4" t="n"/>
      <c r="E434" s="4" t="n"/>
      <c r="F434" s="4" t="n"/>
      <c r="G434" s="4" t="n"/>
      <c r="H434" s="5" t="str">
        <f>IF(E434="","",IF(AND(F434="نعم",G434="نعم"),"جرد + مراجعة",IF(F434="نعم","جرد فقط",IF(G434="نعم","مراجعة فقط",""))))</f>
        <v/>
      </c>
      <c r="I434" s="9">
        <f>IF(H434="جرد + مراجعة",الإعدادات!$B$2,IF(H434="مراجعة فقط",الإعدادات!$B$3,IF(H434="جرد فقط",الإعدادات!$B$4,0)))</f>
        <v>0</v>
      </c>
    </row>
    <row r="435">
      <c r="A435" s="4" t="n"/>
      <c r="B435" s="5" t="str">
        <f>IF(A435="","",IFERROR(INDEX('جدول الجرد'!$A$2:$A$29,MATCH(A435,'جدول الجرد'!$B$2:$B$29,0)),""))</f>
        <v/>
      </c>
      <c r="C435" s="5" t="str">
        <f>IF(A435="","",IFERROR(INDEX('جدول الجرد'!$E$2:$E$29,MATCH(A435,'جدول الجرد'!$B$2:$B$29,0)),""))</f>
        <v/>
      </c>
      <c r="D435" s="4" t="n"/>
      <c r="E435" s="4" t="n"/>
      <c r="F435" s="4" t="n"/>
      <c r="G435" s="4" t="n"/>
      <c r="H435" s="5" t="str">
        <f>IF(E435="","",IF(AND(F435="نعم",G435="نعم"),"جرد + مراجعة",IF(F435="نعم","جرد فقط",IF(G435="نعم","مراجعة فقط",""))))</f>
        <v/>
      </c>
      <c r="I435" s="9">
        <f>IF(H435="جرد + مراجعة",الإعدادات!$B$2,IF(H435="مراجعة فقط",الإعدادات!$B$3,IF(H435="جرد فقط",الإعدادات!$B$4,0)))</f>
        <v>0</v>
      </c>
    </row>
    <row r="436">
      <c r="A436" s="4" t="n"/>
      <c r="B436" s="5" t="str">
        <f>IF(A436="","",IFERROR(INDEX('جدول الجرد'!$A$2:$A$29,MATCH(A436,'جدول الجرد'!$B$2:$B$29,0)),""))</f>
        <v/>
      </c>
      <c r="C436" s="5" t="str">
        <f>IF(A436="","",IFERROR(INDEX('جدول الجرد'!$E$2:$E$29,MATCH(A436,'جدول الجرد'!$B$2:$B$29,0)),""))</f>
        <v/>
      </c>
      <c r="D436" s="4" t="n"/>
      <c r="E436" s="4" t="n"/>
      <c r="F436" s="4" t="n"/>
      <c r="G436" s="4" t="n"/>
      <c r="H436" s="5" t="str">
        <f>IF(E436="","",IF(AND(F436="نعم",G436="نعم"),"جرد + مراجعة",IF(F436="نعم","جرد فقط",IF(G436="نعم","مراجعة فقط",""))))</f>
        <v/>
      </c>
      <c r="I436" s="9">
        <f>IF(H436="جرد + مراجعة",الإعدادات!$B$2,IF(H436="مراجعة فقط",الإعدادات!$B$3,IF(H436="جرد فقط",الإعدادات!$B$4,0)))</f>
        <v>0</v>
      </c>
    </row>
    <row r="437">
      <c r="A437" s="4" t="n"/>
      <c r="B437" s="5" t="str">
        <f>IF(A437="","",IFERROR(INDEX('جدول الجرد'!$A$2:$A$29,MATCH(A437,'جدول الجرد'!$B$2:$B$29,0)),""))</f>
        <v/>
      </c>
      <c r="C437" s="5" t="str">
        <f>IF(A437="","",IFERROR(INDEX('جدول الجرد'!$E$2:$E$29,MATCH(A437,'جدول الجرد'!$B$2:$B$29,0)),""))</f>
        <v/>
      </c>
      <c r="D437" s="4" t="n"/>
      <c r="E437" s="4" t="n"/>
      <c r="F437" s="4" t="n"/>
      <c r="G437" s="4" t="n"/>
      <c r="H437" s="5" t="str">
        <f>IF(E437="","",IF(AND(F437="نعم",G437="نعم"),"جرد + مراجعة",IF(F437="نعم","جرد فقط",IF(G437="نعم","مراجعة فقط",""))))</f>
        <v/>
      </c>
      <c r="I437" s="9">
        <f>IF(H437="جرد + مراجعة",الإعدادات!$B$2,IF(H437="مراجعة فقط",الإعدادات!$B$3,IF(H437="جرد فقط",الإعدادات!$B$4,0)))</f>
        <v>0</v>
      </c>
    </row>
    <row r="438">
      <c r="A438" s="4" t="n"/>
      <c r="B438" s="5" t="str">
        <f>IF(A438="","",IFERROR(INDEX('جدول الجرد'!$A$2:$A$29,MATCH(A438,'جدول الجرد'!$B$2:$B$29,0)),""))</f>
        <v/>
      </c>
      <c r="C438" s="5" t="str">
        <f>IF(A438="","",IFERROR(INDEX('جدول الجرد'!$E$2:$E$29,MATCH(A438,'جدول الجرد'!$B$2:$B$29,0)),""))</f>
        <v/>
      </c>
      <c r="D438" s="4" t="n"/>
      <c r="E438" s="4" t="n"/>
      <c r="F438" s="4" t="n"/>
      <c r="G438" s="4" t="n"/>
      <c r="H438" s="5" t="str">
        <f>IF(E438="","",IF(AND(F438="نعم",G438="نعم"),"جرد + مراجعة",IF(F438="نعم","جرد فقط",IF(G438="نعم","مراجعة فقط",""))))</f>
        <v/>
      </c>
      <c r="I438" s="9">
        <f>IF(H438="جرد + مراجعة",الإعدادات!$B$2,IF(H438="مراجعة فقط",الإعدادات!$B$3,IF(H438="جرد فقط",الإعدادات!$B$4,0)))</f>
        <v>0</v>
      </c>
    </row>
    <row r="439">
      <c r="A439" s="4" t="n"/>
      <c r="B439" s="5" t="str">
        <f>IF(A439="","",IFERROR(INDEX('جدول الجرد'!$A$2:$A$29,MATCH(A439,'جدول الجرد'!$B$2:$B$29,0)),""))</f>
        <v/>
      </c>
      <c r="C439" s="5" t="str">
        <f>IF(A439="","",IFERROR(INDEX('جدول الجرد'!$E$2:$E$29,MATCH(A439,'جدول الجرد'!$B$2:$B$29,0)),""))</f>
        <v/>
      </c>
      <c r="D439" s="4" t="n"/>
      <c r="E439" s="4" t="n"/>
      <c r="F439" s="4" t="n"/>
      <c r="G439" s="4" t="n"/>
      <c r="H439" s="5" t="str">
        <f>IF(E439="","",IF(AND(F439="نعم",G439="نعم"),"جرد + مراجعة",IF(F439="نعم","جرد فقط",IF(G439="نعم","مراجعة فقط",""))))</f>
        <v/>
      </c>
      <c r="I439" s="9">
        <f>IF(H439="جرد + مراجعة",الإعدادات!$B$2,IF(H439="مراجعة فقط",الإعدادات!$B$3,IF(H439="جرد فقط",الإعدادات!$B$4,0)))</f>
        <v>0</v>
      </c>
    </row>
    <row r="440">
      <c r="A440" s="4" t="n"/>
      <c r="B440" s="5" t="str">
        <f>IF(A440="","",IFERROR(INDEX('جدول الجرد'!$A$2:$A$29,MATCH(A440,'جدول الجرد'!$B$2:$B$29,0)),""))</f>
        <v/>
      </c>
      <c r="C440" s="5" t="str">
        <f>IF(A440="","",IFERROR(INDEX('جدول الجرد'!$E$2:$E$29,MATCH(A440,'جدول الجرد'!$B$2:$B$29,0)),""))</f>
        <v/>
      </c>
      <c r="D440" s="4" t="n"/>
      <c r="E440" s="4" t="n"/>
      <c r="F440" s="4" t="n"/>
      <c r="G440" s="4" t="n"/>
      <c r="H440" s="5" t="str">
        <f>IF(E440="","",IF(AND(F440="نعم",G440="نعم"),"جرد + مراجعة",IF(F440="نعم","جرد فقط",IF(G440="نعم","مراجعة فقط",""))))</f>
        <v/>
      </c>
      <c r="I440" s="9">
        <f>IF(H440="جرد + مراجعة",الإعدادات!$B$2,IF(H440="مراجعة فقط",الإعدادات!$B$3,IF(H440="جرد فقط",الإعدادات!$B$4,0)))</f>
        <v>0</v>
      </c>
    </row>
    <row r="441">
      <c r="A441" s="4" t="n"/>
      <c r="B441" s="5" t="str">
        <f>IF(A441="","",IFERROR(INDEX('جدول الجرد'!$A$2:$A$29,MATCH(A441,'جدول الجرد'!$B$2:$B$29,0)),""))</f>
        <v/>
      </c>
      <c r="C441" s="5" t="str">
        <f>IF(A441="","",IFERROR(INDEX('جدول الجرد'!$E$2:$E$29,MATCH(A441,'جدول الجرد'!$B$2:$B$29,0)),""))</f>
        <v/>
      </c>
      <c r="D441" s="4" t="n"/>
      <c r="E441" s="4" t="n"/>
      <c r="F441" s="4" t="n"/>
      <c r="G441" s="4" t="n"/>
      <c r="H441" s="5" t="str">
        <f>IF(E441="","",IF(AND(F441="نعم",G441="نعم"),"جرد + مراجعة",IF(F441="نعم","جرد فقط",IF(G441="نعم","مراجعة فقط",""))))</f>
        <v/>
      </c>
      <c r="I441" s="9">
        <f>IF(H441="جرد + مراجعة",الإعدادات!$B$2,IF(H441="مراجعة فقط",الإعدادات!$B$3,IF(H441="جرد فقط",الإعدادات!$B$4,0)))</f>
        <v>0</v>
      </c>
    </row>
    <row r="442">
      <c r="A442" s="4" t="n"/>
      <c r="B442" s="5" t="str">
        <f>IF(A442="","",IFERROR(INDEX('جدول الجرد'!$A$2:$A$29,MATCH(A442,'جدول الجرد'!$B$2:$B$29,0)),""))</f>
        <v/>
      </c>
      <c r="C442" s="5" t="str">
        <f>IF(A442="","",IFERROR(INDEX('جدول الجرد'!$E$2:$E$29,MATCH(A442,'جدول الجرد'!$B$2:$B$29,0)),""))</f>
        <v/>
      </c>
      <c r="D442" s="4" t="n"/>
      <c r="E442" s="4" t="n"/>
      <c r="F442" s="4" t="n"/>
      <c r="G442" s="4" t="n"/>
      <c r="H442" s="5" t="str">
        <f>IF(E442="","",IF(AND(F442="نعم",G442="نعم"),"جرد + مراجعة",IF(F442="نعم","جرد فقط",IF(G442="نعم","مراجعة فقط",""))))</f>
        <v/>
      </c>
      <c r="I442" s="9">
        <f>IF(H442="جرد + مراجعة",الإعدادات!$B$2,IF(H442="مراجعة فقط",الإعدادات!$B$3,IF(H442="جرد فقط",الإعدادات!$B$4,0)))</f>
        <v>0</v>
      </c>
    </row>
    <row r="443">
      <c r="A443" s="4" t="n"/>
      <c r="B443" s="5" t="str">
        <f>IF(A443="","",IFERROR(INDEX('جدول الجرد'!$A$2:$A$29,MATCH(A443,'جدول الجرد'!$B$2:$B$29,0)),""))</f>
        <v/>
      </c>
      <c r="C443" s="5" t="str">
        <f>IF(A443="","",IFERROR(INDEX('جدول الجرد'!$E$2:$E$29,MATCH(A443,'جدول الجرد'!$B$2:$B$29,0)),""))</f>
        <v/>
      </c>
      <c r="D443" s="4" t="n"/>
      <c r="E443" s="4" t="n"/>
      <c r="F443" s="4" t="n"/>
      <c r="G443" s="4" t="n"/>
      <c r="H443" s="5" t="str">
        <f>IF(E443="","",IF(AND(F443="نعم",G443="نعم"),"جرد + مراجعة",IF(F443="نعم","جرد فقط",IF(G443="نعم","مراجعة فقط",""))))</f>
        <v/>
      </c>
      <c r="I443" s="9">
        <f>IF(H443="جرد + مراجعة",الإعدادات!$B$2,IF(H443="مراجعة فقط",الإعدادات!$B$3,IF(H443="جرد فقط",الإعدادات!$B$4,0)))</f>
        <v>0</v>
      </c>
    </row>
    <row r="444">
      <c r="A444" s="4" t="n"/>
      <c r="B444" s="5" t="str">
        <f>IF(A444="","",IFERROR(INDEX('جدول الجرد'!$A$2:$A$29,MATCH(A444,'جدول الجرد'!$B$2:$B$29,0)),""))</f>
        <v/>
      </c>
      <c r="C444" s="5" t="str">
        <f>IF(A444="","",IFERROR(INDEX('جدول الجرد'!$E$2:$E$29,MATCH(A444,'جدول الجرد'!$B$2:$B$29,0)),""))</f>
        <v/>
      </c>
      <c r="D444" s="4" t="n"/>
      <c r="E444" s="4" t="n"/>
      <c r="F444" s="4" t="n"/>
      <c r="G444" s="4" t="n"/>
      <c r="H444" s="5" t="str">
        <f>IF(E444="","",IF(AND(F444="نعم",G444="نعم"),"جرد + مراجعة",IF(F444="نعم","جرد فقط",IF(G444="نعم","مراجعة فقط",""))))</f>
        <v/>
      </c>
      <c r="I444" s="9">
        <f>IF(H444="جرد + مراجعة",الإعدادات!$B$2,IF(H444="مراجعة فقط",الإعدادات!$B$3,IF(H444="جرد فقط",الإعدادات!$B$4,0)))</f>
        <v>0</v>
      </c>
    </row>
    <row r="445">
      <c r="A445" s="4" t="n"/>
      <c r="B445" s="5" t="str">
        <f>IF(A445="","",IFERROR(INDEX('جدول الجرد'!$A$2:$A$29,MATCH(A445,'جدول الجرد'!$B$2:$B$29,0)),""))</f>
        <v/>
      </c>
      <c r="C445" s="5" t="str">
        <f>IF(A445="","",IFERROR(INDEX('جدول الجرد'!$E$2:$E$29,MATCH(A445,'جدول الجرد'!$B$2:$B$29,0)),""))</f>
        <v/>
      </c>
      <c r="D445" s="4" t="n"/>
      <c r="E445" s="4" t="n"/>
      <c r="F445" s="4" t="n"/>
      <c r="G445" s="4" t="n"/>
      <c r="H445" s="5" t="str">
        <f>IF(E445="","",IF(AND(F445="نعم",G445="نعم"),"جرد + مراجعة",IF(F445="نعم","جرد فقط",IF(G445="نعم","مراجعة فقط",""))))</f>
        <v/>
      </c>
      <c r="I445" s="9">
        <f>IF(H445="جرد + مراجعة",الإعدادات!$B$2,IF(H445="مراجعة فقط",الإعدادات!$B$3,IF(H445="جرد فقط",الإعدادات!$B$4,0)))</f>
        <v>0</v>
      </c>
    </row>
    <row r="446">
      <c r="A446" s="4" t="n"/>
      <c r="B446" s="5" t="str">
        <f>IF(A446="","",IFERROR(INDEX('جدول الجرد'!$A$2:$A$29,MATCH(A446,'جدول الجرد'!$B$2:$B$29,0)),""))</f>
        <v/>
      </c>
      <c r="C446" s="5" t="str">
        <f>IF(A446="","",IFERROR(INDEX('جدول الجرد'!$E$2:$E$29,MATCH(A446,'جدول الجرد'!$B$2:$B$29,0)),""))</f>
        <v/>
      </c>
      <c r="D446" s="4" t="n"/>
      <c r="E446" s="4" t="n"/>
      <c r="F446" s="4" t="n"/>
      <c r="G446" s="4" t="n"/>
      <c r="H446" s="5" t="str">
        <f>IF(E446="","",IF(AND(F446="نعم",G446="نعم"),"جرد + مراجعة",IF(F446="نعم","جرد فقط",IF(G446="نعم","مراجعة فقط",""))))</f>
        <v/>
      </c>
      <c r="I446" s="9">
        <f>IF(H446="جرد + مراجعة",الإعدادات!$B$2,IF(H446="مراجعة فقط",الإعدادات!$B$3,IF(H446="جرد فقط",الإعدادات!$B$4,0)))</f>
        <v>0</v>
      </c>
    </row>
    <row r="447">
      <c r="A447" s="4" t="n"/>
      <c r="B447" s="5" t="str">
        <f>IF(A447="","",IFERROR(INDEX('جدول الجرد'!$A$2:$A$29,MATCH(A447,'جدول الجرد'!$B$2:$B$29,0)),""))</f>
        <v/>
      </c>
      <c r="C447" s="5" t="str">
        <f>IF(A447="","",IFERROR(INDEX('جدول الجرد'!$E$2:$E$29,MATCH(A447,'جدول الجرد'!$B$2:$B$29,0)),""))</f>
        <v/>
      </c>
      <c r="D447" s="4" t="n"/>
      <c r="E447" s="4" t="n"/>
      <c r="F447" s="4" t="n"/>
      <c r="G447" s="4" t="n"/>
      <c r="H447" s="5" t="str">
        <f>IF(E447="","",IF(AND(F447="نعم",G447="نعم"),"جرد + مراجعة",IF(F447="نعم","جرد فقط",IF(G447="نعم","مراجعة فقط",""))))</f>
        <v/>
      </c>
      <c r="I447" s="9">
        <f>IF(H447="جرد + مراجعة",الإعدادات!$B$2,IF(H447="مراجعة فقط",الإعدادات!$B$3,IF(H447="جرد فقط",الإعدادات!$B$4,0)))</f>
        <v>0</v>
      </c>
    </row>
    <row r="448">
      <c r="A448" s="4" t="n"/>
      <c r="B448" s="5" t="str">
        <f>IF(A448="","",IFERROR(INDEX('جدول الجرد'!$A$2:$A$29,MATCH(A448,'جدول الجرد'!$B$2:$B$29,0)),""))</f>
        <v/>
      </c>
      <c r="C448" s="5" t="str">
        <f>IF(A448="","",IFERROR(INDEX('جدول الجرد'!$E$2:$E$29,MATCH(A448,'جدول الجرد'!$B$2:$B$29,0)),""))</f>
        <v/>
      </c>
      <c r="D448" s="4" t="n"/>
      <c r="E448" s="4" t="n"/>
      <c r="F448" s="4" t="n"/>
      <c r="G448" s="4" t="n"/>
      <c r="H448" s="5" t="str">
        <f>IF(E448="","",IF(AND(F448="نعم",G448="نعم"),"جرد + مراجعة",IF(F448="نعم","جرد فقط",IF(G448="نعم","مراجعة فقط",""))))</f>
        <v/>
      </c>
      <c r="I448" s="9">
        <f>IF(H448="جرد + مراجعة",الإعدادات!$B$2,IF(H448="مراجعة فقط",الإعدادات!$B$3,IF(H448="جرد فقط",الإعدادات!$B$4,0)))</f>
        <v>0</v>
      </c>
    </row>
    <row r="449">
      <c r="A449" s="4" t="n"/>
      <c r="B449" s="5" t="str">
        <f>IF(A449="","",IFERROR(INDEX('جدول الجرد'!$A$2:$A$29,MATCH(A449,'جدول الجرد'!$B$2:$B$29,0)),""))</f>
        <v/>
      </c>
      <c r="C449" s="5" t="str">
        <f>IF(A449="","",IFERROR(INDEX('جدول الجرد'!$E$2:$E$29,MATCH(A449,'جدول الجرد'!$B$2:$B$29,0)),""))</f>
        <v/>
      </c>
      <c r="D449" s="4" t="n"/>
      <c r="E449" s="4" t="n"/>
      <c r="F449" s="4" t="n"/>
      <c r="G449" s="4" t="n"/>
      <c r="H449" s="5" t="str">
        <f>IF(E449="","",IF(AND(F449="نعم",G449="نعم"),"جرد + مراجعة",IF(F449="نعم","جرد فقط",IF(G449="نعم","مراجعة فقط",""))))</f>
        <v/>
      </c>
      <c r="I449" s="9">
        <f>IF(H449="جرد + مراجعة",الإعدادات!$B$2,IF(H449="مراجعة فقط",الإعدادات!$B$3,IF(H449="جرد فقط",الإعدادات!$B$4,0)))</f>
        <v>0</v>
      </c>
    </row>
    <row r="450">
      <c r="A450" s="4" t="n"/>
      <c r="B450" s="5" t="str">
        <f>IF(A450="","",IFERROR(INDEX('جدول الجرد'!$A$2:$A$29,MATCH(A450,'جدول الجرد'!$B$2:$B$29,0)),""))</f>
        <v/>
      </c>
      <c r="C450" s="5" t="str">
        <f>IF(A450="","",IFERROR(INDEX('جدول الجرد'!$E$2:$E$29,MATCH(A450,'جدول الجرد'!$B$2:$B$29,0)),""))</f>
        <v/>
      </c>
      <c r="D450" s="4" t="n"/>
      <c r="E450" s="4" t="n"/>
      <c r="F450" s="4" t="n"/>
      <c r="G450" s="4" t="n"/>
      <c r="H450" s="5" t="str">
        <f>IF(E450="","",IF(AND(F450="نعم",G450="نعم"),"جرد + مراجعة",IF(F450="نعم","جرد فقط",IF(G450="نعم","مراجعة فقط",""))))</f>
        <v/>
      </c>
      <c r="I450" s="9">
        <f>IF(H450="جرد + مراجعة",الإعدادات!$B$2,IF(H450="مراجعة فقط",الإعدادات!$B$3,IF(H450="جرد فقط",الإعدادات!$B$4,0)))</f>
        <v>0</v>
      </c>
    </row>
    <row r="451">
      <c r="A451" s="4" t="n"/>
      <c r="B451" s="5" t="str">
        <f>IF(A451="","",IFERROR(INDEX('جدول الجرد'!$A$2:$A$29,MATCH(A451,'جدول الجرد'!$B$2:$B$29,0)),""))</f>
        <v/>
      </c>
      <c r="C451" s="5" t="str">
        <f>IF(A451="","",IFERROR(INDEX('جدول الجرد'!$E$2:$E$29,MATCH(A451,'جدول الجرد'!$B$2:$B$29,0)),""))</f>
        <v/>
      </c>
      <c r="D451" s="4" t="n"/>
      <c r="E451" s="4" t="n"/>
      <c r="F451" s="4" t="n"/>
      <c r="G451" s="4" t="n"/>
      <c r="H451" s="5" t="str">
        <f>IF(E451="","",IF(AND(F451="نعم",G451="نعم"),"جرد + مراجعة",IF(F451="نعم","جرد فقط",IF(G451="نعم","مراجعة فقط",""))))</f>
        <v/>
      </c>
      <c r="I451" s="9">
        <f>IF(H451="جرد + مراجعة",الإعدادات!$B$2,IF(H451="مراجعة فقط",الإعدادات!$B$3,IF(H451="جرد فقط",الإعدادات!$B$4,0)))</f>
        <v>0</v>
      </c>
    </row>
    <row r="452">
      <c r="A452" s="4" t="n"/>
      <c r="B452" s="5" t="str">
        <f>IF(A452="","",IFERROR(INDEX('جدول الجرد'!$A$2:$A$29,MATCH(A452,'جدول الجرد'!$B$2:$B$29,0)),""))</f>
        <v/>
      </c>
      <c r="C452" s="5" t="str">
        <f>IF(A452="","",IFERROR(INDEX('جدول الجرد'!$E$2:$E$29,MATCH(A452,'جدول الجرد'!$B$2:$B$29,0)),""))</f>
        <v/>
      </c>
      <c r="D452" s="4" t="n"/>
      <c r="E452" s="4" t="n"/>
      <c r="F452" s="4" t="n"/>
      <c r="G452" s="4" t="n"/>
      <c r="H452" s="5" t="str">
        <f>IF(E452="","",IF(AND(F452="نعم",G452="نعم"),"جرد + مراجعة",IF(F452="نعم","جرد فقط",IF(G452="نعم","مراجعة فقط",""))))</f>
        <v/>
      </c>
      <c r="I452" s="9">
        <f>IF(H452="جرد + مراجعة",الإعدادات!$B$2,IF(H452="مراجعة فقط",الإعدادات!$B$3,IF(H452="جرد فقط",الإعدادات!$B$4,0)))</f>
        <v>0</v>
      </c>
    </row>
    <row r="453">
      <c r="A453" s="4" t="n"/>
      <c r="B453" s="5" t="str">
        <f>IF(A453="","",IFERROR(INDEX('جدول الجرد'!$A$2:$A$29,MATCH(A453,'جدول الجرد'!$B$2:$B$29,0)),""))</f>
        <v/>
      </c>
      <c r="C453" s="5" t="str">
        <f>IF(A453="","",IFERROR(INDEX('جدول الجرد'!$E$2:$E$29,MATCH(A453,'جدول الجرد'!$B$2:$B$29,0)),""))</f>
        <v/>
      </c>
      <c r="D453" s="4" t="n"/>
      <c r="E453" s="4" t="n"/>
      <c r="F453" s="4" t="n"/>
      <c r="G453" s="4" t="n"/>
      <c r="H453" s="5" t="str">
        <f>IF(E453="","",IF(AND(F453="نعم",G453="نعم"),"جرد + مراجعة",IF(F453="نعم","جرد فقط",IF(G453="نعم","مراجعة فقط",""))))</f>
        <v/>
      </c>
      <c r="I453" s="9">
        <f>IF(H453="جرد + مراجعة",الإعدادات!$B$2,IF(H453="مراجعة فقط",الإعدادات!$B$3,IF(H453="جرد فقط",الإعدادات!$B$4,0)))</f>
        <v>0</v>
      </c>
    </row>
    <row r="454">
      <c r="A454" s="4" t="n"/>
      <c r="B454" s="5" t="str">
        <f>IF(A454="","",IFERROR(INDEX('جدول الجرد'!$A$2:$A$29,MATCH(A454,'جدول الجرد'!$B$2:$B$29,0)),""))</f>
        <v/>
      </c>
      <c r="C454" s="5" t="str">
        <f>IF(A454="","",IFERROR(INDEX('جدول الجرد'!$E$2:$E$29,MATCH(A454,'جدول الجرد'!$B$2:$B$29,0)),""))</f>
        <v/>
      </c>
      <c r="D454" s="4" t="n"/>
      <c r="E454" s="4" t="n"/>
      <c r="F454" s="4" t="n"/>
      <c r="G454" s="4" t="n"/>
      <c r="H454" s="5" t="str">
        <f>IF(E454="","",IF(AND(F454="نعم",G454="نعم"),"جرد + مراجعة",IF(F454="نعم","جرد فقط",IF(G454="نعم","مراجعة فقط",""))))</f>
        <v/>
      </c>
      <c r="I454" s="9">
        <f>IF(H454="جرد + مراجعة",الإعدادات!$B$2,IF(H454="مراجعة فقط",الإعدادات!$B$3,IF(H454="جرد فقط",الإعدادات!$B$4,0)))</f>
        <v>0</v>
      </c>
    </row>
    <row r="455">
      <c r="A455" s="4" t="n"/>
      <c r="B455" s="5" t="str">
        <f>IF(A455="","",IFERROR(INDEX('جدول الجرد'!$A$2:$A$29,MATCH(A455,'جدول الجرد'!$B$2:$B$29,0)),""))</f>
        <v/>
      </c>
      <c r="C455" s="5" t="str">
        <f>IF(A455="","",IFERROR(INDEX('جدول الجرد'!$E$2:$E$29,MATCH(A455,'جدول الجرد'!$B$2:$B$29,0)),""))</f>
        <v/>
      </c>
      <c r="D455" s="4" t="n"/>
      <c r="E455" s="4" t="n"/>
      <c r="F455" s="4" t="n"/>
      <c r="G455" s="4" t="n"/>
      <c r="H455" s="5" t="str">
        <f>IF(E455="","",IF(AND(F455="نعم",G455="نعم"),"جرد + مراجعة",IF(F455="نعم","جرد فقط",IF(G455="نعم","مراجعة فقط",""))))</f>
        <v/>
      </c>
      <c r="I455" s="9">
        <f>IF(H455="جرد + مراجعة",الإعدادات!$B$2,IF(H455="مراجعة فقط",الإعدادات!$B$3,IF(H455="جرد فقط",الإعدادات!$B$4,0)))</f>
        <v>0</v>
      </c>
    </row>
    <row r="456">
      <c r="A456" s="4" t="n"/>
      <c r="B456" s="5" t="str">
        <f>IF(A456="","",IFERROR(INDEX('جدول الجرد'!$A$2:$A$29,MATCH(A456,'جدول الجرد'!$B$2:$B$29,0)),""))</f>
        <v/>
      </c>
      <c r="C456" s="5" t="str">
        <f>IF(A456="","",IFERROR(INDEX('جدول الجرد'!$E$2:$E$29,MATCH(A456,'جدول الجرد'!$B$2:$B$29,0)),""))</f>
        <v/>
      </c>
      <c r="D456" s="4" t="n"/>
      <c r="E456" s="4" t="n"/>
      <c r="F456" s="4" t="n"/>
      <c r="G456" s="4" t="n"/>
      <c r="H456" s="5" t="str">
        <f>IF(E456="","",IF(AND(F456="نعم",G456="نعم"),"جرد + مراجعة",IF(F456="نعم","جرد فقط",IF(G456="نعم","مراجعة فقط",""))))</f>
        <v/>
      </c>
      <c r="I456" s="9">
        <f>IF(H456="جرد + مراجعة",الإعدادات!$B$2,IF(H456="مراجعة فقط",الإعدادات!$B$3,IF(H456="جرد فقط",الإعدادات!$B$4,0)))</f>
        <v>0</v>
      </c>
    </row>
    <row r="457">
      <c r="A457" s="4" t="n"/>
      <c r="B457" s="5" t="str">
        <f>IF(A457="","",IFERROR(INDEX('جدول الجرد'!$A$2:$A$29,MATCH(A457,'جدول الجرد'!$B$2:$B$29,0)),""))</f>
        <v/>
      </c>
      <c r="C457" s="5" t="str">
        <f>IF(A457="","",IFERROR(INDEX('جدول الجرد'!$E$2:$E$29,MATCH(A457,'جدول الجرد'!$B$2:$B$29,0)),""))</f>
        <v/>
      </c>
      <c r="D457" s="4" t="n"/>
      <c r="E457" s="4" t="n"/>
      <c r="F457" s="4" t="n"/>
      <c r="G457" s="4" t="n"/>
      <c r="H457" s="5" t="str">
        <f>IF(E457="","",IF(AND(F457="نعم",G457="نعم"),"جرد + مراجعة",IF(F457="نعم","جرد فقط",IF(G457="نعم","مراجعة فقط",""))))</f>
        <v/>
      </c>
      <c r="I457" s="9">
        <f>IF(H457="جرد + مراجعة",الإعدادات!$B$2,IF(H457="مراجعة فقط",الإعدادات!$B$3,IF(H457="جرد فقط",الإعدادات!$B$4,0)))</f>
        <v>0</v>
      </c>
    </row>
    <row r="458">
      <c r="A458" s="4" t="n"/>
      <c r="B458" s="5" t="str">
        <f>IF(A458="","",IFERROR(INDEX('جدول الجرد'!$A$2:$A$29,MATCH(A458,'جدول الجرد'!$B$2:$B$29,0)),""))</f>
        <v/>
      </c>
      <c r="C458" s="5" t="str">
        <f>IF(A458="","",IFERROR(INDEX('جدول الجرد'!$E$2:$E$29,MATCH(A458,'جدول الجرد'!$B$2:$B$29,0)),""))</f>
        <v/>
      </c>
      <c r="D458" s="4" t="n"/>
      <c r="E458" s="4" t="n"/>
      <c r="F458" s="4" t="n"/>
      <c r="G458" s="4" t="n"/>
      <c r="H458" s="5" t="str">
        <f>IF(E458="","",IF(AND(F458="نعم",G458="نعم"),"جرد + مراجعة",IF(F458="نعم","جرد فقط",IF(G458="نعم","مراجعة فقط",""))))</f>
        <v/>
      </c>
      <c r="I458" s="9">
        <f>IF(H458="جرد + مراجعة",الإعدادات!$B$2,IF(H458="مراجعة فقط",الإعدادات!$B$3,IF(H458="جرد فقط",الإعدادات!$B$4,0)))</f>
        <v>0</v>
      </c>
    </row>
    <row r="459">
      <c r="A459" s="4" t="n"/>
      <c r="B459" s="5" t="str">
        <f>IF(A459="","",IFERROR(INDEX('جدول الجرد'!$A$2:$A$29,MATCH(A459,'جدول الجرد'!$B$2:$B$29,0)),""))</f>
        <v/>
      </c>
      <c r="C459" s="5" t="str">
        <f>IF(A459="","",IFERROR(INDEX('جدول الجرد'!$E$2:$E$29,MATCH(A459,'جدول الجرد'!$B$2:$B$29,0)),""))</f>
        <v/>
      </c>
      <c r="D459" s="4" t="n"/>
      <c r="E459" s="4" t="n"/>
      <c r="F459" s="4" t="n"/>
      <c r="G459" s="4" t="n"/>
      <c r="H459" s="5" t="str">
        <f>IF(E459="","",IF(AND(F459="نعم",G459="نعم"),"جرد + مراجعة",IF(F459="نعم","جرد فقط",IF(G459="نعم","مراجعة فقط",""))))</f>
        <v/>
      </c>
      <c r="I459" s="9">
        <f>IF(H459="جرد + مراجعة",الإعدادات!$B$2,IF(H459="مراجعة فقط",الإعدادات!$B$3,IF(H459="جرد فقط",الإعدادات!$B$4,0)))</f>
        <v>0</v>
      </c>
    </row>
    <row r="460">
      <c r="A460" s="4" t="n"/>
      <c r="B460" s="5" t="str">
        <f>IF(A460="","",IFERROR(INDEX('جدول الجرد'!$A$2:$A$29,MATCH(A460,'جدول الجرد'!$B$2:$B$29,0)),""))</f>
        <v/>
      </c>
      <c r="C460" s="5" t="str">
        <f>IF(A460="","",IFERROR(INDEX('جدول الجرد'!$E$2:$E$29,MATCH(A460,'جدول الجرد'!$B$2:$B$29,0)),""))</f>
        <v/>
      </c>
      <c r="D460" s="4" t="n"/>
      <c r="E460" s="4" t="n"/>
      <c r="F460" s="4" t="n"/>
      <c r="G460" s="4" t="n"/>
      <c r="H460" s="5" t="str">
        <f>IF(E460="","",IF(AND(F460="نعم",G460="نعم"),"جرد + مراجعة",IF(F460="نعم","جرد فقط",IF(G460="نعم","مراجعة فقط",""))))</f>
        <v/>
      </c>
      <c r="I460" s="9">
        <f>IF(H460="جرد + مراجعة",الإعدادات!$B$2,IF(H460="مراجعة فقط",الإعدادات!$B$3,IF(H460="جرد فقط",الإعدادات!$B$4,0)))</f>
        <v>0</v>
      </c>
    </row>
    <row r="461">
      <c r="A461" s="4" t="n"/>
      <c r="B461" s="5" t="str">
        <f>IF(A461="","",IFERROR(INDEX('جدول الجرد'!$A$2:$A$29,MATCH(A461,'جدول الجرد'!$B$2:$B$29,0)),""))</f>
        <v/>
      </c>
      <c r="C461" s="5" t="str">
        <f>IF(A461="","",IFERROR(INDEX('جدول الجرد'!$E$2:$E$29,MATCH(A461,'جدول الجرد'!$B$2:$B$29,0)),""))</f>
        <v/>
      </c>
      <c r="D461" s="4" t="n"/>
      <c r="E461" s="4" t="n"/>
      <c r="F461" s="4" t="n"/>
      <c r="G461" s="4" t="n"/>
      <c r="H461" s="5" t="str">
        <f>IF(E461="","",IF(AND(F461="نعم",G461="نعم"),"جرد + مراجعة",IF(F461="نعم","جرد فقط",IF(G461="نعم","مراجعة فقط",""))))</f>
        <v/>
      </c>
      <c r="I461" s="9">
        <f>IF(H461="جرد + مراجعة",الإعدادات!$B$2,IF(H461="مراجعة فقط",الإعدادات!$B$3,IF(H461="جرد فقط",الإعدادات!$B$4,0)))</f>
        <v>0</v>
      </c>
    </row>
    <row r="462">
      <c r="A462" s="4" t="n"/>
      <c r="B462" s="5" t="str">
        <f>IF(A462="","",IFERROR(INDEX('جدول الجرد'!$A$2:$A$29,MATCH(A462,'جدول الجرد'!$B$2:$B$29,0)),""))</f>
        <v/>
      </c>
      <c r="C462" s="5" t="str">
        <f>IF(A462="","",IFERROR(INDEX('جدول الجرد'!$E$2:$E$29,MATCH(A462,'جدول الجرد'!$B$2:$B$29,0)),""))</f>
        <v/>
      </c>
      <c r="D462" s="4" t="n"/>
      <c r="E462" s="4" t="n"/>
      <c r="F462" s="4" t="n"/>
      <c r="G462" s="4" t="n"/>
      <c r="H462" s="5" t="str">
        <f>IF(E462="","",IF(AND(F462="نعم",G462="نعم"),"جرد + مراجعة",IF(F462="نعم","جرد فقط",IF(G462="نعم","مراجعة فقط",""))))</f>
        <v/>
      </c>
      <c r="I462" s="9">
        <f>IF(H462="جرد + مراجعة",الإعدادات!$B$2,IF(H462="مراجعة فقط",الإعدادات!$B$3,IF(H462="جرد فقط",الإعدادات!$B$4,0)))</f>
        <v>0</v>
      </c>
    </row>
    <row r="463">
      <c r="A463" s="4" t="n"/>
      <c r="B463" s="5" t="str">
        <f>IF(A463="","",IFERROR(INDEX('جدول الجرد'!$A$2:$A$29,MATCH(A463,'جدول الجرد'!$B$2:$B$29,0)),""))</f>
        <v/>
      </c>
      <c r="C463" s="5" t="str">
        <f>IF(A463="","",IFERROR(INDEX('جدول الجرد'!$E$2:$E$29,MATCH(A463,'جدول الجرد'!$B$2:$B$29,0)),""))</f>
        <v/>
      </c>
      <c r="D463" s="4" t="n"/>
      <c r="E463" s="4" t="n"/>
      <c r="F463" s="4" t="n"/>
      <c r="G463" s="4" t="n"/>
      <c r="H463" s="5" t="str">
        <f>IF(E463="","",IF(AND(F463="نعم",G463="نعم"),"جرد + مراجعة",IF(F463="نعم","جرد فقط",IF(G463="نعم","مراجعة فقط",""))))</f>
        <v/>
      </c>
      <c r="I463" s="9">
        <f>IF(H463="جرد + مراجعة",الإعدادات!$B$2,IF(H463="مراجعة فقط",الإعدادات!$B$3,IF(H463="جرد فقط",الإعدادات!$B$4,0)))</f>
        <v>0</v>
      </c>
    </row>
    <row r="464">
      <c r="A464" s="4" t="n"/>
      <c r="B464" s="5" t="str">
        <f>IF(A464="","",IFERROR(INDEX('جدول الجرد'!$A$2:$A$29,MATCH(A464,'جدول الجرد'!$B$2:$B$29,0)),""))</f>
        <v/>
      </c>
      <c r="C464" s="5" t="str">
        <f>IF(A464="","",IFERROR(INDEX('جدول الجرد'!$E$2:$E$29,MATCH(A464,'جدول الجرد'!$B$2:$B$29,0)),""))</f>
        <v/>
      </c>
      <c r="D464" s="4" t="n"/>
      <c r="E464" s="4" t="n"/>
      <c r="F464" s="4" t="n"/>
      <c r="G464" s="4" t="n"/>
      <c r="H464" s="5" t="str">
        <f>IF(E464="","",IF(AND(F464="نعم",G464="نعم"),"جرد + مراجعة",IF(F464="نعم","جرد فقط",IF(G464="نعم","مراجعة فقط",""))))</f>
        <v/>
      </c>
      <c r="I464" s="9">
        <f>IF(H464="جرد + مراجعة",الإعدادات!$B$2,IF(H464="مراجعة فقط",الإعدادات!$B$3,IF(H464="جرد فقط",الإعدادات!$B$4,0)))</f>
        <v>0</v>
      </c>
    </row>
    <row r="465">
      <c r="A465" s="4" t="n"/>
      <c r="B465" s="5" t="str">
        <f>IF(A465="","",IFERROR(INDEX('جدول الجرد'!$A$2:$A$29,MATCH(A465,'جدول الجرد'!$B$2:$B$29,0)),""))</f>
        <v/>
      </c>
      <c r="C465" s="5" t="str">
        <f>IF(A465="","",IFERROR(INDEX('جدول الجرد'!$E$2:$E$29,MATCH(A465,'جدول الجرد'!$B$2:$B$29,0)),""))</f>
        <v/>
      </c>
      <c r="D465" s="4" t="n"/>
      <c r="E465" s="4" t="n"/>
      <c r="F465" s="4" t="n"/>
      <c r="G465" s="4" t="n"/>
      <c r="H465" s="5" t="str">
        <f>IF(E465="","",IF(AND(F465="نعم",G465="نعم"),"جرد + مراجعة",IF(F465="نعم","جرد فقط",IF(G465="نعم","مراجعة فقط",""))))</f>
        <v/>
      </c>
      <c r="I465" s="9">
        <f>IF(H465="جرد + مراجعة",الإعدادات!$B$2,IF(H465="مراجعة فقط",الإعدادات!$B$3,IF(H465="جرد فقط",الإعدادات!$B$4,0)))</f>
        <v>0</v>
      </c>
    </row>
    <row r="466">
      <c r="A466" s="4" t="n"/>
      <c r="B466" s="5" t="str">
        <f>IF(A466="","",IFERROR(INDEX('جدول الجرد'!$A$2:$A$29,MATCH(A466,'جدول الجرد'!$B$2:$B$29,0)),""))</f>
        <v/>
      </c>
      <c r="C466" s="5" t="str">
        <f>IF(A466="","",IFERROR(INDEX('جدول الجرد'!$E$2:$E$29,MATCH(A466,'جدول الجرد'!$B$2:$B$29,0)),""))</f>
        <v/>
      </c>
      <c r="D466" s="4" t="n"/>
      <c r="E466" s="4" t="n"/>
      <c r="F466" s="4" t="n"/>
      <c r="G466" s="4" t="n"/>
      <c r="H466" s="5" t="str">
        <f>IF(E466="","",IF(AND(F466="نعم",G466="نعم"),"جرد + مراجعة",IF(F466="نعم","جرد فقط",IF(G466="نعم","مراجعة فقط",""))))</f>
        <v/>
      </c>
      <c r="I466" s="9">
        <f>IF(H466="جرد + مراجعة",الإعدادات!$B$2,IF(H466="مراجعة فقط",الإعدادات!$B$3,IF(H466="جرد فقط",الإعدادات!$B$4,0)))</f>
        <v>0</v>
      </c>
    </row>
    <row r="467">
      <c r="A467" s="4" t="n"/>
      <c r="B467" s="5" t="str">
        <f>IF(A467="","",IFERROR(INDEX('جدول الجرد'!$A$2:$A$29,MATCH(A467,'جدول الجرد'!$B$2:$B$29,0)),""))</f>
        <v/>
      </c>
      <c r="C467" s="5" t="str">
        <f>IF(A467="","",IFERROR(INDEX('جدول الجرد'!$E$2:$E$29,MATCH(A467,'جدول الجرد'!$B$2:$B$29,0)),""))</f>
        <v/>
      </c>
      <c r="D467" s="4" t="n"/>
      <c r="E467" s="4" t="n"/>
      <c r="F467" s="4" t="n"/>
      <c r="G467" s="4" t="n"/>
      <c r="H467" s="5" t="str">
        <f>IF(E467="","",IF(AND(F467="نعم",G467="نعم"),"جرد + مراجعة",IF(F467="نعم","جرد فقط",IF(G467="نعم","مراجعة فقط",""))))</f>
        <v/>
      </c>
      <c r="I467" s="9">
        <f>IF(H467="جرد + مراجعة",الإعدادات!$B$2,IF(H467="مراجعة فقط",الإعدادات!$B$3,IF(H467="جرد فقط",الإعدادات!$B$4,0)))</f>
        <v>0</v>
      </c>
    </row>
    <row r="468">
      <c r="A468" s="4" t="n"/>
      <c r="B468" s="5" t="str">
        <f>IF(A468="","",IFERROR(INDEX('جدول الجرد'!$A$2:$A$29,MATCH(A468,'جدول الجرد'!$B$2:$B$29,0)),""))</f>
        <v/>
      </c>
      <c r="C468" s="5" t="str">
        <f>IF(A468="","",IFERROR(INDEX('جدول الجرد'!$E$2:$E$29,MATCH(A468,'جدول الجرد'!$B$2:$B$29,0)),""))</f>
        <v/>
      </c>
      <c r="D468" s="4" t="n"/>
      <c r="E468" s="4" t="n"/>
      <c r="F468" s="4" t="n"/>
      <c r="G468" s="4" t="n"/>
      <c r="H468" s="5" t="str">
        <f>IF(E468="","",IF(AND(F468="نعم",G468="نعم"),"جرد + مراجعة",IF(F468="نعم","جرد فقط",IF(G468="نعم","مراجعة فقط",""))))</f>
        <v/>
      </c>
      <c r="I468" s="9">
        <f>IF(H468="جرد + مراجعة",الإعدادات!$B$2,IF(H468="مراجعة فقط",الإعدادات!$B$3,IF(H468="جرد فقط",الإعدادات!$B$4,0)))</f>
        <v>0</v>
      </c>
    </row>
    <row r="469">
      <c r="A469" s="4" t="n"/>
      <c r="B469" s="5" t="str">
        <f>IF(A469="","",IFERROR(INDEX('جدول الجرد'!$A$2:$A$29,MATCH(A469,'جدول الجرد'!$B$2:$B$29,0)),""))</f>
        <v/>
      </c>
      <c r="C469" s="5" t="str">
        <f>IF(A469="","",IFERROR(INDEX('جدول الجرد'!$E$2:$E$29,MATCH(A469,'جدول الجرد'!$B$2:$B$29,0)),""))</f>
        <v/>
      </c>
      <c r="D469" s="4" t="n"/>
      <c r="E469" s="4" t="n"/>
      <c r="F469" s="4" t="n"/>
      <c r="G469" s="4" t="n"/>
      <c r="H469" s="5" t="str">
        <f>IF(E469="","",IF(AND(F469="نعم",G469="نعم"),"جرد + مراجعة",IF(F469="نعم","جرد فقط",IF(G469="نعم","مراجعة فقط",""))))</f>
        <v/>
      </c>
      <c r="I469" s="9">
        <f>IF(H469="جرد + مراجعة",الإعدادات!$B$2,IF(H469="مراجعة فقط",الإعدادات!$B$3,IF(H469="جرد فقط",الإعدادات!$B$4,0)))</f>
        <v>0</v>
      </c>
    </row>
    <row r="470">
      <c r="A470" s="4" t="n"/>
      <c r="B470" s="5" t="str">
        <f>IF(A470="","",IFERROR(INDEX('جدول الجرد'!$A$2:$A$29,MATCH(A470,'جدول الجرد'!$B$2:$B$29,0)),""))</f>
        <v/>
      </c>
      <c r="C470" s="5" t="str">
        <f>IF(A470="","",IFERROR(INDEX('جدول الجرد'!$E$2:$E$29,MATCH(A470,'جدول الجرد'!$B$2:$B$29,0)),""))</f>
        <v/>
      </c>
      <c r="D470" s="4" t="n"/>
      <c r="E470" s="4" t="n"/>
      <c r="F470" s="4" t="n"/>
      <c r="G470" s="4" t="n"/>
      <c r="H470" s="5" t="str">
        <f>IF(E470="","",IF(AND(F470="نعم",G470="نعم"),"جرد + مراجعة",IF(F470="نعم","جرد فقط",IF(G470="نعم","مراجعة فقط",""))))</f>
        <v/>
      </c>
      <c r="I470" s="9">
        <f>IF(H470="جرد + مراجعة",الإعدادات!$B$2,IF(H470="مراجعة فقط",الإعدادات!$B$3,IF(H470="جرد فقط",الإعدادات!$B$4,0)))</f>
        <v>0</v>
      </c>
    </row>
    <row r="471">
      <c r="A471" s="4" t="n"/>
      <c r="B471" s="5" t="str">
        <f>IF(A471="","",IFERROR(INDEX('جدول الجرد'!$A$2:$A$29,MATCH(A471,'جدول الجرد'!$B$2:$B$29,0)),""))</f>
        <v/>
      </c>
      <c r="C471" s="5" t="str">
        <f>IF(A471="","",IFERROR(INDEX('جدول الجرد'!$E$2:$E$29,MATCH(A471,'جدول الجرد'!$B$2:$B$29,0)),""))</f>
        <v/>
      </c>
      <c r="D471" s="4" t="n"/>
      <c r="E471" s="4" t="n"/>
      <c r="F471" s="4" t="n"/>
      <c r="G471" s="4" t="n"/>
      <c r="H471" s="5" t="str">
        <f>IF(E471="","",IF(AND(F471="نعم",G471="نعم"),"جرد + مراجعة",IF(F471="نعم","جرد فقط",IF(G471="نعم","مراجعة فقط",""))))</f>
        <v/>
      </c>
      <c r="I471" s="9">
        <f>IF(H471="جرد + مراجعة",الإعدادات!$B$2,IF(H471="مراجعة فقط",الإعدادات!$B$3,IF(H471="جرد فقط",الإعدادات!$B$4,0)))</f>
        <v>0</v>
      </c>
    </row>
    <row r="472">
      <c r="A472" s="4" t="n"/>
      <c r="B472" s="5" t="str">
        <f>IF(A472="","",IFERROR(INDEX('جدول الجرد'!$A$2:$A$29,MATCH(A472,'جدول الجرد'!$B$2:$B$29,0)),""))</f>
        <v/>
      </c>
      <c r="C472" s="5" t="str">
        <f>IF(A472="","",IFERROR(INDEX('جدول الجرد'!$E$2:$E$29,MATCH(A472,'جدول الجرد'!$B$2:$B$29,0)),""))</f>
        <v/>
      </c>
      <c r="D472" s="4" t="n"/>
      <c r="E472" s="4" t="n"/>
      <c r="F472" s="4" t="n"/>
      <c r="G472" s="4" t="n"/>
      <c r="H472" s="5" t="str">
        <f>IF(E472="","",IF(AND(F472="نعم",G472="نعم"),"جرد + مراجعة",IF(F472="نعم","جرد فقط",IF(G472="نعم","مراجعة فقط",""))))</f>
        <v/>
      </c>
      <c r="I472" s="9">
        <f>IF(H472="جرد + مراجعة",الإعدادات!$B$2,IF(H472="مراجعة فقط",الإعدادات!$B$3,IF(H472="جرد فقط",الإعدادات!$B$4,0)))</f>
        <v>0</v>
      </c>
    </row>
    <row r="473">
      <c r="A473" s="4" t="n"/>
      <c r="B473" s="5" t="str">
        <f>IF(A473="","",IFERROR(INDEX('جدول الجرد'!$A$2:$A$29,MATCH(A473,'جدول الجرد'!$B$2:$B$29,0)),""))</f>
        <v/>
      </c>
      <c r="C473" s="5" t="str">
        <f>IF(A473="","",IFERROR(INDEX('جدول الجرد'!$E$2:$E$29,MATCH(A473,'جدول الجرد'!$B$2:$B$29,0)),""))</f>
        <v/>
      </c>
      <c r="D473" s="4" t="n"/>
      <c r="E473" s="4" t="n"/>
      <c r="F473" s="4" t="n"/>
      <c r="G473" s="4" t="n"/>
      <c r="H473" s="5" t="str">
        <f>IF(E473="","",IF(AND(F473="نعم",G473="نعم"),"جرد + مراجعة",IF(F473="نعم","جرد فقط",IF(G473="نعم","مراجعة فقط",""))))</f>
        <v/>
      </c>
      <c r="I473" s="9">
        <f>IF(H473="جرد + مراجعة",الإعدادات!$B$2,IF(H473="مراجعة فقط",الإعدادات!$B$3,IF(H473="جرد فقط",الإعدادات!$B$4,0)))</f>
        <v>0</v>
      </c>
    </row>
    <row r="474">
      <c r="A474" s="4" t="n"/>
      <c r="B474" s="5" t="str">
        <f>IF(A474="","",IFERROR(INDEX('جدول الجرد'!$A$2:$A$29,MATCH(A474,'جدول الجرد'!$B$2:$B$29,0)),""))</f>
        <v/>
      </c>
      <c r="C474" s="5" t="str">
        <f>IF(A474="","",IFERROR(INDEX('جدول الجرد'!$E$2:$E$29,MATCH(A474,'جدول الجرد'!$B$2:$B$29,0)),""))</f>
        <v/>
      </c>
      <c r="D474" s="4" t="n"/>
      <c r="E474" s="4" t="n"/>
      <c r="F474" s="4" t="n"/>
      <c r="G474" s="4" t="n"/>
      <c r="H474" s="5" t="str">
        <f>IF(E474="","",IF(AND(F474="نعم",G474="نعم"),"جرد + مراجعة",IF(F474="نعم","جرد فقط",IF(G474="نعم","مراجعة فقط",""))))</f>
        <v/>
      </c>
      <c r="I474" s="9">
        <f>IF(H474="جرد + مراجعة",الإعدادات!$B$2,IF(H474="مراجعة فقط",الإعدادات!$B$3,IF(H474="جرد فقط",الإعدادات!$B$4,0)))</f>
        <v>0</v>
      </c>
    </row>
    <row r="475">
      <c r="A475" s="4" t="n"/>
      <c r="B475" s="5" t="str">
        <f>IF(A475="","",IFERROR(INDEX('جدول الجرد'!$A$2:$A$29,MATCH(A475,'جدول الجرد'!$B$2:$B$29,0)),""))</f>
        <v/>
      </c>
      <c r="C475" s="5" t="str">
        <f>IF(A475="","",IFERROR(INDEX('جدول الجرد'!$E$2:$E$29,MATCH(A475,'جدول الجرد'!$B$2:$B$29,0)),""))</f>
        <v/>
      </c>
      <c r="D475" s="4" t="n"/>
      <c r="E475" s="4" t="n"/>
      <c r="F475" s="4" t="n"/>
      <c r="G475" s="4" t="n"/>
      <c r="H475" s="5" t="str">
        <f>IF(E475="","",IF(AND(F475="نعم",G475="نعم"),"جرد + مراجعة",IF(F475="نعم","جرد فقط",IF(G475="نعم","مراجعة فقط",""))))</f>
        <v/>
      </c>
      <c r="I475" s="9">
        <f>IF(H475="جرد + مراجعة",الإعدادات!$B$2,IF(H475="مراجعة فقط",الإعدادات!$B$3,IF(H475="جرد فقط",الإعدادات!$B$4,0)))</f>
        <v>0</v>
      </c>
    </row>
    <row r="476">
      <c r="A476" s="4" t="n"/>
      <c r="B476" s="5" t="str">
        <f>IF(A476="","",IFERROR(INDEX('جدول الجرد'!$A$2:$A$29,MATCH(A476,'جدول الجرد'!$B$2:$B$29,0)),""))</f>
        <v/>
      </c>
      <c r="C476" s="5" t="str">
        <f>IF(A476="","",IFERROR(INDEX('جدول الجرد'!$E$2:$E$29,MATCH(A476,'جدول الجرد'!$B$2:$B$29,0)),""))</f>
        <v/>
      </c>
      <c r="D476" s="4" t="n"/>
      <c r="E476" s="4" t="n"/>
      <c r="F476" s="4" t="n"/>
      <c r="G476" s="4" t="n"/>
      <c r="H476" s="5" t="str">
        <f>IF(E476="","",IF(AND(F476="نعم",G476="نعم"),"جرد + مراجعة",IF(F476="نعم","جرد فقط",IF(G476="نعم","مراجعة فقط",""))))</f>
        <v/>
      </c>
      <c r="I476" s="9">
        <f>IF(H476="جرد + مراجعة",الإعدادات!$B$2,IF(H476="مراجعة فقط",الإعدادات!$B$3,IF(H476="جرد فقط",الإعدادات!$B$4,0)))</f>
        <v>0</v>
      </c>
    </row>
    <row r="477">
      <c r="A477" s="4" t="n"/>
      <c r="B477" s="5" t="str">
        <f>IF(A477="","",IFERROR(INDEX('جدول الجرد'!$A$2:$A$29,MATCH(A477,'جدول الجرد'!$B$2:$B$29,0)),""))</f>
        <v/>
      </c>
      <c r="C477" s="5" t="str">
        <f>IF(A477="","",IFERROR(INDEX('جدول الجرد'!$E$2:$E$29,MATCH(A477,'جدول الجرد'!$B$2:$B$29,0)),""))</f>
        <v/>
      </c>
      <c r="D477" s="4" t="n"/>
      <c r="E477" s="4" t="n"/>
      <c r="F477" s="4" t="n"/>
      <c r="G477" s="4" t="n"/>
      <c r="H477" s="5" t="str">
        <f>IF(E477="","",IF(AND(F477="نعم",G477="نعم"),"جرد + مراجعة",IF(F477="نعم","جرد فقط",IF(G477="نعم","مراجعة فقط",""))))</f>
        <v/>
      </c>
      <c r="I477" s="9">
        <f>IF(H477="جرد + مراجعة",الإعدادات!$B$2,IF(H477="مراجعة فقط",الإعدادات!$B$3,IF(H477="جرد فقط",الإعدادات!$B$4,0)))</f>
        <v>0</v>
      </c>
    </row>
    <row r="478">
      <c r="A478" s="4" t="n"/>
      <c r="B478" s="5" t="str">
        <f>IF(A478="","",IFERROR(INDEX('جدول الجرد'!$A$2:$A$29,MATCH(A478,'جدول الجرد'!$B$2:$B$29,0)),""))</f>
        <v/>
      </c>
      <c r="C478" s="5" t="str">
        <f>IF(A478="","",IFERROR(INDEX('جدول الجرد'!$E$2:$E$29,MATCH(A478,'جدول الجرد'!$B$2:$B$29,0)),""))</f>
        <v/>
      </c>
      <c r="D478" s="4" t="n"/>
      <c r="E478" s="4" t="n"/>
      <c r="F478" s="4" t="n"/>
      <c r="G478" s="4" t="n"/>
      <c r="H478" s="5" t="str">
        <f>IF(E478="","",IF(AND(F478="نعم",G478="نعم"),"جرد + مراجعة",IF(F478="نعم","جرد فقط",IF(G478="نعم","مراجعة فقط",""))))</f>
        <v/>
      </c>
      <c r="I478" s="9">
        <f>IF(H478="جرد + مراجعة",الإعدادات!$B$2,IF(H478="مراجعة فقط",الإعدادات!$B$3,IF(H478="جرد فقط",الإعدادات!$B$4,0)))</f>
        <v>0</v>
      </c>
    </row>
    <row r="479">
      <c r="A479" s="4" t="n"/>
      <c r="B479" s="5" t="str">
        <f>IF(A479="","",IFERROR(INDEX('جدول الجرد'!$A$2:$A$29,MATCH(A479,'جدول الجرد'!$B$2:$B$29,0)),""))</f>
        <v/>
      </c>
      <c r="C479" s="5" t="str">
        <f>IF(A479="","",IFERROR(INDEX('جدول الجرد'!$E$2:$E$29,MATCH(A479,'جدول الجرد'!$B$2:$B$29,0)),""))</f>
        <v/>
      </c>
      <c r="D479" s="4" t="n"/>
      <c r="E479" s="4" t="n"/>
      <c r="F479" s="4" t="n"/>
      <c r="G479" s="4" t="n"/>
      <c r="H479" s="5" t="str">
        <f>IF(E479="","",IF(AND(F479="نعم",G479="نعم"),"جرد + مراجعة",IF(F479="نعم","جرد فقط",IF(G479="نعم","مراجعة فقط",""))))</f>
        <v/>
      </c>
      <c r="I479" s="9">
        <f>IF(H479="جرد + مراجعة",الإعدادات!$B$2,IF(H479="مراجعة فقط",الإعدادات!$B$3,IF(H479="جرد فقط",الإعدادات!$B$4,0)))</f>
        <v>0</v>
      </c>
    </row>
    <row r="480">
      <c r="A480" s="4" t="n"/>
      <c r="B480" s="5" t="str">
        <f>IF(A480="","",IFERROR(INDEX('جدول الجرد'!$A$2:$A$29,MATCH(A480,'جدول الجرد'!$B$2:$B$29,0)),""))</f>
        <v/>
      </c>
      <c r="C480" s="5" t="str">
        <f>IF(A480="","",IFERROR(INDEX('جدول الجرد'!$E$2:$E$29,MATCH(A480,'جدول الجرد'!$B$2:$B$29,0)),""))</f>
        <v/>
      </c>
      <c r="D480" s="4" t="n"/>
      <c r="E480" s="4" t="n"/>
      <c r="F480" s="4" t="n"/>
      <c r="G480" s="4" t="n"/>
      <c r="H480" s="5" t="str">
        <f>IF(E480="","",IF(AND(F480="نعم",G480="نعم"),"جرد + مراجعة",IF(F480="نعم","جرد فقط",IF(G480="نعم","مراجعة فقط",""))))</f>
        <v/>
      </c>
      <c r="I480" s="9">
        <f>IF(H480="جرد + مراجعة",الإعدادات!$B$2,IF(H480="مراجعة فقط",الإعدادات!$B$3,IF(H480="جرد فقط",الإعدادات!$B$4,0)))</f>
        <v>0</v>
      </c>
    </row>
    <row r="481">
      <c r="A481" s="4" t="n"/>
      <c r="B481" s="5" t="str">
        <f>IF(A481="","",IFERROR(INDEX('جدول الجرد'!$A$2:$A$29,MATCH(A481,'جدول الجرد'!$B$2:$B$29,0)),""))</f>
        <v/>
      </c>
      <c r="C481" s="5" t="str">
        <f>IF(A481="","",IFERROR(INDEX('جدول الجرد'!$E$2:$E$29,MATCH(A481,'جدول الجرد'!$B$2:$B$29,0)),""))</f>
        <v/>
      </c>
      <c r="D481" s="4" t="n"/>
      <c r="E481" s="4" t="n"/>
      <c r="F481" s="4" t="n"/>
      <c r="G481" s="4" t="n"/>
      <c r="H481" s="5" t="str">
        <f>IF(E481="","",IF(AND(F481="نعم",G481="نعم"),"جرد + مراجعة",IF(F481="نعم","جرد فقط",IF(G481="نعم","مراجعة فقط",""))))</f>
        <v/>
      </c>
      <c r="I481" s="9">
        <f>IF(H481="جرد + مراجعة",الإعدادات!$B$2,IF(H481="مراجعة فقط",الإعدادات!$B$3,IF(H481="جرد فقط",الإعدادات!$B$4,0)))</f>
        <v>0</v>
      </c>
    </row>
    <row r="482">
      <c r="A482" s="4" t="n"/>
      <c r="B482" s="5" t="str">
        <f>IF(A482="","",IFERROR(INDEX('جدول الجرد'!$A$2:$A$29,MATCH(A482,'جدول الجرد'!$B$2:$B$29,0)),""))</f>
        <v/>
      </c>
      <c r="C482" s="5" t="str">
        <f>IF(A482="","",IFERROR(INDEX('جدول الجرد'!$E$2:$E$29,MATCH(A482,'جدول الجرد'!$B$2:$B$29,0)),""))</f>
        <v/>
      </c>
      <c r="D482" s="4" t="n"/>
      <c r="E482" s="4" t="n"/>
      <c r="F482" s="4" t="n"/>
      <c r="G482" s="4" t="n"/>
      <c r="H482" s="5" t="str">
        <f>IF(E482="","",IF(AND(F482="نعم",G482="نعم"),"جرد + مراجعة",IF(F482="نعم","جرد فقط",IF(G482="نعم","مراجعة فقط",""))))</f>
        <v/>
      </c>
      <c r="I482" s="9">
        <f>IF(H482="جرد + مراجعة",الإعدادات!$B$2,IF(H482="مراجعة فقط",الإعدادات!$B$3,IF(H482="جرد فقط",الإعدادات!$B$4,0)))</f>
        <v>0</v>
      </c>
    </row>
    <row r="483">
      <c r="A483" s="4" t="n"/>
      <c r="B483" s="5" t="str">
        <f>IF(A483="","",IFERROR(INDEX('جدول الجرد'!$A$2:$A$29,MATCH(A483,'جدول الجرد'!$B$2:$B$29,0)),""))</f>
        <v/>
      </c>
      <c r="C483" s="5" t="str">
        <f>IF(A483="","",IFERROR(INDEX('جدول الجرد'!$E$2:$E$29,MATCH(A483,'جدول الجرد'!$B$2:$B$29,0)),""))</f>
        <v/>
      </c>
      <c r="D483" s="4" t="n"/>
      <c r="E483" s="4" t="n"/>
      <c r="F483" s="4" t="n"/>
      <c r="G483" s="4" t="n"/>
      <c r="H483" s="5" t="str">
        <f>IF(E483="","",IF(AND(F483="نعم",G483="نعم"),"جرد + مراجعة",IF(F483="نعم","جرد فقط",IF(G483="نعم","مراجعة فقط",""))))</f>
        <v/>
      </c>
      <c r="I483" s="9">
        <f>IF(H483="جرد + مراجعة",الإعدادات!$B$2,IF(H483="مراجعة فقط",الإعدادات!$B$3,IF(H483="جرد فقط",الإعدادات!$B$4,0)))</f>
        <v>0</v>
      </c>
    </row>
    <row r="484">
      <c r="A484" s="4" t="n"/>
      <c r="B484" s="5" t="str">
        <f>IF(A484="","",IFERROR(INDEX('جدول الجرد'!$A$2:$A$29,MATCH(A484,'جدول الجرد'!$B$2:$B$29,0)),""))</f>
        <v/>
      </c>
      <c r="C484" s="5" t="str">
        <f>IF(A484="","",IFERROR(INDEX('جدول الجرد'!$E$2:$E$29,MATCH(A484,'جدول الجرد'!$B$2:$B$29,0)),""))</f>
        <v/>
      </c>
      <c r="D484" s="4" t="n"/>
      <c r="E484" s="4" t="n"/>
      <c r="F484" s="4" t="n"/>
      <c r="G484" s="4" t="n"/>
      <c r="H484" s="5" t="str">
        <f>IF(E484="","",IF(AND(F484="نعم",G484="نعم"),"جرد + مراجعة",IF(F484="نعم","جرد فقط",IF(G484="نعم","مراجعة فقط",""))))</f>
        <v/>
      </c>
      <c r="I484" s="9">
        <f>IF(H484="جرد + مراجعة",الإعدادات!$B$2,IF(H484="مراجعة فقط",الإعدادات!$B$3,IF(H484="جرد فقط",الإعدادات!$B$4,0)))</f>
        <v>0</v>
      </c>
    </row>
    <row r="485">
      <c r="A485" s="4" t="n"/>
      <c r="B485" s="5" t="str">
        <f>IF(A485="","",IFERROR(INDEX('جدول الجرد'!$A$2:$A$29,MATCH(A485,'جدول الجرد'!$B$2:$B$29,0)),""))</f>
        <v/>
      </c>
      <c r="C485" s="5" t="str">
        <f>IF(A485="","",IFERROR(INDEX('جدول الجرد'!$E$2:$E$29,MATCH(A485,'جدول الجرد'!$B$2:$B$29,0)),""))</f>
        <v/>
      </c>
      <c r="D485" s="4" t="n"/>
      <c r="E485" s="4" t="n"/>
      <c r="F485" s="4" t="n"/>
      <c r="G485" s="4" t="n"/>
      <c r="H485" s="5" t="str">
        <f>IF(E485="","",IF(AND(F485="نعم",G485="نعم"),"جرد + مراجعة",IF(F485="نعم","جرد فقط",IF(G485="نعم","مراجعة فقط",""))))</f>
        <v/>
      </c>
      <c r="I485" s="9">
        <f>IF(H485="جرد + مراجعة",الإعدادات!$B$2,IF(H485="مراجعة فقط",الإعدادات!$B$3,IF(H485="جرد فقط",الإعدادات!$B$4,0)))</f>
        <v>0</v>
      </c>
    </row>
    <row r="486">
      <c r="A486" s="4" t="n"/>
      <c r="B486" s="5" t="str">
        <f>IF(A486="","",IFERROR(INDEX('جدول الجرد'!$A$2:$A$29,MATCH(A486,'جدول الجرد'!$B$2:$B$29,0)),""))</f>
        <v/>
      </c>
      <c r="C486" s="5" t="str">
        <f>IF(A486="","",IFERROR(INDEX('جدول الجرد'!$E$2:$E$29,MATCH(A486,'جدول الجرد'!$B$2:$B$29,0)),""))</f>
        <v/>
      </c>
      <c r="D486" s="4" t="n"/>
      <c r="E486" s="4" t="n"/>
      <c r="F486" s="4" t="n"/>
      <c r="G486" s="4" t="n"/>
      <c r="H486" s="5" t="str">
        <f>IF(E486="","",IF(AND(F486="نعم",G486="نعم"),"جرد + مراجعة",IF(F486="نعم","جرد فقط",IF(G486="نعم","مراجعة فقط",""))))</f>
        <v/>
      </c>
      <c r="I486" s="9">
        <f>IF(H486="جرد + مراجعة",الإعدادات!$B$2,IF(H486="مراجعة فقط",الإعدادات!$B$3,IF(H486="جرد فقط",الإعدادات!$B$4,0)))</f>
        <v>0</v>
      </c>
    </row>
    <row r="487">
      <c r="A487" s="4" t="n"/>
      <c r="B487" s="5" t="str">
        <f>IF(A487="","",IFERROR(INDEX('جدول الجرد'!$A$2:$A$29,MATCH(A487,'جدول الجرد'!$B$2:$B$29,0)),""))</f>
        <v/>
      </c>
      <c r="C487" s="5" t="str">
        <f>IF(A487="","",IFERROR(INDEX('جدول الجرد'!$E$2:$E$29,MATCH(A487,'جدول الجرد'!$B$2:$B$29,0)),""))</f>
        <v/>
      </c>
      <c r="D487" s="4" t="n"/>
      <c r="E487" s="4" t="n"/>
      <c r="F487" s="4" t="n"/>
      <c r="G487" s="4" t="n"/>
      <c r="H487" s="5" t="str">
        <f>IF(E487="","",IF(AND(F487="نعم",G487="نعم"),"جرد + مراجعة",IF(F487="نعم","جرد فقط",IF(G487="نعم","مراجعة فقط",""))))</f>
        <v/>
      </c>
      <c r="I487" s="9">
        <f>IF(H487="جرد + مراجعة",الإعدادات!$B$2,IF(H487="مراجعة فقط",الإعدادات!$B$3,IF(H487="جرد فقط",الإعدادات!$B$4,0)))</f>
        <v>0</v>
      </c>
    </row>
    <row r="488">
      <c r="A488" s="4" t="n"/>
      <c r="B488" s="5" t="str">
        <f>IF(A488="","",IFERROR(INDEX('جدول الجرد'!$A$2:$A$29,MATCH(A488,'جدول الجرد'!$B$2:$B$29,0)),""))</f>
        <v/>
      </c>
      <c r="C488" s="5" t="str">
        <f>IF(A488="","",IFERROR(INDEX('جدول الجرد'!$E$2:$E$29,MATCH(A488,'جدول الجرد'!$B$2:$B$29,0)),""))</f>
        <v/>
      </c>
      <c r="D488" s="4" t="n"/>
      <c r="E488" s="4" t="n"/>
      <c r="F488" s="4" t="n"/>
      <c r="G488" s="4" t="n"/>
      <c r="H488" s="5" t="str">
        <f>IF(E488="","",IF(AND(F488="نعم",G488="نعم"),"جرد + مراجعة",IF(F488="نعم","جرد فقط",IF(G488="نعم","مراجعة فقط",""))))</f>
        <v/>
      </c>
      <c r="I488" s="9">
        <f>IF(H488="جرد + مراجعة",الإعدادات!$B$2,IF(H488="مراجعة فقط",الإعدادات!$B$3,IF(H488="جرد فقط",الإعدادات!$B$4,0)))</f>
        <v>0</v>
      </c>
    </row>
    <row r="489">
      <c r="A489" s="4" t="n"/>
      <c r="B489" s="5" t="str">
        <f>IF(A489="","",IFERROR(INDEX('جدول الجرد'!$A$2:$A$29,MATCH(A489,'جدول الجرد'!$B$2:$B$29,0)),""))</f>
        <v/>
      </c>
      <c r="C489" s="5" t="str">
        <f>IF(A489="","",IFERROR(INDEX('جدول الجرد'!$E$2:$E$29,MATCH(A489,'جدول الجرد'!$B$2:$B$29,0)),""))</f>
        <v/>
      </c>
      <c r="D489" s="4" t="n"/>
      <c r="E489" s="4" t="n"/>
      <c r="F489" s="4" t="n"/>
      <c r="G489" s="4" t="n"/>
      <c r="H489" s="5" t="str">
        <f>IF(E489="","",IF(AND(F489="نعم",G489="نعم"),"جرد + مراجعة",IF(F489="نعم","جرد فقط",IF(G489="نعم","مراجعة فقط",""))))</f>
        <v/>
      </c>
      <c r="I489" s="9">
        <f>IF(H489="جرد + مراجعة",الإعدادات!$B$2,IF(H489="مراجعة فقط",الإعدادات!$B$3,IF(H489="جرد فقط",الإعدادات!$B$4,0)))</f>
        <v>0</v>
      </c>
    </row>
    <row r="490">
      <c r="A490" s="4" t="n"/>
      <c r="B490" s="5" t="str">
        <f>IF(A490="","",IFERROR(INDEX('جدول الجرد'!$A$2:$A$29,MATCH(A490,'جدول الجرد'!$B$2:$B$29,0)),""))</f>
        <v/>
      </c>
      <c r="C490" s="5" t="str">
        <f>IF(A490="","",IFERROR(INDEX('جدول الجرد'!$E$2:$E$29,MATCH(A490,'جدول الجرد'!$B$2:$B$29,0)),""))</f>
        <v/>
      </c>
      <c r="D490" s="4" t="n"/>
      <c r="E490" s="4" t="n"/>
      <c r="F490" s="4" t="n"/>
      <c r="G490" s="4" t="n"/>
      <c r="H490" s="5" t="str">
        <f>IF(E490="","",IF(AND(F490="نعم",G490="نعم"),"جرد + مراجعة",IF(F490="نعم","جرد فقط",IF(G490="نعم","مراجعة فقط",""))))</f>
        <v/>
      </c>
      <c r="I490" s="9">
        <f>IF(H490="جرد + مراجعة",الإعدادات!$B$2,IF(H490="مراجعة فقط",الإعدادات!$B$3,IF(H490="جرد فقط",الإعدادات!$B$4,0)))</f>
        <v>0</v>
      </c>
    </row>
    <row r="491">
      <c r="A491" s="4" t="n"/>
      <c r="B491" s="5" t="str">
        <f>IF(A491="","",IFERROR(INDEX('جدول الجرد'!$A$2:$A$29,MATCH(A491,'جدول الجرد'!$B$2:$B$29,0)),""))</f>
        <v/>
      </c>
      <c r="C491" s="5" t="str">
        <f>IF(A491="","",IFERROR(INDEX('جدول الجرد'!$E$2:$E$29,MATCH(A491,'جدول الجرد'!$B$2:$B$29,0)),""))</f>
        <v/>
      </c>
      <c r="D491" s="4" t="n"/>
      <c r="E491" s="4" t="n"/>
      <c r="F491" s="4" t="n"/>
      <c r="G491" s="4" t="n"/>
      <c r="H491" s="5" t="str">
        <f>IF(E491="","",IF(AND(F491="نعم",G491="نعم"),"جرد + مراجعة",IF(F491="نعم","جرد فقط",IF(G491="نعم","مراجعة فقط",""))))</f>
        <v/>
      </c>
      <c r="I491" s="9">
        <f>IF(H491="جرد + مراجعة",الإعدادات!$B$2,IF(H491="مراجعة فقط",الإعدادات!$B$3,IF(H491="جرد فقط",الإعدادات!$B$4,0)))</f>
        <v>0</v>
      </c>
    </row>
    <row r="492">
      <c r="A492" s="4" t="n"/>
      <c r="B492" s="5" t="str">
        <f>IF(A492="","",IFERROR(INDEX('جدول الجرد'!$A$2:$A$29,MATCH(A492,'جدول الجرد'!$B$2:$B$29,0)),""))</f>
        <v/>
      </c>
      <c r="C492" s="5" t="str">
        <f>IF(A492="","",IFERROR(INDEX('جدول الجرد'!$E$2:$E$29,MATCH(A492,'جدول الجرد'!$B$2:$B$29,0)),""))</f>
        <v/>
      </c>
      <c r="D492" s="4" t="n"/>
      <c r="E492" s="4" t="n"/>
      <c r="F492" s="4" t="n"/>
      <c r="G492" s="4" t="n"/>
      <c r="H492" s="5" t="str">
        <f>IF(E492="","",IF(AND(F492="نعم",G492="نعم"),"جرد + مراجعة",IF(F492="نعم","جرد فقط",IF(G492="نعم","مراجعة فقط",""))))</f>
        <v/>
      </c>
      <c r="I492" s="9">
        <f>IF(H492="جرد + مراجعة",الإعدادات!$B$2,IF(H492="مراجعة فقط",الإعدادات!$B$3,IF(H492="جرد فقط",الإعدادات!$B$4,0)))</f>
        <v>0</v>
      </c>
    </row>
    <row r="493">
      <c r="A493" s="4" t="n"/>
      <c r="B493" s="5" t="str">
        <f>IF(A493="","",IFERROR(INDEX('جدول الجرد'!$A$2:$A$29,MATCH(A493,'جدول الجرد'!$B$2:$B$29,0)),""))</f>
        <v/>
      </c>
      <c r="C493" s="5" t="str">
        <f>IF(A493="","",IFERROR(INDEX('جدول الجرد'!$E$2:$E$29,MATCH(A493,'جدول الجرد'!$B$2:$B$29,0)),""))</f>
        <v/>
      </c>
      <c r="D493" s="4" t="n"/>
      <c r="E493" s="4" t="n"/>
      <c r="F493" s="4" t="n"/>
      <c r="G493" s="4" t="n"/>
      <c r="H493" s="5" t="str">
        <f>IF(E493="","",IF(AND(F493="نعم",G493="نعم"),"جرد + مراجعة",IF(F493="نعم","جرد فقط",IF(G493="نعم","مراجعة فقط",""))))</f>
        <v/>
      </c>
      <c r="I493" s="9">
        <f>IF(H493="جرد + مراجعة",الإعدادات!$B$2,IF(H493="مراجعة فقط",الإعدادات!$B$3,IF(H493="جرد فقط",الإعدادات!$B$4,0)))</f>
        <v>0</v>
      </c>
    </row>
    <row r="494">
      <c r="A494" s="4" t="n"/>
      <c r="B494" s="5" t="str">
        <f>IF(A494="","",IFERROR(INDEX('جدول الجرد'!$A$2:$A$29,MATCH(A494,'جدول الجرد'!$B$2:$B$29,0)),""))</f>
        <v/>
      </c>
      <c r="C494" s="5" t="str">
        <f>IF(A494="","",IFERROR(INDEX('جدول الجرد'!$E$2:$E$29,MATCH(A494,'جدول الجرد'!$B$2:$B$29,0)),""))</f>
        <v/>
      </c>
      <c r="D494" s="4" t="n"/>
      <c r="E494" s="4" t="n"/>
      <c r="F494" s="4" t="n"/>
      <c r="G494" s="4" t="n"/>
      <c r="H494" s="5" t="str">
        <f>IF(E494="","",IF(AND(F494="نعم",G494="نعم"),"جرد + مراجعة",IF(F494="نعم","جرد فقط",IF(G494="نعم","مراجعة فقط",""))))</f>
        <v/>
      </c>
      <c r="I494" s="9">
        <f>IF(H494="جرد + مراجعة",الإعدادات!$B$2,IF(H494="مراجعة فقط",الإعدادات!$B$3,IF(H494="جرد فقط",الإعدادات!$B$4,0)))</f>
        <v>0</v>
      </c>
    </row>
    <row r="495">
      <c r="A495" s="4" t="n"/>
      <c r="B495" s="5" t="str">
        <f>IF(A495="","",IFERROR(INDEX('جدول الجرد'!$A$2:$A$29,MATCH(A495,'جدول الجرد'!$B$2:$B$29,0)),""))</f>
        <v/>
      </c>
      <c r="C495" s="5" t="str">
        <f>IF(A495="","",IFERROR(INDEX('جدول الجرد'!$E$2:$E$29,MATCH(A495,'جدول الجرد'!$B$2:$B$29,0)),""))</f>
        <v/>
      </c>
      <c r="D495" s="4" t="n"/>
      <c r="E495" s="4" t="n"/>
      <c r="F495" s="4" t="n"/>
      <c r="G495" s="4" t="n"/>
      <c r="H495" s="5" t="str">
        <f>IF(E495="","",IF(AND(F495="نعم",G495="نعم"),"جرد + مراجعة",IF(F495="نعم","جرد فقط",IF(G495="نعم","مراجعة فقط",""))))</f>
        <v/>
      </c>
      <c r="I495" s="9">
        <f>IF(H495="جرد + مراجعة",الإعدادات!$B$2,IF(H495="مراجعة فقط",الإعدادات!$B$3,IF(H495="جرد فقط",الإعدادات!$B$4,0)))</f>
        <v>0</v>
      </c>
    </row>
    <row r="496">
      <c r="A496" s="4" t="n"/>
      <c r="B496" s="5" t="str">
        <f>IF(A496="","",IFERROR(INDEX('جدول الجرد'!$A$2:$A$29,MATCH(A496,'جدول الجرد'!$B$2:$B$29,0)),""))</f>
        <v/>
      </c>
      <c r="C496" s="5" t="str">
        <f>IF(A496="","",IFERROR(INDEX('جدول الجرد'!$E$2:$E$29,MATCH(A496,'جدول الجرد'!$B$2:$B$29,0)),""))</f>
        <v/>
      </c>
      <c r="D496" s="4" t="n"/>
      <c r="E496" s="4" t="n"/>
      <c r="F496" s="4" t="n"/>
      <c r="G496" s="4" t="n"/>
      <c r="H496" s="5" t="str">
        <f>IF(E496="","",IF(AND(F496="نعم",G496="نعم"),"جرد + مراجعة",IF(F496="نعم","جرد فقط",IF(G496="نعم","مراجعة فقط",""))))</f>
        <v/>
      </c>
      <c r="I496" s="9">
        <f>IF(H496="جرد + مراجعة",الإعدادات!$B$2,IF(H496="مراجعة فقط",الإعدادات!$B$3,IF(H496="جرد فقط",الإعدادات!$B$4,0)))</f>
        <v>0</v>
      </c>
    </row>
    <row r="497">
      <c r="A497" s="4" t="n"/>
      <c r="B497" s="5" t="str">
        <f>IF(A497="","",IFERROR(INDEX('جدول الجرد'!$A$2:$A$29,MATCH(A497,'جدول الجرد'!$B$2:$B$29,0)),""))</f>
        <v/>
      </c>
      <c r="C497" s="5" t="str">
        <f>IF(A497="","",IFERROR(INDEX('جدول الجرد'!$E$2:$E$29,MATCH(A497,'جدول الجرد'!$B$2:$B$29,0)),""))</f>
        <v/>
      </c>
      <c r="D497" s="4" t="n"/>
      <c r="E497" s="4" t="n"/>
      <c r="F497" s="4" t="n"/>
      <c r="G497" s="4" t="n"/>
      <c r="H497" s="5" t="str">
        <f>IF(E497="","",IF(AND(F497="نعم",G497="نعم"),"جرد + مراجعة",IF(F497="نعم","جرد فقط",IF(G497="نعم","مراجعة فقط",""))))</f>
        <v/>
      </c>
      <c r="I497" s="9">
        <f>IF(H497="جرد + مراجعة",الإعدادات!$B$2,IF(H497="مراجعة فقط",الإعدادات!$B$3,IF(H497="جرد فقط",الإعدادات!$B$4,0)))</f>
        <v>0</v>
      </c>
    </row>
    <row r="498">
      <c r="A498" s="4" t="n"/>
      <c r="B498" s="5" t="str">
        <f>IF(A498="","",IFERROR(INDEX('جدول الجرد'!$A$2:$A$29,MATCH(A498,'جدول الجرد'!$B$2:$B$29,0)),""))</f>
        <v/>
      </c>
      <c r="C498" s="5" t="str">
        <f>IF(A498="","",IFERROR(INDEX('جدول الجرد'!$E$2:$E$29,MATCH(A498,'جدول الجرد'!$B$2:$B$29,0)),""))</f>
        <v/>
      </c>
      <c r="D498" s="4" t="n"/>
      <c r="E498" s="4" t="n"/>
      <c r="F498" s="4" t="n"/>
      <c r="G498" s="4" t="n"/>
      <c r="H498" s="5" t="str">
        <f>IF(E498="","",IF(AND(F498="نعم",G498="نعم"),"جرد + مراجعة",IF(F498="نعم","جرد فقط",IF(G498="نعم","مراجعة فقط",""))))</f>
        <v/>
      </c>
      <c r="I498" s="9">
        <f>IF(H498="جرد + مراجعة",الإعدادات!$B$2,IF(H498="مراجعة فقط",الإعدادات!$B$3,IF(H498="جرد فقط",الإعدادات!$B$4,0)))</f>
        <v>0</v>
      </c>
    </row>
    <row r="499">
      <c r="A499" s="4" t="n"/>
      <c r="B499" s="5" t="str">
        <f>IF(A499="","",IFERROR(INDEX('جدول الجرد'!$A$2:$A$29,MATCH(A499,'جدول الجرد'!$B$2:$B$29,0)),""))</f>
        <v/>
      </c>
      <c r="C499" s="5" t="str">
        <f>IF(A499="","",IFERROR(INDEX('جدول الجرد'!$E$2:$E$29,MATCH(A499,'جدول الجرد'!$B$2:$B$29,0)),""))</f>
        <v/>
      </c>
      <c r="D499" s="4" t="n"/>
      <c r="E499" s="4" t="n"/>
      <c r="F499" s="4" t="n"/>
      <c r="G499" s="4" t="n"/>
      <c r="H499" s="5" t="str">
        <f>IF(E499="","",IF(AND(F499="نعم",G499="نعم"),"جرد + مراجعة",IF(F499="نعم","جرد فقط",IF(G499="نعم","مراجعة فقط",""))))</f>
        <v/>
      </c>
      <c r="I499" s="9">
        <f>IF(H499="جرد + مراجعة",الإعدادات!$B$2,IF(H499="مراجعة فقط",الإعدادات!$B$3,IF(H499="جرد فقط",الإعدادات!$B$4,0)))</f>
        <v>0</v>
      </c>
    </row>
    <row r="500">
      <c r="A500" s="4" t="n"/>
      <c r="B500" s="5" t="str">
        <f>IF(A500="","",IFERROR(INDEX('جدول الجرد'!$A$2:$A$29,MATCH(A500,'جدول الجرد'!$B$2:$B$29,0)),""))</f>
        <v/>
      </c>
      <c r="C500" s="5" t="str">
        <f>IF(A500="","",IFERROR(INDEX('جدول الجرد'!$E$2:$E$29,MATCH(A500,'جدول الجرد'!$B$2:$B$29,0)),""))</f>
        <v/>
      </c>
      <c r="D500" s="4" t="n"/>
      <c r="E500" s="4" t="n"/>
      <c r="F500" s="4" t="n"/>
      <c r="G500" s="4" t="n"/>
      <c r="H500" s="5" t="str">
        <f>IF(E500="","",IF(AND(F500="نعم",G500="نعم"),"جرد + مراجعة",IF(F500="نعم","جرد فقط",IF(G500="نعم","مراجعة فقط",""))))</f>
        <v/>
      </c>
      <c r="I500" s="9">
        <f>IF(H500="جرد + مراجعة",الإعدادات!$B$2,IF(H500="مراجعة فقط",الإعدادات!$B$3,IF(H500="جرد فقط",الإعدادات!$B$4,0)))</f>
        <v>0</v>
      </c>
    </row>
    <row r="501">
      <c r="A501" s="4" t="n"/>
      <c r="B501" s="5" t="str">
        <f>IF(A501="","",IFERROR(INDEX('جدول الجرد'!$A$2:$A$29,MATCH(A501,'جدول الجرد'!$B$2:$B$29,0)),""))</f>
        <v/>
      </c>
      <c r="C501" s="5" t="str">
        <f>IF(A501="","",IFERROR(INDEX('جدول الجرد'!$E$2:$E$29,MATCH(A501,'جدول الجرد'!$B$2:$B$29,0)),""))</f>
        <v/>
      </c>
      <c r="D501" s="4" t="n"/>
      <c r="E501" s="4" t="n"/>
      <c r="F501" s="4" t="n"/>
      <c r="G501" s="4" t="n"/>
      <c r="H501" s="5" t="str">
        <f>IF(E501="","",IF(AND(F501="نعم",G501="نعم"),"جرد + مراجعة",IF(F501="نعم","جرد فقط",IF(G501="نعم","مراجعة فقط",""))))</f>
        <v/>
      </c>
      <c r="I501" s="9">
        <f>IF(H501="جرد + مراجعة",الإعدادات!$B$2,IF(H501="مراجعة فقط",الإعدادات!$B$3,IF(H501="جرد فقط",الإعدادات!$B$4,0)))</f>
        <v>0</v>
      </c>
    </row>
    <row r="502">
      <c r="A502" s="4" t="n"/>
      <c r="B502" s="5" t="str">
        <f>IF(A502="","",IFERROR(INDEX('جدول الجرد'!$A$2:$A$29,MATCH(A502,'جدول الجرد'!$B$2:$B$29,0)),""))</f>
        <v/>
      </c>
      <c r="C502" s="5" t="str">
        <f>IF(A502="","",IFERROR(INDEX('جدول الجرد'!$E$2:$E$29,MATCH(A502,'جدول الجرد'!$B$2:$B$29,0)),""))</f>
        <v/>
      </c>
      <c r="D502" s="4" t="n"/>
      <c r="E502" s="4" t="n"/>
      <c r="F502" s="4" t="n"/>
      <c r="G502" s="4" t="n"/>
      <c r="H502" s="5" t="str">
        <f>IF(E502="","",IF(AND(F502="نعم",G502="نعم"),"جرد + مراجعة",IF(F502="نعم","جرد فقط",IF(G502="نعم","مراجعة فقط",""))))</f>
        <v/>
      </c>
      <c r="I502" s="9">
        <f>IF(H502="جرد + مراجعة",الإعدادات!$B$2,IF(H502="مراجعة فقط",الإعدادات!$B$3,IF(H502="جرد فقط",الإعدادات!$B$4,0)))</f>
        <v>0</v>
      </c>
    </row>
    <row r="503">
      <c r="A503" s="4" t="n"/>
      <c r="B503" s="5" t="str">
        <f>IF(A503="","",IFERROR(INDEX('جدول الجرد'!$A$2:$A$29,MATCH(A503,'جدول الجرد'!$B$2:$B$29,0)),""))</f>
        <v/>
      </c>
      <c r="C503" s="5" t="str">
        <f>IF(A503="","",IFERROR(INDEX('جدول الجرد'!$E$2:$E$29,MATCH(A503,'جدول الجرد'!$B$2:$B$29,0)),""))</f>
        <v/>
      </c>
      <c r="D503" s="4" t="n"/>
      <c r="E503" s="4" t="n"/>
      <c r="F503" s="4" t="n"/>
      <c r="G503" s="4" t="n"/>
      <c r="H503" s="5" t="str">
        <f>IF(E503="","",IF(AND(F503="نعم",G503="نعم"),"جرد + مراجعة",IF(F503="نعم","جرد فقط",IF(G503="نعم","مراجعة فقط",""))))</f>
        <v/>
      </c>
      <c r="I503" s="9">
        <f>IF(H503="جرد + مراجعة",الإعدادات!$B$2,IF(H503="مراجعة فقط",الإعدادات!$B$3,IF(H503="جرد فقط",الإعدادات!$B$4,0)))</f>
        <v>0</v>
      </c>
    </row>
    <row r="504">
      <c r="A504" s="4" t="n"/>
      <c r="B504" s="5" t="str">
        <f>IF(A504="","",IFERROR(INDEX('جدول الجرد'!$A$2:$A$29,MATCH(A504,'جدول الجرد'!$B$2:$B$29,0)),""))</f>
        <v/>
      </c>
      <c r="C504" s="5" t="str">
        <f>IF(A504="","",IFERROR(INDEX('جدول الجرد'!$E$2:$E$29,MATCH(A504,'جدول الجرد'!$B$2:$B$29,0)),""))</f>
        <v/>
      </c>
      <c r="D504" s="4" t="n"/>
      <c r="E504" s="4" t="n"/>
      <c r="F504" s="4" t="n"/>
      <c r="G504" s="4" t="n"/>
      <c r="H504" s="5" t="str">
        <f>IF(E504="","",IF(AND(F504="نعم",G504="نعم"),"جرد + مراجعة",IF(F504="نعم","جرد فقط",IF(G504="نعم","مراجعة فقط",""))))</f>
        <v/>
      </c>
      <c r="I504" s="9">
        <f>IF(H504="جرد + مراجعة",الإعدادات!$B$2,IF(H504="مراجعة فقط",الإعدادات!$B$3,IF(H504="جرد فقط",الإعدادات!$B$4,0)))</f>
        <v>0</v>
      </c>
    </row>
    <row r="505">
      <c r="A505" s="4" t="n"/>
      <c r="B505" s="5" t="str">
        <f>IF(A505="","",IFERROR(INDEX('جدول الجرد'!$A$2:$A$29,MATCH(A505,'جدول الجرد'!$B$2:$B$29,0)),""))</f>
        <v/>
      </c>
      <c r="C505" s="5" t="str">
        <f>IF(A505="","",IFERROR(INDEX('جدول الجرد'!$E$2:$E$29,MATCH(A505,'جدول الجرد'!$B$2:$B$29,0)),""))</f>
        <v/>
      </c>
      <c r="D505" s="4" t="n"/>
      <c r="E505" s="4" t="n"/>
      <c r="F505" s="4" t="n"/>
      <c r="G505" s="4" t="n"/>
      <c r="H505" s="5" t="str">
        <f>IF(E505="","",IF(AND(F505="نعم",G505="نعم"),"جرد + مراجعة",IF(F505="نعم","جرد فقط",IF(G505="نعم","مراجعة فقط",""))))</f>
        <v/>
      </c>
      <c r="I505" s="9">
        <f>IF(H505="جرد + مراجعة",الإعدادات!$B$2,IF(H505="مراجعة فقط",الإعدادات!$B$3,IF(H505="جرد فقط",الإعدادات!$B$4,0)))</f>
        <v>0</v>
      </c>
    </row>
    <row r="506">
      <c r="A506" s="4" t="n"/>
      <c r="B506" s="5" t="str">
        <f>IF(A506="","",IFERROR(INDEX('جدول الجرد'!$A$2:$A$29,MATCH(A506,'جدول الجرد'!$B$2:$B$29,0)),""))</f>
        <v/>
      </c>
      <c r="C506" s="5" t="str">
        <f>IF(A506="","",IFERROR(INDEX('جدول الجرد'!$E$2:$E$29,MATCH(A506,'جدول الجرد'!$B$2:$B$29,0)),""))</f>
        <v/>
      </c>
      <c r="D506" s="4" t="n"/>
      <c r="E506" s="4" t="n"/>
      <c r="F506" s="4" t="n"/>
      <c r="G506" s="4" t="n"/>
      <c r="H506" s="5" t="str">
        <f>IF(E506="","",IF(AND(F506="نعم",G506="نعم"),"جرد + مراجعة",IF(F506="نعم","جرد فقط",IF(G506="نعم","مراجعة فقط",""))))</f>
        <v/>
      </c>
      <c r="I506" s="9">
        <f>IF(H506="جرد + مراجعة",الإعدادات!$B$2,IF(H506="مراجعة فقط",الإعدادات!$B$3,IF(H506="جرد فقط",الإعدادات!$B$4,0)))</f>
        <v>0</v>
      </c>
    </row>
    <row r="507">
      <c r="A507" s="4" t="n"/>
      <c r="B507" s="5" t="str">
        <f>IF(A507="","",IFERROR(INDEX('جدول الجرد'!$A$2:$A$29,MATCH(A507,'جدول الجرد'!$B$2:$B$29,0)),""))</f>
        <v/>
      </c>
      <c r="C507" s="5" t="str">
        <f>IF(A507="","",IFERROR(INDEX('جدول الجرد'!$E$2:$E$29,MATCH(A507,'جدول الجرد'!$B$2:$B$29,0)),""))</f>
        <v/>
      </c>
      <c r="D507" s="4" t="n"/>
      <c r="E507" s="4" t="n"/>
      <c r="F507" s="4" t="n"/>
      <c r="G507" s="4" t="n"/>
      <c r="H507" s="5" t="str">
        <f>IF(E507="","",IF(AND(F507="نعم",G507="نعم"),"جرد + مراجعة",IF(F507="نعم","جرد فقط",IF(G507="نعم","مراجعة فقط",""))))</f>
        <v/>
      </c>
      <c r="I507" s="9">
        <f>IF(H507="جرد + مراجعة",الإعدادات!$B$2,IF(H507="مراجعة فقط",الإعدادات!$B$3,IF(H507="جرد فقط",الإعدادات!$B$4,0)))</f>
        <v>0</v>
      </c>
    </row>
    <row r="508">
      <c r="A508" s="4" t="n"/>
      <c r="B508" s="5" t="str">
        <f>IF(A508="","",IFERROR(INDEX('جدول الجرد'!$A$2:$A$29,MATCH(A508,'جدول الجرد'!$B$2:$B$29,0)),""))</f>
        <v/>
      </c>
      <c r="C508" s="5" t="str">
        <f>IF(A508="","",IFERROR(INDEX('جدول الجرد'!$E$2:$E$29,MATCH(A508,'جدول الجرد'!$B$2:$B$29,0)),""))</f>
        <v/>
      </c>
      <c r="D508" s="4" t="n"/>
      <c r="E508" s="4" t="n"/>
      <c r="F508" s="4" t="n"/>
      <c r="G508" s="4" t="n"/>
      <c r="H508" s="5" t="str">
        <f>IF(E508="","",IF(AND(F508="نعم",G508="نعم"),"جرد + مراجعة",IF(F508="نعم","جرد فقط",IF(G508="نعم","مراجعة فقط",""))))</f>
        <v/>
      </c>
      <c r="I508" s="9">
        <f>IF(H508="جرد + مراجعة",الإعدادات!$B$2,IF(H508="مراجعة فقط",الإعدادات!$B$3,IF(H508="جرد فقط",الإعدادات!$B$4,0)))</f>
        <v>0</v>
      </c>
    </row>
    <row r="509">
      <c r="A509" s="4" t="n"/>
      <c r="B509" s="5" t="str">
        <f>IF(A509="","",IFERROR(INDEX('جدول الجرد'!$A$2:$A$29,MATCH(A509,'جدول الجرد'!$B$2:$B$29,0)),""))</f>
        <v/>
      </c>
      <c r="C509" s="5" t="str">
        <f>IF(A509="","",IFERROR(INDEX('جدول الجرد'!$E$2:$E$29,MATCH(A509,'جدول الجرد'!$B$2:$B$29,0)),""))</f>
        <v/>
      </c>
      <c r="D509" s="4" t="n"/>
      <c r="E509" s="4" t="n"/>
      <c r="F509" s="4" t="n"/>
      <c r="G509" s="4" t="n"/>
      <c r="H509" s="5" t="str">
        <f>IF(E509="","",IF(AND(F509="نعم",G509="نعم"),"جرد + مراجعة",IF(F509="نعم","جرد فقط",IF(G509="نعم","مراجعة فقط",""))))</f>
        <v/>
      </c>
      <c r="I509" s="9">
        <f>IF(H509="جرد + مراجعة",الإعدادات!$B$2,IF(H509="مراجعة فقط",الإعدادات!$B$3,IF(H509="جرد فقط",الإعدادات!$B$4,0)))</f>
        <v>0</v>
      </c>
    </row>
    <row r="510">
      <c r="A510" s="4" t="n"/>
      <c r="B510" s="5" t="str">
        <f>IF(A510="","",IFERROR(INDEX('جدول الجرد'!$A$2:$A$29,MATCH(A510,'جدول الجرد'!$B$2:$B$29,0)),""))</f>
        <v/>
      </c>
      <c r="C510" s="5" t="str">
        <f>IF(A510="","",IFERROR(INDEX('جدول الجرد'!$E$2:$E$29,MATCH(A510,'جدول الجرد'!$B$2:$B$29,0)),""))</f>
        <v/>
      </c>
      <c r="D510" s="4" t="n"/>
      <c r="E510" s="4" t="n"/>
      <c r="F510" s="4" t="n"/>
      <c r="G510" s="4" t="n"/>
      <c r="H510" s="5" t="str">
        <f>IF(E510="","",IF(AND(F510="نعم",G510="نعم"),"جرد + مراجعة",IF(F510="نعم","جرد فقط",IF(G510="نعم","مراجعة فقط",""))))</f>
        <v/>
      </c>
      <c r="I510" s="9">
        <f>IF(H510="جرد + مراجعة",الإعدادات!$B$2,IF(H510="مراجعة فقط",الإعدادات!$B$3,IF(H510="جرد فقط",الإعدادات!$B$4,0)))</f>
        <v>0</v>
      </c>
    </row>
    <row r="511">
      <c r="A511" s="4" t="n"/>
      <c r="B511" s="5" t="str">
        <f>IF(A511="","",IFERROR(INDEX('جدول الجرد'!$A$2:$A$29,MATCH(A511,'جدول الجرد'!$B$2:$B$29,0)),""))</f>
        <v/>
      </c>
      <c r="C511" s="5" t="str">
        <f>IF(A511="","",IFERROR(INDEX('جدول الجرد'!$E$2:$E$29,MATCH(A511,'جدول الجرد'!$B$2:$B$29,0)),""))</f>
        <v/>
      </c>
      <c r="D511" s="4" t="n"/>
      <c r="E511" s="4" t="n"/>
      <c r="F511" s="4" t="n"/>
      <c r="G511" s="4" t="n"/>
      <c r="H511" s="5" t="str">
        <f>IF(E511="","",IF(AND(F511="نعم",G511="نعم"),"جرد + مراجعة",IF(F511="نعم","جرد فقط",IF(G511="نعم","مراجعة فقط",""))))</f>
        <v/>
      </c>
      <c r="I511" s="9">
        <f>IF(H511="جرد + مراجعة",الإعدادات!$B$2,IF(H511="مراجعة فقط",الإعدادات!$B$3,IF(H511="جرد فقط",الإعدادات!$B$4,0)))</f>
        <v>0</v>
      </c>
    </row>
    <row r="512">
      <c r="A512" s="4" t="n"/>
      <c r="B512" s="5" t="str">
        <f>IF(A512="","",IFERROR(INDEX('جدول الجرد'!$A$2:$A$29,MATCH(A512,'جدول الجرد'!$B$2:$B$29,0)),""))</f>
        <v/>
      </c>
      <c r="C512" s="5" t="str">
        <f>IF(A512="","",IFERROR(INDEX('جدول الجرد'!$E$2:$E$29,MATCH(A512,'جدول الجرد'!$B$2:$B$29,0)),""))</f>
        <v/>
      </c>
      <c r="D512" s="4" t="n"/>
      <c r="E512" s="4" t="n"/>
      <c r="F512" s="4" t="n"/>
      <c r="G512" s="4" t="n"/>
      <c r="H512" s="5" t="str">
        <f>IF(E512="","",IF(AND(F512="نعم",G512="نعم"),"جرد + مراجعة",IF(F512="نعم","جرد فقط",IF(G512="نعم","مراجعة فقط",""))))</f>
        <v/>
      </c>
      <c r="I512" s="9">
        <f>IF(H512="جرد + مراجعة",الإعدادات!$B$2,IF(H512="مراجعة فقط",الإعدادات!$B$3,IF(H512="جرد فقط",الإعدادات!$B$4,0)))</f>
        <v>0</v>
      </c>
    </row>
    <row r="513">
      <c r="A513" s="4" t="n"/>
      <c r="B513" s="5" t="str">
        <f>IF(A513="","",IFERROR(INDEX('جدول الجرد'!$A$2:$A$29,MATCH(A513,'جدول الجرد'!$B$2:$B$29,0)),""))</f>
        <v/>
      </c>
      <c r="C513" s="5" t="str">
        <f>IF(A513="","",IFERROR(INDEX('جدول الجرد'!$E$2:$E$29,MATCH(A513,'جدول الجرد'!$B$2:$B$29,0)),""))</f>
        <v/>
      </c>
      <c r="D513" s="4" t="n"/>
      <c r="E513" s="4" t="n"/>
      <c r="F513" s="4" t="n"/>
      <c r="G513" s="4" t="n"/>
      <c r="H513" s="5" t="str">
        <f>IF(E513="","",IF(AND(F513="نعم",G513="نعم"),"جرد + مراجعة",IF(F513="نعم","جرد فقط",IF(G513="نعم","مراجعة فقط",""))))</f>
        <v/>
      </c>
      <c r="I513" s="9">
        <f>IF(H513="جرد + مراجعة",الإعدادات!$B$2,IF(H513="مراجعة فقط",الإعدادات!$B$3,IF(H513="جرد فقط",الإعدادات!$B$4,0)))</f>
        <v>0</v>
      </c>
    </row>
    <row r="514">
      <c r="A514" s="4" t="n"/>
      <c r="B514" s="5" t="str">
        <f>IF(A514="","",IFERROR(INDEX('جدول الجرد'!$A$2:$A$29,MATCH(A514,'جدول الجرد'!$B$2:$B$29,0)),""))</f>
        <v/>
      </c>
      <c r="C514" s="5" t="str">
        <f>IF(A514="","",IFERROR(INDEX('جدول الجرد'!$E$2:$E$29,MATCH(A514,'جدول الجرد'!$B$2:$B$29,0)),""))</f>
        <v/>
      </c>
      <c r="D514" s="4" t="n"/>
      <c r="E514" s="4" t="n"/>
      <c r="F514" s="4" t="n"/>
      <c r="G514" s="4" t="n"/>
      <c r="H514" s="5" t="str">
        <f>IF(E514="","",IF(AND(F514="نعم",G514="نعم"),"جرد + مراجعة",IF(F514="نعم","جرد فقط",IF(G514="نعم","مراجعة فقط",""))))</f>
        <v/>
      </c>
      <c r="I514" s="9">
        <f>IF(H514="جرد + مراجعة",الإعدادات!$B$2,IF(H514="مراجعة فقط",الإعدادات!$B$3,IF(H514="جرد فقط",الإعدادات!$B$4,0)))</f>
        <v>0</v>
      </c>
    </row>
    <row r="515">
      <c r="A515" s="4" t="n"/>
      <c r="B515" s="5" t="str">
        <f>IF(A515="","",IFERROR(INDEX('جدول الجرد'!$A$2:$A$29,MATCH(A515,'جدول الجرد'!$B$2:$B$29,0)),""))</f>
        <v/>
      </c>
      <c r="C515" s="5" t="str">
        <f>IF(A515="","",IFERROR(INDEX('جدول الجرد'!$E$2:$E$29,MATCH(A515,'جدول الجرد'!$B$2:$B$29,0)),""))</f>
        <v/>
      </c>
      <c r="D515" s="4" t="n"/>
      <c r="E515" s="4" t="n"/>
      <c r="F515" s="4" t="n"/>
      <c r="G515" s="4" t="n"/>
      <c r="H515" s="5" t="str">
        <f>IF(E515="","",IF(AND(F515="نعم",G515="نعم"),"جرد + مراجعة",IF(F515="نعم","جرد فقط",IF(G515="نعم","مراجعة فقط",""))))</f>
        <v/>
      </c>
      <c r="I515" s="9">
        <f>IF(H515="جرد + مراجعة",الإعدادات!$B$2,IF(H515="مراجعة فقط",الإعدادات!$B$3,IF(H515="جرد فقط",الإعدادات!$B$4,0)))</f>
        <v>0</v>
      </c>
    </row>
    <row r="516">
      <c r="A516" s="4" t="n"/>
      <c r="B516" s="5" t="str">
        <f>IF(A516="","",IFERROR(INDEX('جدول الجرد'!$A$2:$A$29,MATCH(A516,'جدول الجرد'!$B$2:$B$29,0)),""))</f>
        <v/>
      </c>
      <c r="C516" s="5" t="str">
        <f>IF(A516="","",IFERROR(INDEX('جدول الجرد'!$E$2:$E$29,MATCH(A516,'جدول الجرد'!$B$2:$B$29,0)),""))</f>
        <v/>
      </c>
      <c r="D516" s="4" t="n"/>
      <c r="E516" s="4" t="n"/>
      <c r="F516" s="4" t="n"/>
      <c r="G516" s="4" t="n"/>
      <c r="H516" s="5" t="str">
        <f>IF(E516="","",IF(AND(F516="نعم",G516="نعم"),"جرد + مراجعة",IF(F516="نعم","جرد فقط",IF(G516="نعم","مراجعة فقط",""))))</f>
        <v/>
      </c>
      <c r="I516" s="9">
        <f>IF(H516="جرد + مراجعة",الإعدادات!$B$2,IF(H516="مراجعة فقط",الإعدادات!$B$3,IF(H516="جرد فقط",الإعدادات!$B$4,0)))</f>
        <v>0</v>
      </c>
    </row>
    <row r="517">
      <c r="A517" s="4" t="n"/>
      <c r="B517" s="5" t="str">
        <f>IF(A517="","",IFERROR(INDEX('جدول الجرد'!$A$2:$A$29,MATCH(A517,'جدول الجرد'!$B$2:$B$29,0)),""))</f>
        <v/>
      </c>
      <c r="C517" s="5" t="str">
        <f>IF(A517="","",IFERROR(INDEX('جدول الجرد'!$E$2:$E$29,MATCH(A517,'جدول الجرد'!$B$2:$B$29,0)),""))</f>
        <v/>
      </c>
      <c r="D517" s="4" t="n"/>
      <c r="E517" s="4" t="n"/>
      <c r="F517" s="4" t="n"/>
      <c r="G517" s="4" t="n"/>
      <c r="H517" s="5" t="str">
        <f>IF(E517="","",IF(AND(F517="نعم",G517="نعم"),"جرد + مراجعة",IF(F517="نعم","جرد فقط",IF(G517="نعم","مراجعة فقط",""))))</f>
        <v/>
      </c>
      <c r="I517" s="9">
        <f>IF(H517="جرد + مراجعة",الإعدادات!$B$2,IF(H517="مراجعة فقط",الإعدادات!$B$3,IF(H517="جرد فقط",الإعدادات!$B$4,0)))</f>
        <v>0</v>
      </c>
    </row>
    <row r="518">
      <c r="A518" s="4" t="n"/>
      <c r="B518" s="5" t="str">
        <f>IF(A518="","",IFERROR(INDEX('جدول الجرد'!$A$2:$A$29,MATCH(A518,'جدول الجرد'!$B$2:$B$29,0)),""))</f>
        <v/>
      </c>
      <c r="C518" s="5" t="str">
        <f>IF(A518="","",IFERROR(INDEX('جدول الجرد'!$E$2:$E$29,MATCH(A518,'جدول الجرد'!$B$2:$B$29,0)),""))</f>
        <v/>
      </c>
      <c r="D518" s="4" t="n"/>
      <c r="E518" s="4" t="n"/>
      <c r="F518" s="4" t="n"/>
      <c r="G518" s="4" t="n"/>
      <c r="H518" s="5" t="str">
        <f>IF(E518="","",IF(AND(F518="نعم",G518="نعم"),"جرد + مراجعة",IF(F518="نعم","جرد فقط",IF(G518="نعم","مراجعة فقط",""))))</f>
        <v/>
      </c>
      <c r="I518" s="9">
        <f>IF(H518="جرد + مراجعة",الإعدادات!$B$2,IF(H518="مراجعة فقط",الإعدادات!$B$3,IF(H518="جرد فقط",الإعدادات!$B$4,0)))</f>
        <v>0</v>
      </c>
    </row>
    <row r="519">
      <c r="A519" s="4" t="n"/>
      <c r="B519" s="5" t="str">
        <f>IF(A519="","",IFERROR(INDEX('جدول الجرد'!$A$2:$A$29,MATCH(A519,'جدول الجرد'!$B$2:$B$29,0)),""))</f>
        <v/>
      </c>
      <c r="C519" s="5" t="str">
        <f>IF(A519="","",IFERROR(INDEX('جدول الجرد'!$E$2:$E$29,MATCH(A519,'جدول الجرد'!$B$2:$B$29,0)),""))</f>
        <v/>
      </c>
      <c r="D519" s="4" t="n"/>
      <c r="E519" s="4" t="n"/>
      <c r="F519" s="4" t="n"/>
      <c r="G519" s="4" t="n"/>
      <c r="H519" s="5" t="str">
        <f>IF(E519="","",IF(AND(F519="نعم",G519="نعم"),"جرد + مراجعة",IF(F519="نعم","جرد فقط",IF(G519="نعم","مراجعة فقط",""))))</f>
        <v/>
      </c>
      <c r="I519" s="9">
        <f>IF(H519="جرد + مراجعة",الإعدادات!$B$2,IF(H519="مراجعة فقط",الإعدادات!$B$3,IF(H519="جرد فقط",الإعدادات!$B$4,0)))</f>
        <v>0</v>
      </c>
    </row>
    <row r="520">
      <c r="A520" s="4" t="n"/>
      <c r="B520" s="5" t="str">
        <f>IF(A520="","",IFERROR(INDEX('جدول الجرد'!$A$2:$A$29,MATCH(A520,'جدول الجرد'!$B$2:$B$29,0)),""))</f>
        <v/>
      </c>
      <c r="C520" s="5" t="str">
        <f>IF(A520="","",IFERROR(INDEX('جدول الجرد'!$E$2:$E$29,MATCH(A520,'جدول الجرد'!$B$2:$B$29,0)),""))</f>
        <v/>
      </c>
      <c r="D520" s="4" t="n"/>
      <c r="E520" s="4" t="n"/>
      <c r="F520" s="4" t="n"/>
      <c r="G520" s="4" t="n"/>
      <c r="H520" s="5" t="str">
        <f>IF(E520="","",IF(AND(F520="نعم",G520="نعم"),"جرد + مراجعة",IF(F520="نعم","جرد فقط",IF(G520="نعم","مراجعة فقط",""))))</f>
        <v/>
      </c>
      <c r="I520" s="9">
        <f>IF(H520="جرد + مراجعة",الإعدادات!$B$2,IF(H520="مراجعة فقط",الإعدادات!$B$3,IF(H520="جرد فقط",الإعدادات!$B$4,0)))</f>
        <v>0</v>
      </c>
    </row>
    <row r="521">
      <c r="A521" s="4" t="n"/>
      <c r="B521" s="5" t="str">
        <f>IF(A521="","",IFERROR(INDEX('جدول الجرد'!$A$2:$A$29,MATCH(A521,'جدول الجرد'!$B$2:$B$29,0)),""))</f>
        <v/>
      </c>
      <c r="C521" s="5" t="str">
        <f>IF(A521="","",IFERROR(INDEX('جدول الجرد'!$E$2:$E$29,MATCH(A521,'جدول الجرد'!$B$2:$B$29,0)),""))</f>
        <v/>
      </c>
      <c r="D521" s="4" t="n"/>
      <c r="E521" s="4" t="n"/>
      <c r="F521" s="4" t="n"/>
      <c r="G521" s="4" t="n"/>
      <c r="H521" s="5" t="str">
        <f>IF(E521="","",IF(AND(F521="نعم",G521="نعم"),"جرد + مراجعة",IF(F521="نعم","جرد فقط",IF(G521="نعم","مراجعة فقط",""))))</f>
        <v/>
      </c>
      <c r="I521" s="9">
        <f>IF(H521="جرد + مراجعة",الإعدادات!$B$2,IF(H521="مراجعة فقط",الإعدادات!$B$3,IF(H521="جرد فقط",الإعدادات!$B$4,0)))</f>
        <v>0</v>
      </c>
    </row>
    <row r="522">
      <c r="A522" s="4" t="n"/>
      <c r="B522" s="5" t="str">
        <f>IF(A522="","",IFERROR(INDEX('جدول الجرد'!$A$2:$A$29,MATCH(A522,'جدول الجرد'!$B$2:$B$29,0)),""))</f>
        <v/>
      </c>
      <c r="C522" s="5" t="str">
        <f>IF(A522="","",IFERROR(INDEX('جدول الجرد'!$E$2:$E$29,MATCH(A522,'جدول الجرد'!$B$2:$B$29,0)),""))</f>
        <v/>
      </c>
      <c r="D522" s="4" t="n"/>
      <c r="E522" s="4" t="n"/>
      <c r="F522" s="4" t="n"/>
      <c r="G522" s="4" t="n"/>
      <c r="H522" s="5" t="str">
        <f>IF(E522="","",IF(AND(F522="نعم",G522="نعم"),"جرد + مراجعة",IF(F522="نعم","جرد فقط",IF(G522="نعم","مراجعة فقط",""))))</f>
        <v/>
      </c>
      <c r="I522" s="9">
        <f>IF(H522="جرد + مراجعة",الإعدادات!$B$2,IF(H522="مراجعة فقط",الإعدادات!$B$3,IF(H522="جرد فقط",الإعدادات!$B$4,0)))</f>
        <v>0</v>
      </c>
    </row>
    <row r="523">
      <c r="A523" s="4" t="n"/>
      <c r="B523" s="5" t="str">
        <f>IF(A523="","",IFERROR(INDEX('جدول الجرد'!$A$2:$A$29,MATCH(A523,'جدول الجرد'!$B$2:$B$29,0)),""))</f>
        <v/>
      </c>
      <c r="C523" s="5" t="str">
        <f>IF(A523="","",IFERROR(INDEX('جدول الجرد'!$E$2:$E$29,MATCH(A523,'جدول الجرد'!$B$2:$B$29,0)),""))</f>
        <v/>
      </c>
      <c r="D523" s="4" t="n"/>
      <c r="E523" s="4" t="n"/>
      <c r="F523" s="4" t="n"/>
      <c r="G523" s="4" t="n"/>
      <c r="H523" s="5" t="str">
        <f>IF(E523="","",IF(AND(F523="نعم",G523="نعم"),"جرد + مراجعة",IF(F523="نعم","جرد فقط",IF(G523="نعم","مراجعة فقط",""))))</f>
        <v/>
      </c>
      <c r="I523" s="9">
        <f>IF(H523="جرد + مراجعة",الإعدادات!$B$2,IF(H523="مراجعة فقط",الإعدادات!$B$3,IF(H523="جرد فقط",الإعدادات!$B$4,0)))</f>
        <v>0</v>
      </c>
    </row>
    <row r="524">
      <c r="A524" s="4" t="n"/>
      <c r="B524" s="5" t="str">
        <f>IF(A524="","",IFERROR(INDEX('جدول الجرد'!$A$2:$A$29,MATCH(A524,'جدول الجرد'!$B$2:$B$29,0)),""))</f>
        <v/>
      </c>
      <c r="C524" s="5" t="str">
        <f>IF(A524="","",IFERROR(INDEX('جدول الجرد'!$E$2:$E$29,MATCH(A524,'جدول الجرد'!$B$2:$B$29,0)),""))</f>
        <v/>
      </c>
      <c r="D524" s="4" t="n"/>
      <c r="E524" s="4" t="n"/>
      <c r="F524" s="4" t="n"/>
      <c r="G524" s="4" t="n"/>
      <c r="H524" s="5" t="str">
        <f>IF(E524="","",IF(AND(F524="نعم",G524="نعم"),"جرد + مراجعة",IF(F524="نعم","جرد فقط",IF(G524="نعم","مراجعة فقط",""))))</f>
        <v/>
      </c>
      <c r="I524" s="9">
        <f>IF(H524="جرد + مراجعة",الإعدادات!$B$2,IF(H524="مراجعة فقط",الإعدادات!$B$3,IF(H524="جرد فقط",الإعدادات!$B$4,0)))</f>
        <v>0</v>
      </c>
    </row>
    <row r="525">
      <c r="A525" s="4" t="n"/>
      <c r="B525" s="5" t="str">
        <f>IF(A525="","",IFERROR(INDEX('جدول الجرد'!$A$2:$A$29,MATCH(A525,'جدول الجرد'!$B$2:$B$29,0)),""))</f>
        <v/>
      </c>
      <c r="C525" s="5" t="str">
        <f>IF(A525="","",IFERROR(INDEX('جدول الجرد'!$E$2:$E$29,MATCH(A525,'جدول الجرد'!$B$2:$B$29,0)),""))</f>
        <v/>
      </c>
      <c r="D525" s="4" t="n"/>
      <c r="E525" s="4" t="n"/>
      <c r="F525" s="4" t="n"/>
      <c r="G525" s="4" t="n"/>
      <c r="H525" s="5" t="str">
        <f>IF(E525="","",IF(AND(F525="نعم",G525="نعم"),"جرد + مراجعة",IF(F525="نعم","جرد فقط",IF(G525="نعم","مراجعة فقط",""))))</f>
        <v/>
      </c>
      <c r="I525" s="9">
        <f>IF(H525="جرد + مراجعة",الإعدادات!$B$2,IF(H525="مراجعة فقط",الإعدادات!$B$3,IF(H525="جرد فقط",الإعدادات!$B$4,0)))</f>
        <v>0</v>
      </c>
    </row>
    <row r="526">
      <c r="A526" s="4" t="n"/>
      <c r="B526" s="5" t="str">
        <f>IF(A526="","",IFERROR(INDEX('جدول الجرد'!$A$2:$A$29,MATCH(A526,'جدول الجرد'!$B$2:$B$29,0)),""))</f>
        <v/>
      </c>
      <c r="C526" s="5" t="str">
        <f>IF(A526="","",IFERROR(INDEX('جدول الجرد'!$E$2:$E$29,MATCH(A526,'جدول الجرد'!$B$2:$B$29,0)),""))</f>
        <v/>
      </c>
      <c r="D526" s="4" t="n"/>
      <c r="E526" s="4" t="n"/>
      <c r="F526" s="4" t="n"/>
      <c r="G526" s="4" t="n"/>
      <c r="H526" s="5" t="str">
        <f>IF(E526="","",IF(AND(F526="نعم",G526="نعم"),"جرد + مراجعة",IF(F526="نعم","جرد فقط",IF(G526="نعم","مراجعة فقط",""))))</f>
        <v/>
      </c>
      <c r="I526" s="9">
        <f>IF(H526="جرد + مراجعة",الإعدادات!$B$2,IF(H526="مراجعة فقط",الإعدادات!$B$3,IF(H526="جرد فقط",الإعدادات!$B$4,0)))</f>
        <v>0</v>
      </c>
    </row>
    <row r="527">
      <c r="A527" s="4" t="n"/>
      <c r="B527" s="5" t="str">
        <f>IF(A527="","",IFERROR(INDEX('جدول الجرد'!$A$2:$A$29,MATCH(A527,'جدول الجرد'!$B$2:$B$29,0)),""))</f>
        <v/>
      </c>
      <c r="C527" s="5" t="str">
        <f>IF(A527="","",IFERROR(INDEX('جدول الجرد'!$E$2:$E$29,MATCH(A527,'جدول الجرد'!$B$2:$B$29,0)),""))</f>
        <v/>
      </c>
      <c r="D527" s="4" t="n"/>
      <c r="E527" s="4" t="n"/>
      <c r="F527" s="4" t="n"/>
      <c r="G527" s="4" t="n"/>
      <c r="H527" s="5" t="str">
        <f>IF(E527="","",IF(AND(F527="نعم",G527="نعم"),"جرد + مراجعة",IF(F527="نعم","جرد فقط",IF(G527="نعم","مراجعة فقط",""))))</f>
        <v/>
      </c>
      <c r="I527" s="9">
        <f>IF(H527="جرد + مراجعة",الإعدادات!$B$2,IF(H527="مراجعة فقط",الإعدادات!$B$3,IF(H527="جرد فقط",الإعدادات!$B$4,0)))</f>
        <v>0</v>
      </c>
    </row>
    <row r="528">
      <c r="A528" s="4" t="n"/>
      <c r="B528" s="5" t="str">
        <f>IF(A528="","",IFERROR(INDEX('جدول الجرد'!$A$2:$A$29,MATCH(A528,'جدول الجرد'!$B$2:$B$29,0)),""))</f>
        <v/>
      </c>
      <c r="C528" s="5" t="str">
        <f>IF(A528="","",IFERROR(INDEX('جدول الجرد'!$E$2:$E$29,MATCH(A528,'جدول الجرد'!$B$2:$B$29,0)),""))</f>
        <v/>
      </c>
      <c r="D528" s="4" t="n"/>
      <c r="E528" s="4" t="n"/>
      <c r="F528" s="4" t="n"/>
      <c r="G528" s="4" t="n"/>
      <c r="H528" s="5" t="str">
        <f>IF(E528="","",IF(AND(F528="نعم",G528="نعم"),"جرد + مراجعة",IF(F528="نعم","جرد فقط",IF(G528="نعم","مراجعة فقط",""))))</f>
        <v/>
      </c>
      <c r="I528" s="9">
        <f>IF(H528="جرد + مراجعة",الإعدادات!$B$2,IF(H528="مراجعة فقط",الإعدادات!$B$3,IF(H528="جرد فقط",الإعدادات!$B$4,0)))</f>
        <v>0</v>
      </c>
    </row>
    <row r="529">
      <c r="A529" s="4" t="n"/>
      <c r="B529" s="5" t="str">
        <f>IF(A529="","",IFERROR(INDEX('جدول الجرد'!$A$2:$A$29,MATCH(A529,'جدول الجرد'!$B$2:$B$29,0)),""))</f>
        <v/>
      </c>
      <c r="C529" s="5" t="str">
        <f>IF(A529="","",IFERROR(INDEX('جدول الجرد'!$E$2:$E$29,MATCH(A529,'جدول الجرد'!$B$2:$B$29,0)),""))</f>
        <v/>
      </c>
      <c r="D529" s="4" t="n"/>
      <c r="E529" s="4" t="n"/>
      <c r="F529" s="4" t="n"/>
      <c r="G529" s="4" t="n"/>
      <c r="H529" s="5" t="str">
        <f>IF(E529="","",IF(AND(F529="نعم",G529="نعم"),"جرد + مراجعة",IF(F529="نعم","جرد فقط",IF(G529="نعم","مراجعة فقط",""))))</f>
        <v/>
      </c>
      <c r="I529" s="9">
        <f>IF(H529="جرد + مراجعة",الإعدادات!$B$2,IF(H529="مراجعة فقط",الإعدادات!$B$3,IF(H529="جرد فقط",الإعدادات!$B$4,0)))</f>
        <v>0</v>
      </c>
    </row>
    <row r="530">
      <c r="A530" s="4" t="n"/>
      <c r="B530" s="5" t="str">
        <f>IF(A530="","",IFERROR(INDEX('جدول الجرد'!$A$2:$A$29,MATCH(A530,'جدول الجرد'!$B$2:$B$29,0)),""))</f>
        <v/>
      </c>
      <c r="C530" s="5" t="str">
        <f>IF(A530="","",IFERROR(INDEX('جدول الجرد'!$E$2:$E$29,MATCH(A530,'جدول الجرد'!$B$2:$B$29,0)),""))</f>
        <v/>
      </c>
      <c r="D530" s="4" t="n"/>
      <c r="E530" s="4" t="n"/>
      <c r="F530" s="4" t="n"/>
      <c r="G530" s="4" t="n"/>
      <c r="H530" s="5" t="str">
        <f>IF(E530="","",IF(AND(F530="نعم",G530="نعم"),"جرد + مراجعة",IF(F530="نعم","جرد فقط",IF(G530="نعم","مراجعة فقط",""))))</f>
        <v/>
      </c>
      <c r="I530" s="9">
        <f>IF(H530="جرد + مراجعة",الإعدادات!$B$2,IF(H530="مراجعة فقط",الإعدادات!$B$3,IF(H530="جرد فقط",الإعدادات!$B$4,0)))</f>
        <v>0</v>
      </c>
    </row>
    <row r="531">
      <c r="A531" s="4" t="n"/>
      <c r="B531" s="5" t="str">
        <f>IF(A531="","",IFERROR(INDEX('جدول الجرد'!$A$2:$A$29,MATCH(A531,'جدول الجرد'!$B$2:$B$29,0)),""))</f>
        <v/>
      </c>
      <c r="C531" s="5" t="str">
        <f>IF(A531="","",IFERROR(INDEX('جدول الجرد'!$E$2:$E$29,MATCH(A531,'جدول الجرد'!$B$2:$B$29,0)),""))</f>
        <v/>
      </c>
      <c r="D531" s="4" t="n"/>
      <c r="E531" s="4" t="n"/>
      <c r="F531" s="4" t="n"/>
      <c r="G531" s="4" t="n"/>
      <c r="H531" s="5" t="str">
        <f>IF(E531="","",IF(AND(F531="نعم",G531="نعم"),"جرد + مراجعة",IF(F531="نعم","جرد فقط",IF(G531="نعم","مراجعة فقط",""))))</f>
        <v/>
      </c>
      <c r="I531" s="9">
        <f>IF(H531="جرد + مراجعة",الإعدادات!$B$2,IF(H531="مراجعة فقط",الإعدادات!$B$3,IF(H531="جرد فقط",الإعدادات!$B$4,0)))</f>
        <v>0</v>
      </c>
    </row>
    <row r="532">
      <c r="A532" s="4" t="n"/>
      <c r="B532" s="5" t="str">
        <f>IF(A532="","",IFERROR(INDEX('جدول الجرد'!$A$2:$A$29,MATCH(A532,'جدول الجرد'!$B$2:$B$29,0)),""))</f>
        <v/>
      </c>
      <c r="C532" s="5" t="str">
        <f>IF(A532="","",IFERROR(INDEX('جدول الجرد'!$E$2:$E$29,MATCH(A532,'جدول الجرد'!$B$2:$B$29,0)),""))</f>
        <v/>
      </c>
      <c r="D532" s="4" t="n"/>
      <c r="E532" s="4" t="n"/>
      <c r="F532" s="4" t="n"/>
      <c r="G532" s="4" t="n"/>
      <c r="H532" s="5" t="str">
        <f>IF(E532="","",IF(AND(F532="نعم",G532="نعم"),"جرد + مراجعة",IF(F532="نعم","جرد فقط",IF(G532="نعم","مراجعة فقط",""))))</f>
        <v/>
      </c>
      <c r="I532" s="9">
        <f>IF(H532="جرد + مراجعة",الإعدادات!$B$2,IF(H532="مراجعة فقط",الإعدادات!$B$3,IF(H532="جرد فقط",الإعدادات!$B$4,0)))</f>
        <v>0</v>
      </c>
    </row>
    <row r="533">
      <c r="A533" s="4" t="n"/>
      <c r="B533" s="5" t="str">
        <f>IF(A533="","",IFERROR(INDEX('جدول الجرد'!$A$2:$A$29,MATCH(A533,'جدول الجرد'!$B$2:$B$29,0)),""))</f>
        <v/>
      </c>
      <c r="C533" s="5" t="str">
        <f>IF(A533="","",IFERROR(INDEX('جدول الجرد'!$E$2:$E$29,MATCH(A533,'جدول الجرد'!$B$2:$B$29,0)),""))</f>
        <v/>
      </c>
      <c r="D533" s="4" t="n"/>
      <c r="E533" s="4" t="n"/>
      <c r="F533" s="4" t="n"/>
      <c r="G533" s="4" t="n"/>
      <c r="H533" s="5" t="str">
        <f>IF(E533="","",IF(AND(F533="نعم",G533="نعم"),"جرد + مراجعة",IF(F533="نعم","جرد فقط",IF(G533="نعم","مراجعة فقط",""))))</f>
        <v/>
      </c>
      <c r="I533" s="9">
        <f>IF(H533="جرد + مراجعة",الإعدادات!$B$2,IF(H533="مراجعة فقط",الإعدادات!$B$3,IF(H533="جرد فقط",الإعدادات!$B$4,0)))</f>
        <v>0</v>
      </c>
    </row>
    <row r="534">
      <c r="A534" s="4" t="n"/>
      <c r="B534" s="5" t="str">
        <f>IF(A534="","",IFERROR(INDEX('جدول الجرد'!$A$2:$A$29,MATCH(A534,'جدول الجرد'!$B$2:$B$29,0)),""))</f>
        <v/>
      </c>
      <c r="C534" s="5" t="str">
        <f>IF(A534="","",IFERROR(INDEX('جدول الجرد'!$E$2:$E$29,MATCH(A534,'جدول الجرد'!$B$2:$B$29,0)),""))</f>
        <v/>
      </c>
      <c r="D534" s="4" t="n"/>
      <c r="E534" s="4" t="n"/>
      <c r="F534" s="4" t="n"/>
      <c r="G534" s="4" t="n"/>
      <c r="H534" s="5" t="str">
        <f>IF(E534="","",IF(AND(F534="نعم",G534="نعم"),"جرد + مراجعة",IF(F534="نعم","جرد فقط",IF(G534="نعم","مراجعة فقط",""))))</f>
        <v/>
      </c>
      <c r="I534" s="9">
        <f>IF(H534="جرد + مراجعة",الإعدادات!$B$2,IF(H534="مراجعة فقط",الإعدادات!$B$3,IF(H534="جرد فقط",الإعدادات!$B$4,0)))</f>
        <v>0</v>
      </c>
    </row>
    <row r="535">
      <c r="A535" s="4" t="n"/>
      <c r="B535" s="5" t="str">
        <f>IF(A535="","",IFERROR(INDEX('جدول الجرد'!$A$2:$A$29,MATCH(A535,'جدول الجرد'!$B$2:$B$29,0)),""))</f>
        <v/>
      </c>
      <c r="C535" s="5" t="str">
        <f>IF(A535="","",IFERROR(INDEX('جدول الجرد'!$E$2:$E$29,MATCH(A535,'جدول الجرد'!$B$2:$B$29,0)),""))</f>
        <v/>
      </c>
      <c r="D535" s="4" t="n"/>
      <c r="E535" s="4" t="n"/>
      <c r="F535" s="4" t="n"/>
      <c r="G535" s="4" t="n"/>
      <c r="H535" s="5" t="str">
        <f>IF(E535="","",IF(AND(F535="نعم",G535="نعم"),"جرد + مراجعة",IF(F535="نعم","جرد فقط",IF(G535="نعم","مراجعة فقط",""))))</f>
        <v/>
      </c>
      <c r="I535" s="9">
        <f>IF(H535="جرد + مراجعة",الإعدادات!$B$2,IF(H535="مراجعة فقط",الإعدادات!$B$3,IF(H535="جرد فقط",الإعدادات!$B$4,0)))</f>
        <v>0</v>
      </c>
    </row>
    <row r="536">
      <c r="A536" s="4" t="n"/>
      <c r="B536" s="5" t="str">
        <f>IF(A536="","",IFERROR(INDEX('جدول الجرد'!$A$2:$A$29,MATCH(A536,'جدول الجرد'!$B$2:$B$29,0)),""))</f>
        <v/>
      </c>
      <c r="C536" s="5" t="str">
        <f>IF(A536="","",IFERROR(INDEX('جدول الجرد'!$E$2:$E$29,MATCH(A536,'جدول الجرد'!$B$2:$B$29,0)),""))</f>
        <v/>
      </c>
      <c r="D536" s="4" t="n"/>
      <c r="E536" s="4" t="n"/>
      <c r="F536" s="4" t="n"/>
      <c r="G536" s="4" t="n"/>
      <c r="H536" s="5" t="str">
        <f>IF(E536="","",IF(AND(F536="نعم",G536="نعم"),"جرد + مراجعة",IF(F536="نعم","جرد فقط",IF(G536="نعم","مراجعة فقط",""))))</f>
        <v/>
      </c>
      <c r="I536" s="9">
        <f>IF(H536="جرد + مراجعة",الإعدادات!$B$2,IF(H536="مراجعة فقط",الإعدادات!$B$3,IF(H536="جرد فقط",الإعدادات!$B$4,0)))</f>
        <v>0</v>
      </c>
    </row>
    <row r="537">
      <c r="A537" s="4" t="n"/>
      <c r="B537" s="5" t="str">
        <f>IF(A537="","",IFERROR(INDEX('جدول الجرد'!$A$2:$A$29,MATCH(A537,'جدول الجرد'!$B$2:$B$29,0)),""))</f>
        <v/>
      </c>
      <c r="C537" s="5" t="str">
        <f>IF(A537="","",IFERROR(INDEX('جدول الجرد'!$E$2:$E$29,MATCH(A537,'جدول الجرد'!$B$2:$B$29,0)),""))</f>
        <v/>
      </c>
      <c r="D537" s="4" t="n"/>
      <c r="E537" s="4" t="n"/>
      <c r="F537" s="4" t="n"/>
      <c r="G537" s="4" t="n"/>
      <c r="H537" s="5" t="str">
        <f>IF(E537="","",IF(AND(F537="نعم",G537="نعم"),"جرد + مراجعة",IF(F537="نعم","جرد فقط",IF(G537="نعم","مراجعة فقط",""))))</f>
        <v/>
      </c>
      <c r="I537" s="9">
        <f>IF(H537="جرد + مراجعة",الإعدادات!$B$2,IF(H537="مراجعة فقط",الإعدادات!$B$3,IF(H537="جرد فقط",الإعدادات!$B$4,0)))</f>
        <v>0</v>
      </c>
    </row>
    <row r="538">
      <c r="A538" s="4" t="n"/>
      <c r="B538" s="5" t="str">
        <f>IF(A538="","",IFERROR(INDEX('جدول الجرد'!$A$2:$A$29,MATCH(A538,'جدول الجرد'!$B$2:$B$29,0)),""))</f>
        <v/>
      </c>
      <c r="C538" s="5" t="str">
        <f>IF(A538="","",IFERROR(INDEX('جدول الجرد'!$E$2:$E$29,MATCH(A538,'جدول الجرد'!$B$2:$B$29,0)),""))</f>
        <v/>
      </c>
      <c r="D538" s="4" t="n"/>
      <c r="E538" s="4" t="n"/>
      <c r="F538" s="4" t="n"/>
      <c r="G538" s="4" t="n"/>
      <c r="H538" s="5" t="str">
        <f>IF(E538="","",IF(AND(F538="نعم",G538="نعم"),"جرد + مراجعة",IF(F538="نعم","جرد فقط",IF(G538="نعم","مراجعة فقط",""))))</f>
        <v/>
      </c>
      <c r="I538" s="9">
        <f>IF(H538="جرد + مراجعة",الإعدادات!$B$2,IF(H538="مراجعة فقط",الإعدادات!$B$3,IF(H538="جرد فقط",الإعدادات!$B$4,0)))</f>
        <v>0</v>
      </c>
    </row>
    <row r="539">
      <c r="A539" s="4" t="n"/>
      <c r="B539" s="5" t="str">
        <f>IF(A539="","",IFERROR(INDEX('جدول الجرد'!$A$2:$A$29,MATCH(A539,'جدول الجرد'!$B$2:$B$29,0)),""))</f>
        <v/>
      </c>
      <c r="C539" s="5" t="str">
        <f>IF(A539="","",IFERROR(INDEX('جدول الجرد'!$E$2:$E$29,MATCH(A539,'جدول الجرد'!$B$2:$B$29,0)),""))</f>
        <v/>
      </c>
      <c r="D539" s="4" t="n"/>
      <c r="E539" s="4" t="n"/>
      <c r="F539" s="4" t="n"/>
      <c r="G539" s="4" t="n"/>
      <c r="H539" s="5" t="str">
        <f>IF(E539="","",IF(AND(F539="نعم",G539="نعم"),"جرد + مراجعة",IF(F539="نعم","جرد فقط",IF(G539="نعم","مراجعة فقط",""))))</f>
        <v/>
      </c>
      <c r="I539" s="9">
        <f>IF(H539="جرد + مراجعة",الإعدادات!$B$2,IF(H539="مراجعة فقط",الإعدادات!$B$3,IF(H539="جرد فقط",الإعدادات!$B$4,0)))</f>
        <v>0</v>
      </c>
    </row>
    <row r="540">
      <c r="A540" s="4" t="n"/>
      <c r="B540" s="5" t="str">
        <f>IF(A540="","",IFERROR(INDEX('جدول الجرد'!$A$2:$A$29,MATCH(A540,'جدول الجرد'!$B$2:$B$29,0)),""))</f>
        <v/>
      </c>
      <c r="C540" s="5" t="str">
        <f>IF(A540="","",IFERROR(INDEX('جدول الجرد'!$E$2:$E$29,MATCH(A540,'جدول الجرد'!$B$2:$B$29,0)),""))</f>
        <v/>
      </c>
      <c r="D540" s="4" t="n"/>
      <c r="E540" s="4" t="n"/>
      <c r="F540" s="4" t="n"/>
      <c r="G540" s="4" t="n"/>
      <c r="H540" s="5" t="str">
        <f>IF(E540="","",IF(AND(F540="نعم",G540="نعم"),"جرد + مراجعة",IF(F540="نعم","جرد فقط",IF(G540="نعم","مراجعة فقط",""))))</f>
        <v/>
      </c>
      <c r="I540" s="9">
        <f>IF(H540="جرد + مراجعة",الإعدادات!$B$2,IF(H540="مراجعة فقط",الإعدادات!$B$3,IF(H540="جرد فقط",الإعدادات!$B$4,0)))</f>
        <v>0</v>
      </c>
    </row>
    <row r="541">
      <c r="A541" s="4" t="n"/>
      <c r="B541" s="5" t="str">
        <f>IF(A541="","",IFERROR(INDEX('جدول الجرد'!$A$2:$A$29,MATCH(A541,'جدول الجرد'!$B$2:$B$29,0)),""))</f>
        <v/>
      </c>
      <c r="C541" s="5" t="str">
        <f>IF(A541="","",IFERROR(INDEX('جدول الجرد'!$E$2:$E$29,MATCH(A541,'جدول الجرد'!$B$2:$B$29,0)),""))</f>
        <v/>
      </c>
      <c r="D541" s="4" t="n"/>
      <c r="E541" s="4" t="n"/>
      <c r="F541" s="4" t="n"/>
      <c r="G541" s="4" t="n"/>
      <c r="H541" s="5" t="str">
        <f>IF(E541="","",IF(AND(F541="نعم",G541="نعم"),"جرد + مراجعة",IF(F541="نعم","جرد فقط",IF(G541="نعم","مراجعة فقط",""))))</f>
        <v/>
      </c>
      <c r="I541" s="9">
        <f>IF(H541="جرد + مراجعة",الإعدادات!$B$2,IF(H541="مراجعة فقط",الإعدادات!$B$3,IF(H541="جرد فقط",الإعدادات!$B$4,0)))</f>
        <v>0</v>
      </c>
    </row>
    <row r="542">
      <c r="A542" s="4" t="n"/>
      <c r="B542" s="5" t="str">
        <f>IF(A542="","",IFERROR(INDEX('جدول الجرد'!$A$2:$A$29,MATCH(A542,'جدول الجرد'!$B$2:$B$29,0)),""))</f>
        <v/>
      </c>
      <c r="C542" s="5" t="str">
        <f>IF(A542="","",IFERROR(INDEX('جدول الجرد'!$E$2:$E$29,MATCH(A542,'جدول الجرد'!$B$2:$B$29,0)),""))</f>
        <v/>
      </c>
      <c r="D542" s="4" t="n"/>
      <c r="E542" s="4" t="n"/>
      <c r="F542" s="4" t="n"/>
      <c r="G542" s="4" t="n"/>
      <c r="H542" s="5" t="str">
        <f>IF(E542="","",IF(AND(F542="نعم",G542="نعم"),"جرد + مراجعة",IF(F542="نعم","جرد فقط",IF(G542="نعم","مراجعة فقط",""))))</f>
        <v/>
      </c>
      <c r="I542" s="9">
        <f>IF(H542="جرد + مراجعة",الإعدادات!$B$2,IF(H542="مراجعة فقط",الإعدادات!$B$3,IF(H542="جرد فقط",الإعدادات!$B$4,0)))</f>
        <v>0</v>
      </c>
    </row>
    <row r="543">
      <c r="A543" s="4" t="n"/>
      <c r="B543" s="5" t="str">
        <f>IF(A543="","",IFERROR(INDEX('جدول الجرد'!$A$2:$A$29,MATCH(A543,'جدول الجرد'!$B$2:$B$29,0)),""))</f>
        <v/>
      </c>
      <c r="C543" s="5" t="str">
        <f>IF(A543="","",IFERROR(INDEX('جدول الجرد'!$E$2:$E$29,MATCH(A543,'جدول الجرد'!$B$2:$B$29,0)),""))</f>
        <v/>
      </c>
      <c r="D543" s="4" t="n"/>
      <c r="E543" s="4" t="n"/>
      <c r="F543" s="4" t="n"/>
      <c r="G543" s="4" t="n"/>
      <c r="H543" s="5" t="str">
        <f>IF(E543="","",IF(AND(F543="نعم",G543="نعم"),"جرد + مراجعة",IF(F543="نعم","جرد فقط",IF(G543="نعم","مراجعة فقط",""))))</f>
        <v/>
      </c>
      <c r="I543" s="9">
        <f>IF(H543="جرد + مراجعة",الإعدادات!$B$2,IF(H543="مراجعة فقط",الإعدادات!$B$3,IF(H543="جرد فقط",الإعدادات!$B$4,0)))</f>
        <v>0</v>
      </c>
    </row>
    <row r="544">
      <c r="A544" s="4" t="n"/>
      <c r="B544" s="5" t="str">
        <f>IF(A544="","",IFERROR(INDEX('جدول الجرد'!$A$2:$A$29,MATCH(A544,'جدول الجرد'!$B$2:$B$29,0)),""))</f>
        <v/>
      </c>
      <c r="C544" s="5" t="str">
        <f>IF(A544="","",IFERROR(INDEX('جدول الجرد'!$E$2:$E$29,MATCH(A544,'جدول الجرد'!$B$2:$B$29,0)),""))</f>
        <v/>
      </c>
      <c r="D544" s="4" t="n"/>
      <c r="E544" s="4" t="n"/>
      <c r="F544" s="4" t="n"/>
      <c r="G544" s="4" t="n"/>
      <c r="H544" s="5" t="str">
        <f>IF(E544="","",IF(AND(F544="نعم",G544="نعم"),"جرد + مراجعة",IF(F544="نعم","جرد فقط",IF(G544="نعم","مراجعة فقط",""))))</f>
        <v/>
      </c>
      <c r="I544" s="9">
        <f>IF(H544="جرد + مراجعة",الإعدادات!$B$2,IF(H544="مراجعة فقط",الإعدادات!$B$3,IF(H544="جرد فقط",الإعدادات!$B$4,0)))</f>
        <v>0</v>
      </c>
    </row>
    <row r="545">
      <c r="A545" s="4" t="n"/>
      <c r="B545" s="5" t="str">
        <f>IF(A545="","",IFERROR(INDEX('جدول الجرد'!$A$2:$A$29,MATCH(A545,'جدول الجرد'!$B$2:$B$29,0)),""))</f>
        <v/>
      </c>
      <c r="C545" s="5" t="str">
        <f>IF(A545="","",IFERROR(INDEX('جدول الجرد'!$E$2:$E$29,MATCH(A545,'جدول الجرد'!$B$2:$B$29,0)),""))</f>
        <v/>
      </c>
      <c r="D545" s="4" t="n"/>
      <c r="E545" s="4" t="n"/>
      <c r="F545" s="4" t="n"/>
      <c r="G545" s="4" t="n"/>
      <c r="H545" s="5" t="str">
        <f>IF(E545="","",IF(AND(F545="نعم",G545="نعم"),"جرد + مراجعة",IF(F545="نعم","جرد فقط",IF(G545="نعم","مراجعة فقط",""))))</f>
        <v/>
      </c>
      <c r="I545" s="9">
        <f>IF(H545="جرد + مراجعة",الإعدادات!$B$2,IF(H545="مراجعة فقط",الإعدادات!$B$3,IF(H545="جرد فقط",الإعدادات!$B$4,0)))</f>
        <v>0</v>
      </c>
    </row>
    <row r="546">
      <c r="A546" s="4" t="n"/>
      <c r="B546" s="5" t="str">
        <f>IF(A546="","",IFERROR(INDEX('جدول الجرد'!$A$2:$A$29,MATCH(A546,'جدول الجرد'!$B$2:$B$29,0)),""))</f>
        <v/>
      </c>
      <c r="C546" s="5" t="str">
        <f>IF(A546="","",IFERROR(INDEX('جدول الجرد'!$E$2:$E$29,MATCH(A546,'جدول الجرد'!$B$2:$B$29,0)),""))</f>
        <v/>
      </c>
      <c r="D546" s="4" t="n"/>
      <c r="E546" s="4" t="n"/>
      <c r="F546" s="4" t="n"/>
      <c r="G546" s="4" t="n"/>
      <c r="H546" s="5" t="str">
        <f>IF(E546="","",IF(AND(F546="نعم",G546="نعم"),"جرد + مراجعة",IF(F546="نعم","جرد فقط",IF(G546="نعم","مراجعة فقط",""))))</f>
        <v/>
      </c>
      <c r="I546" s="9">
        <f>IF(H546="جرد + مراجعة",الإعدادات!$B$2,IF(H546="مراجعة فقط",الإعدادات!$B$3,IF(H546="جرد فقط",الإعدادات!$B$4,0)))</f>
        <v>0</v>
      </c>
    </row>
    <row r="547">
      <c r="A547" s="4" t="n"/>
      <c r="B547" s="5" t="str">
        <f>IF(A547="","",IFERROR(INDEX('جدول الجرد'!$A$2:$A$29,MATCH(A547,'جدول الجرد'!$B$2:$B$29,0)),""))</f>
        <v/>
      </c>
      <c r="C547" s="5" t="str">
        <f>IF(A547="","",IFERROR(INDEX('جدول الجرد'!$E$2:$E$29,MATCH(A547,'جدول الجرد'!$B$2:$B$29,0)),""))</f>
        <v/>
      </c>
      <c r="D547" s="4" t="n"/>
      <c r="E547" s="4" t="n"/>
      <c r="F547" s="4" t="n"/>
      <c r="G547" s="4" t="n"/>
      <c r="H547" s="5" t="str">
        <f>IF(E547="","",IF(AND(F547="نعم",G547="نعم"),"جرد + مراجعة",IF(F547="نعم","جرد فقط",IF(G547="نعم","مراجعة فقط",""))))</f>
        <v/>
      </c>
      <c r="I547" s="9">
        <f>IF(H547="جرد + مراجعة",الإعدادات!$B$2,IF(H547="مراجعة فقط",الإعدادات!$B$3,IF(H547="جرد فقط",الإعدادات!$B$4,0)))</f>
        <v>0</v>
      </c>
    </row>
    <row r="548">
      <c r="A548" s="4" t="n"/>
      <c r="B548" s="5" t="str">
        <f>IF(A548="","",IFERROR(INDEX('جدول الجرد'!$A$2:$A$29,MATCH(A548,'جدول الجرد'!$B$2:$B$29,0)),""))</f>
        <v/>
      </c>
      <c r="C548" s="5" t="str">
        <f>IF(A548="","",IFERROR(INDEX('جدول الجرد'!$E$2:$E$29,MATCH(A548,'جدول الجرد'!$B$2:$B$29,0)),""))</f>
        <v/>
      </c>
      <c r="D548" s="4" t="n"/>
      <c r="E548" s="4" t="n"/>
      <c r="F548" s="4" t="n"/>
      <c r="G548" s="4" t="n"/>
      <c r="H548" s="5" t="str">
        <f>IF(E548="","",IF(AND(F548="نعم",G548="نعم"),"جرد + مراجعة",IF(F548="نعم","جرد فقط",IF(G548="نعم","مراجعة فقط",""))))</f>
        <v/>
      </c>
      <c r="I548" s="9">
        <f>IF(H548="جرد + مراجعة",الإعدادات!$B$2,IF(H548="مراجعة فقط",الإعدادات!$B$3,IF(H548="جرد فقط",الإعدادات!$B$4,0)))</f>
        <v>0</v>
      </c>
    </row>
    <row r="549">
      <c r="A549" s="4" t="n"/>
      <c r="B549" s="5" t="str">
        <f>IF(A549="","",IFERROR(INDEX('جدول الجرد'!$A$2:$A$29,MATCH(A549,'جدول الجرد'!$B$2:$B$29,0)),""))</f>
        <v/>
      </c>
      <c r="C549" s="5" t="str">
        <f>IF(A549="","",IFERROR(INDEX('جدول الجرد'!$E$2:$E$29,MATCH(A549,'جدول الجرد'!$B$2:$B$29,0)),""))</f>
        <v/>
      </c>
      <c r="D549" s="4" t="n"/>
      <c r="E549" s="4" t="n"/>
      <c r="F549" s="4" t="n"/>
      <c r="G549" s="4" t="n"/>
      <c r="H549" s="5" t="str">
        <f>IF(E549="","",IF(AND(F549="نعم",G549="نعم"),"جرد + مراجعة",IF(F549="نعم","جرد فقط",IF(G549="نعم","مراجعة فقط",""))))</f>
        <v/>
      </c>
      <c r="I549" s="9">
        <f>IF(H549="جرد + مراجعة",الإعدادات!$B$2,IF(H549="مراجعة فقط",الإعدادات!$B$3,IF(H549="جرد فقط",الإعدادات!$B$4,0)))</f>
        <v>0</v>
      </c>
    </row>
    <row r="550">
      <c r="A550" s="4" t="n"/>
      <c r="B550" s="5" t="str">
        <f>IF(A550="","",IFERROR(INDEX('جدول الجرد'!$A$2:$A$29,MATCH(A550,'جدول الجرد'!$B$2:$B$29,0)),""))</f>
        <v/>
      </c>
      <c r="C550" s="5" t="str">
        <f>IF(A550="","",IFERROR(INDEX('جدول الجرد'!$E$2:$E$29,MATCH(A550,'جدول الجرد'!$B$2:$B$29,0)),""))</f>
        <v/>
      </c>
      <c r="D550" s="4" t="n"/>
      <c r="E550" s="4" t="n"/>
      <c r="F550" s="4" t="n"/>
      <c r="G550" s="4" t="n"/>
      <c r="H550" s="5" t="str">
        <f>IF(E550="","",IF(AND(F550="نعم",G550="نعم"),"جرد + مراجعة",IF(F550="نعم","جرد فقط",IF(G550="نعم","مراجعة فقط",""))))</f>
        <v/>
      </c>
      <c r="I550" s="9">
        <f>IF(H550="جرد + مراجعة",الإعدادات!$B$2,IF(H550="مراجعة فقط",الإعدادات!$B$3,IF(H550="جرد فقط",الإعدادات!$B$4,0)))</f>
        <v>0</v>
      </c>
    </row>
    <row r="551">
      <c r="A551" s="4" t="n"/>
      <c r="B551" s="5" t="str">
        <f>IF(A551="","",IFERROR(INDEX('جدول الجرد'!$A$2:$A$29,MATCH(A551,'جدول الجرد'!$B$2:$B$29,0)),""))</f>
        <v/>
      </c>
      <c r="C551" s="5" t="str">
        <f>IF(A551="","",IFERROR(INDEX('جدول الجرد'!$E$2:$E$29,MATCH(A551,'جدول الجرد'!$B$2:$B$29,0)),""))</f>
        <v/>
      </c>
      <c r="D551" s="4" t="n"/>
      <c r="E551" s="4" t="n"/>
      <c r="F551" s="4" t="n"/>
      <c r="G551" s="4" t="n"/>
      <c r="H551" s="5" t="str">
        <f>IF(E551="","",IF(AND(F551="نعم",G551="نعم"),"جرد + مراجعة",IF(F551="نعم","جرد فقط",IF(G551="نعم","مراجعة فقط",""))))</f>
        <v/>
      </c>
      <c r="I551" s="9">
        <f>IF(H551="جرد + مراجعة",الإعدادات!$B$2,IF(H551="مراجعة فقط",الإعدادات!$B$3,IF(H551="جرد فقط",الإعدادات!$B$4,0)))</f>
        <v>0</v>
      </c>
    </row>
    <row r="552">
      <c r="A552" s="4" t="n"/>
      <c r="B552" s="5" t="str">
        <f>IF(A552="","",IFERROR(INDEX('جدول الجرد'!$A$2:$A$29,MATCH(A552,'جدول الجرد'!$B$2:$B$29,0)),""))</f>
        <v/>
      </c>
      <c r="C552" s="5" t="str">
        <f>IF(A552="","",IFERROR(INDEX('جدول الجرد'!$E$2:$E$29,MATCH(A552,'جدول الجرد'!$B$2:$B$29,0)),""))</f>
        <v/>
      </c>
      <c r="D552" s="4" t="n"/>
      <c r="E552" s="4" t="n"/>
      <c r="F552" s="4" t="n"/>
      <c r="G552" s="4" t="n"/>
      <c r="H552" s="5" t="str">
        <f>IF(E552="","",IF(AND(F552="نعم",G552="نعم"),"جرد + مراجعة",IF(F552="نعم","جرد فقط",IF(G552="نعم","مراجعة فقط",""))))</f>
        <v/>
      </c>
      <c r="I552" s="9">
        <f>IF(H552="جرد + مراجعة",الإعدادات!$B$2,IF(H552="مراجعة فقط",الإعدادات!$B$3,IF(H552="جرد فقط",الإعدادات!$B$4,0)))</f>
        <v>0</v>
      </c>
    </row>
    <row r="553">
      <c r="A553" s="4" t="n"/>
      <c r="B553" s="5" t="str">
        <f>IF(A553="","",IFERROR(INDEX('جدول الجرد'!$A$2:$A$29,MATCH(A553,'جدول الجرد'!$B$2:$B$29,0)),""))</f>
        <v/>
      </c>
      <c r="C553" s="5" t="str">
        <f>IF(A553="","",IFERROR(INDEX('جدول الجرد'!$E$2:$E$29,MATCH(A553,'جدول الجرد'!$B$2:$B$29,0)),""))</f>
        <v/>
      </c>
      <c r="D553" s="4" t="n"/>
      <c r="E553" s="4" t="n"/>
      <c r="F553" s="4" t="n"/>
      <c r="G553" s="4" t="n"/>
      <c r="H553" s="5" t="str">
        <f>IF(E553="","",IF(AND(F553="نعم",G553="نعم"),"جرد + مراجعة",IF(F553="نعم","جرد فقط",IF(G553="نعم","مراجعة فقط",""))))</f>
        <v/>
      </c>
      <c r="I553" s="9">
        <f>IF(H553="جرد + مراجعة",الإعدادات!$B$2,IF(H553="مراجعة فقط",الإعدادات!$B$3,IF(H553="جرد فقط",الإعدادات!$B$4,0)))</f>
        <v>0</v>
      </c>
    </row>
    <row r="554">
      <c r="A554" s="4" t="n"/>
      <c r="B554" s="5" t="str">
        <f>IF(A554="","",IFERROR(INDEX('جدول الجرد'!$A$2:$A$29,MATCH(A554,'جدول الجرد'!$B$2:$B$29,0)),""))</f>
        <v/>
      </c>
      <c r="C554" s="5" t="str">
        <f>IF(A554="","",IFERROR(INDEX('جدول الجرد'!$E$2:$E$29,MATCH(A554,'جدول الجرد'!$B$2:$B$29,0)),""))</f>
        <v/>
      </c>
      <c r="D554" s="4" t="n"/>
      <c r="E554" s="4" t="n"/>
      <c r="F554" s="4" t="n"/>
      <c r="G554" s="4" t="n"/>
      <c r="H554" s="5" t="str">
        <f>IF(E554="","",IF(AND(F554="نعم",G554="نعم"),"جرد + مراجعة",IF(F554="نعم","جرد فقط",IF(G554="نعم","مراجعة فقط",""))))</f>
        <v/>
      </c>
      <c r="I554" s="9">
        <f>IF(H554="جرد + مراجعة",الإعدادات!$B$2,IF(H554="مراجعة فقط",الإعدادات!$B$3,IF(H554="جرد فقط",الإعدادات!$B$4,0)))</f>
        <v>0</v>
      </c>
    </row>
    <row r="555">
      <c r="A555" s="4" t="n"/>
      <c r="B555" s="5" t="str">
        <f>IF(A555="","",IFERROR(INDEX('جدول الجرد'!$A$2:$A$29,MATCH(A555,'جدول الجرد'!$B$2:$B$29,0)),""))</f>
        <v/>
      </c>
      <c r="C555" s="5" t="str">
        <f>IF(A555="","",IFERROR(INDEX('جدول الجرد'!$E$2:$E$29,MATCH(A555,'جدول الجرد'!$B$2:$B$29,0)),""))</f>
        <v/>
      </c>
      <c r="D555" s="4" t="n"/>
      <c r="E555" s="4" t="n"/>
      <c r="F555" s="4" t="n"/>
      <c r="G555" s="4" t="n"/>
      <c r="H555" s="5" t="str">
        <f>IF(E555="","",IF(AND(F555="نعم",G555="نعم"),"جرد + مراجعة",IF(F555="نعم","جرد فقط",IF(G555="نعم","مراجعة فقط",""))))</f>
        <v/>
      </c>
      <c r="I555" s="9">
        <f>IF(H555="جرد + مراجعة",الإعدادات!$B$2,IF(H555="مراجعة فقط",الإعدادات!$B$3,IF(H555="جرد فقط",الإعدادات!$B$4,0)))</f>
        <v>0</v>
      </c>
    </row>
    <row r="556">
      <c r="A556" s="4" t="n"/>
      <c r="B556" s="5" t="str">
        <f>IF(A556="","",IFERROR(INDEX('جدول الجرد'!$A$2:$A$29,MATCH(A556,'جدول الجرد'!$B$2:$B$29,0)),""))</f>
        <v/>
      </c>
      <c r="C556" s="5" t="str">
        <f>IF(A556="","",IFERROR(INDEX('جدول الجرد'!$E$2:$E$29,MATCH(A556,'جدول الجرد'!$B$2:$B$29,0)),""))</f>
        <v/>
      </c>
      <c r="D556" s="4" t="n"/>
      <c r="E556" s="4" t="n"/>
      <c r="F556" s="4" t="n"/>
      <c r="G556" s="4" t="n"/>
      <c r="H556" s="5" t="str">
        <f>IF(E556="","",IF(AND(F556="نعم",G556="نعم"),"جرد + مراجعة",IF(F556="نعم","جرد فقط",IF(G556="نعم","مراجعة فقط",""))))</f>
        <v/>
      </c>
      <c r="I556" s="9">
        <f>IF(H556="جرد + مراجعة",الإعدادات!$B$2,IF(H556="مراجعة فقط",الإعدادات!$B$3,IF(H556="جرد فقط",الإعدادات!$B$4,0)))</f>
        <v>0</v>
      </c>
    </row>
    <row r="557">
      <c r="A557" s="4" t="n"/>
      <c r="B557" s="5" t="str">
        <f>IF(A557="","",IFERROR(INDEX('جدول الجرد'!$A$2:$A$29,MATCH(A557,'جدول الجرد'!$B$2:$B$29,0)),""))</f>
        <v/>
      </c>
      <c r="C557" s="5" t="str">
        <f>IF(A557="","",IFERROR(INDEX('جدول الجرد'!$E$2:$E$29,MATCH(A557,'جدول الجرد'!$B$2:$B$29,0)),""))</f>
        <v/>
      </c>
      <c r="D557" s="4" t="n"/>
      <c r="E557" s="4" t="n"/>
      <c r="F557" s="4" t="n"/>
      <c r="G557" s="4" t="n"/>
      <c r="H557" s="5" t="str">
        <f>IF(E557="","",IF(AND(F557="نعم",G557="نعم"),"جرد + مراجعة",IF(F557="نعم","جرد فقط",IF(G557="نعم","مراجعة فقط",""))))</f>
        <v/>
      </c>
      <c r="I557" s="9">
        <f>IF(H557="جرد + مراجعة",الإعدادات!$B$2,IF(H557="مراجعة فقط",الإعدادات!$B$3,IF(H557="جرد فقط",الإعدادات!$B$4,0)))</f>
        <v>0</v>
      </c>
    </row>
    <row r="558">
      <c r="A558" s="4" t="n"/>
      <c r="B558" s="5" t="str">
        <f>IF(A558="","",IFERROR(INDEX('جدول الجرد'!$A$2:$A$29,MATCH(A558,'جدول الجرد'!$B$2:$B$29,0)),""))</f>
        <v/>
      </c>
      <c r="C558" s="5" t="str">
        <f>IF(A558="","",IFERROR(INDEX('جدول الجرد'!$E$2:$E$29,MATCH(A558,'جدول الجرد'!$B$2:$B$29,0)),""))</f>
        <v/>
      </c>
      <c r="D558" s="4" t="n"/>
      <c r="E558" s="4" t="n"/>
      <c r="F558" s="4" t="n"/>
      <c r="G558" s="4" t="n"/>
      <c r="H558" s="5" t="str">
        <f>IF(E558="","",IF(AND(F558="نعم",G558="نعم"),"جرد + مراجعة",IF(F558="نعم","جرد فقط",IF(G558="نعم","مراجعة فقط",""))))</f>
        <v/>
      </c>
      <c r="I558" s="9">
        <f>IF(H558="جرد + مراجعة",الإعدادات!$B$2,IF(H558="مراجعة فقط",الإعدادات!$B$3,IF(H558="جرد فقط",الإعدادات!$B$4,0)))</f>
        <v>0</v>
      </c>
    </row>
    <row r="559">
      <c r="A559" s="4" t="n"/>
      <c r="B559" s="5" t="str">
        <f>IF(A559="","",IFERROR(INDEX('جدول الجرد'!$A$2:$A$29,MATCH(A559,'جدول الجرد'!$B$2:$B$29,0)),""))</f>
        <v/>
      </c>
      <c r="C559" s="5" t="str">
        <f>IF(A559="","",IFERROR(INDEX('جدول الجرد'!$E$2:$E$29,MATCH(A559,'جدول الجرد'!$B$2:$B$29,0)),""))</f>
        <v/>
      </c>
      <c r="D559" s="4" t="n"/>
      <c r="E559" s="4" t="n"/>
      <c r="F559" s="4" t="n"/>
      <c r="G559" s="4" t="n"/>
      <c r="H559" s="5" t="str">
        <f>IF(E559="","",IF(AND(F559="نعم",G559="نعم"),"جرد + مراجعة",IF(F559="نعم","جرد فقط",IF(G559="نعم","مراجعة فقط",""))))</f>
        <v/>
      </c>
      <c r="I559" s="9">
        <f>IF(H559="جرد + مراجعة",الإعدادات!$B$2,IF(H559="مراجعة فقط",الإعدادات!$B$3,IF(H559="جرد فقط",الإعدادات!$B$4,0)))</f>
        <v>0</v>
      </c>
    </row>
    <row r="560">
      <c r="A560" s="4" t="n"/>
      <c r="B560" s="5" t="str">
        <f>IF(A560="","",IFERROR(INDEX('جدول الجرد'!$A$2:$A$29,MATCH(A560,'جدول الجرد'!$B$2:$B$29,0)),""))</f>
        <v/>
      </c>
      <c r="C560" s="5" t="str">
        <f>IF(A560="","",IFERROR(INDEX('جدول الجرد'!$E$2:$E$29,MATCH(A560,'جدول الجرد'!$B$2:$B$29,0)),""))</f>
        <v/>
      </c>
      <c r="D560" s="4" t="n"/>
      <c r="E560" s="4" t="n"/>
      <c r="F560" s="4" t="n"/>
      <c r="G560" s="4" t="n"/>
      <c r="H560" s="5" t="str">
        <f>IF(E560="","",IF(AND(F560="نعم",G560="نعم"),"جرد + مراجعة",IF(F560="نعم","جرد فقط",IF(G560="نعم","مراجعة فقط",""))))</f>
        <v/>
      </c>
      <c r="I560" s="9">
        <f>IF(H560="جرد + مراجعة",الإعدادات!$B$2,IF(H560="مراجعة فقط",الإعدادات!$B$3,IF(H560="جرد فقط",الإعدادات!$B$4,0)))</f>
        <v>0</v>
      </c>
    </row>
    <row r="561">
      <c r="A561" s="4" t="n"/>
      <c r="B561" s="5" t="str">
        <f>IF(A561="","",IFERROR(INDEX('جدول الجرد'!$A$2:$A$29,MATCH(A561,'جدول الجرد'!$B$2:$B$29,0)),""))</f>
        <v/>
      </c>
      <c r="C561" s="5" t="str">
        <f>IF(A561="","",IFERROR(INDEX('جدول الجرد'!$E$2:$E$29,MATCH(A561,'جدول الجرد'!$B$2:$B$29,0)),""))</f>
        <v/>
      </c>
      <c r="D561" s="4" t="n"/>
      <c r="E561" s="4" t="n"/>
      <c r="F561" s="4" t="n"/>
      <c r="G561" s="4" t="n"/>
      <c r="H561" s="5" t="str">
        <f>IF(E561="","",IF(AND(F561="نعم",G561="نعم"),"جرد + مراجعة",IF(F561="نعم","جرد فقط",IF(G561="نعم","مراجعة فقط",""))))</f>
        <v/>
      </c>
      <c r="I561" s="9">
        <f>IF(H561="جرد + مراجعة",الإعدادات!$B$2,IF(H561="مراجعة فقط",الإعدادات!$B$3,IF(H561="جرد فقط",الإعدادات!$B$4,0)))</f>
        <v>0</v>
      </c>
    </row>
    <row r="562">
      <c r="A562" s="4" t="n"/>
      <c r="B562" s="5" t="str">
        <f>IF(A562="","",IFERROR(INDEX('جدول الجرد'!$A$2:$A$29,MATCH(A562,'جدول الجرد'!$B$2:$B$29,0)),""))</f>
        <v/>
      </c>
      <c r="C562" s="5" t="str">
        <f>IF(A562="","",IFERROR(INDEX('جدول الجرد'!$E$2:$E$29,MATCH(A562,'جدول الجرد'!$B$2:$B$29,0)),""))</f>
        <v/>
      </c>
      <c r="D562" s="4" t="n"/>
      <c r="E562" s="4" t="n"/>
      <c r="F562" s="4" t="n"/>
      <c r="G562" s="4" t="n"/>
      <c r="H562" s="5" t="str">
        <f>IF(E562="","",IF(AND(F562="نعم",G562="نعم"),"جرد + مراجعة",IF(F562="نعم","جرد فقط",IF(G562="نعم","مراجعة فقط",""))))</f>
        <v/>
      </c>
      <c r="I562" s="9">
        <f>IF(H562="جرد + مراجعة",الإعدادات!$B$2,IF(H562="مراجعة فقط",الإعدادات!$B$3,IF(H562="جرد فقط",الإعدادات!$B$4,0)))</f>
        <v>0</v>
      </c>
    </row>
    <row r="563">
      <c r="A563" s="4" t="n"/>
      <c r="B563" s="5" t="str">
        <f>IF(A563="","",IFERROR(INDEX('جدول الجرد'!$A$2:$A$29,MATCH(A563,'جدول الجرد'!$B$2:$B$29,0)),""))</f>
        <v/>
      </c>
      <c r="C563" s="5" t="str">
        <f>IF(A563="","",IFERROR(INDEX('جدول الجرد'!$E$2:$E$29,MATCH(A563,'جدول الجرد'!$B$2:$B$29,0)),""))</f>
        <v/>
      </c>
      <c r="D563" s="4" t="n"/>
      <c r="E563" s="4" t="n"/>
      <c r="F563" s="4" t="n"/>
      <c r="G563" s="4" t="n"/>
      <c r="H563" s="5" t="str">
        <f>IF(E563="","",IF(AND(F563="نعم",G563="نعم"),"جرد + مراجعة",IF(F563="نعم","جرد فقط",IF(G563="نعم","مراجعة فقط",""))))</f>
        <v/>
      </c>
      <c r="I563" s="9">
        <f>IF(H563="جرد + مراجعة",الإعدادات!$B$2,IF(H563="مراجعة فقط",الإعدادات!$B$3,IF(H563="جرد فقط",الإعدادات!$B$4,0)))</f>
        <v>0</v>
      </c>
    </row>
    <row r="564">
      <c r="A564" s="4" t="n"/>
      <c r="B564" s="5" t="str">
        <f>IF(A564="","",IFERROR(INDEX('جدول الجرد'!$A$2:$A$29,MATCH(A564,'جدول الجرد'!$B$2:$B$29,0)),""))</f>
        <v/>
      </c>
      <c r="C564" s="5" t="str">
        <f>IF(A564="","",IFERROR(INDEX('جدول الجرد'!$E$2:$E$29,MATCH(A564,'جدول الجرد'!$B$2:$B$29,0)),""))</f>
        <v/>
      </c>
      <c r="D564" s="4" t="n"/>
      <c r="E564" s="4" t="n"/>
      <c r="F564" s="4" t="n"/>
      <c r="G564" s="4" t="n"/>
      <c r="H564" s="5" t="str">
        <f>IF(E564="","",IF(AND(F564="نعم",G564="نعم"),"جرد + مراجعة",IF(F564="نعم","جرد فقط",IF(G564="نعم","مراجعة فقط",""))))</f>
        <v/>
      </c>
      <c r="I564" s="9">
        <f>IF(H564="جرد + مراجعة",الإعدادات!$B$2,IF(H564="مراجعة فقط",الإعدادات!$B$3,IF(H564="جرد فقط",الإعدادات!$B$4,0)))</f>
        <v>0</v>
      </c>
    </row>
    <row r="565">
      <c r="A565" s="4" t="n"/>
      <c r="B565" s="5" t="str">
        <f>IF(A565="","",IFERROR(INDEX('جدول الجرد'!$A$2:$A$29,MATCH(A565,'جدول الجرد'!$B$2:$B$29,0)),""))</f>
        <v/>
      </c>
      <c r="C565" s="5" t="str">
        <f>IF(A565="","",IFERROR(INDEX('جدول الجرد'!$E$2:$E$29,MATCH(A565,'جدول الجرد'!$B$2:$B$29,0)),""))</f>
        <v/>
      </c>
      <c r="D565" s="4" t="n"/>
      <c r="E565" s="4" t="n"/>
      <c r="F565" s="4" t="n"/>
      <c r="G565" s="4" t="n"/>
      <c r="H565" s="5" t="str">
        <f>IF(E565="","",IF(AND(F565="نعم",G565="نعم"),"جرد + مراجعة",IF(F565="نعم","جرد فقط",IF(G565="نعم","مراجعة فقط",""))))</f>
        <v/>
      </c>
      <c r="I565" s="9">
        <f>IF(H565="جرد + مراجعة",الإعدادات!$B$2,IF(H565="مراجعة فقط",الإعدادات!$B$3,IF(H565="جرد فقط",الإعدادات!$B$4,0)))</f>
        <v>0</v>
      </c>
    </row>
    <row r="566">
      <c r="A566" s="4" t="n"/>
      <c r="B566" s="5" t="str">
        <f>IF(A566="","",IFERROR(INDEX('جدول الجرد'!$A$2:$A$29,MATCH(A566,'جدول الجرد'!$B$2:$B$29,0)),""))</f>
        <v/>
      </c>
      <c r="C566" s="5" t="str">
        <f>IF(A566="","",IFERROR(INDEX('جدول الجرد'!$E$2:$E$29,MATCH(A566,'جدول الجرد'!$B$2:$B$29,0)),""))</f>
        <v/>
      </c>
      <c r="D566" s="4" t="n"/>
      <c r="E566" s="4" t="n"/>
      <c r="F566" s="4" t="n"/>
      <c r="G566" s="4" t="n"/>
      <c r="H566" s="5" t="str">
        <f>IF(E566="","",IF(AND(F566="نعم",G566="نعم"),"جرد + مراجعة",IF(F566="نعم","جرد فقط",IF(G566="نعم","مراجعة فقط",""))))</f>
        <v/>
      </c>
      <c r="I566" s="9">
        <f>IF(H566="جرد + مراجعة",الإعدادات!$B$2,IF(H566="مراجعة فقط",الإعدادات!$B$3,IF(H566="جرد فقط",الإعدادات!$B$4,0)))</f>
        <v>0</v>
      </c>
    </row>
    <row r="567">
      <c r="A567" s="4" t="n"/>
      <c r="B567" s="5" t="str">
        <f>IF(A567="","",IFERROR(INDEX('جدول الجرد'!$A$2:$A$29,MATCH(A567,'جدول الجرد'!$B$2:$B$29,0)),""))</f>
        <v/>
      </c>
      <c r="C567" s="5" t="str">
        <f>IF(A567="","",IFERROR(INDEX('جدول الجرد'!$E$2:$E$29,MATCH(A567,'جدول الجرد'!$B$2:$B$29,0)),""))</f>
        <v/>
      </c>
      <c r="D567" s="4" t="n"/>
      <c r="E567" s="4" t="n"/>
      <c r="F567" s="4" t="n"/>
      <c r="G567" s="4" t="n"/>
      <c r="H567" s="5" t="str">
        <f>IF(E567="","",IF(AND(F567="نعم",G567="نعم"),"جرد + مراجعة",IF(F567="نعم","جرد فقط",IF(G567="نعم","مراجعة فقط",""))))</f>
        <v/>
      </c>
      <c r="I567" s="9">
        <f>IF(H567="جرد + مراجعة",الإعدادات!$B$2,IF(H567="مراجعة فقط",الإعدادات!$B$3,IF(H567="جرد فقط",الإعدادات!$B$4,0)))</f>
        <v>0</v>
      </c>
    </row>
    <row r="568">
      <c r="A568" s="4" t="n"/>
      <c r="B568" s="5" t="str">
        <f>IF(A568="","",IFERROR(INDEX('جدول الجرد'!$A$2:$A$29,MATCH(A568,'جدول الجرد'!$B$2:$B$29,0)),""))</f>
        <v/>
      </c>
      <c r="C568" s="5" t="str">
        <f>IF(A568="","",IFERROR(INDEX('جدول الجرد'!$E$2:$E$29,MATCH(A568,'جدول الجرد'!$B$2:$B$29,0)),""))</f>
        <v/>
      </c>
      <c r="D568" s="4" t="n"/>
      <c r="E568" s="4" t="n"/>
      <c r="F568" s="4" t="n"/>
      <c r="G568" s="4" t="n"/>
      <c r="H568" s="5" t="str">
        <f>IF(E568="","",IF(AND(F568="نعم",G568="نعم"),"جرد + مراجعة",IF(F568="نعم","جرد فقط",IF(G568="نعم","مراجعة فقط",""))))</f>
        <v/>
      </c>
      <c r="I568" s="9">
        <f>IF(H568="جرد + مراجعة",الإعدادات!$B$2,IF(H568="مراجعة فقط",الإعدادات!$B$3,IF(H568="جرد فقط",الإعدادات!$B$4,0)))</f>
        <v>0</v>
      </c>
    </row>
    <row r="569">
      <c r="A569" s="4" t="n"/>
      <c r="B569" s="5" t="str">
        <f>IF(A569="","",IFERROR(INDEX('جدول الجرد'!$A$2:$A$29,MATCH(A569,'جدول الجرد'!$B$2:$B$29,0)),""))</f>
        <v/>
      </c>
      <c r="C569" s="5" t="str">
        <f>IF(A569="","",IFERROR(INDEX('جدول الجرد'!$E$2:$E$29,MATCH(A569,'جدول الجرد'!$B$2:$B$29,0)),""))</f>
        <v/>
      </c>
      <c r="D569" s="4" t="n"/>
      <c r="E569" s="4" t="n"/>
      <c r="F569" s="4" t="n"/>
      <c r="G569" s="4" t="n"/>
      <c r="H569" s="5" t="str">
        <f>IF(E569="","",IF(AND(F569="نعم",G569="نعم"),"جرد + مراجعة",IF(F569="نعم","جرد فقط",IF(G569="نعم","مراجعة فقط",""))))</f>
        <v/>
      </c>
      <c r="I569" s="9">
        <f>IF(H569="جرد + مراجعة",الإعدادات!$B$2,IF(H569="مراجعة فقط",الإعدادات!$B$3,IF(H569="جرد فقط",الإعدادات!$B$4,0)))</f>
        <v>0</v>
      </c>
    </row>
    <row r="570">
      <c r="A570" s="4" t="n"/>
      <c r="B570" s="5" t="str">
        <f>IF(A570="","",IFERROR(INDEX('جدول الجرد'!$A$2:$A$29,MATCH(A570,'جدول الجرد'!$B$2:$B$29,0)),""))</f>
        <v/>
      </c>
      <c r="C570" s="5" t="str">
        <f>IF(A570="","",IFERROR(INDEX('جدول الجرد'!$E$2:$E$29,MATCH(A570,'جدول الجرد'!$B$2:$B$29,0)),""))</f>
        <v/>
      </c>
      <c r="D570" s="4" t="n"/>
      <c r="E570" s="4" t="n"/>
      <c r="F570" s="4" t="n"/>
      <c r="G570" s="4" t="n"/>
      <c r="H570" s="5" t="str">
        <f>IF(E570="","",IF(AND(F570="نعم",G570="نعم"),"جرد + مراجعة",IF(F570="نعم","جرد فقط",IF(G570="نعم","مراجعة فقط",""))))</f>
        <v/>
      </c>
      <c r="I570" s="9">
        <f>IF(H570="جرد + مراجعة",الإعدادات!$B$2,IF(H570="مراجعة فقط",الإعدادات!$B$3,IF(H570="جرد فقط",الإعدادات!$B$4,0)))</f>
        <v>0</v>
      </c>
    </row>
    <row r="571">
      <c r="A571" s="4" t="n"/>
      <c r="B571" s="5" t="str">
        <f>IF(A571="","",IFERROR(INDEX('جدول الجرد'!$A$2:$A$29,MATCH(A571,'جدول الجرد'!$B$2:$B$29,0)),""))</f>
        <v/>
      </c>
      <c r="C571" s="5" t="str">
        <f>IF(A571="","",IFERROR(INDEX('جدول الجرد'!$E$2:$E$29,MATCH(A571,'جدول الجرد'!$B$2:$B$29,0)),""))</f>
        <v/>
      </c>
      <c r="D571" s="4" t="n"/>
      <c r="E571" s="4" t="n"/>
      <c r="F571" s="4" t="n"/>
      <c r="G571" s="4" t="n"/>
      <c r="H571" s="5" t="str">
        <f>IF(E571="","",IF(AND(F571="نعم",G571="نعم"),"جرد + مراجعة",IF(F571="نعم","جرد فقط",IF(G571="نعم","مراجعة فقط",""))))</f>
        <v/>
      </c>
      <c r="I571" s="9">
        <f>IF(H571="جرد + مراجعة",الإعدادات!$B$2,IF(H571="مراجعة فقط",الإعدادات!$B$3,IF(H571="جرد فقط",الإعدادات!$B$4,0)))</f>
        <v>0</v>
      </c>
    </row>
    <row r="572">
      <c r="A572" s="4" t="n"/>
      <c r="B572" s="5" t="str">
        <f>IF(A572="","",IFERROR(INDEX('جدول الجرد'!$A$2:$A$29,MATCH(A572,'جدول الجرد'!$B$2:$B$29,0)),""))</f>
        <v/>
      </c>
      <c r="C572" s="5" t="str">
        <f>IF(A572="","",IFERROR(INDEX('جدول الجرد'!$E$2:$E$29,MATCH(A572,'جدول الجرد'!$B$2:$B$29,0)),""))</f>
        <v/>
      </c>
      <c r="D572" s="4" t="n"/>
      <c r="E572" s="4" t="n"/>
      <c r="F572" s="4" t="n"/>
      <c r="G572" s="4" t="n"/>
      <c r="H572" s="5" t="str">
        <f>IF(E572="","",IF(AND(F572="نعم",G572="نعم"),"جرد + مراجعة",IF(F572="نعم","جرد فقط",IF(G572="نعم","مراجعة فقط",""))))</f>
        <v/>
      </c>
      <c r="I572" s="9">
        <f>IF(H572="جرد + مراجعة",الإعدادات!$B$2,IF(H572="مراجعة فقط",الإعدادات!$B$3,IF(H572="جرد فقط",الإعدادات!$B$4,0)))</f>
        <v>0</v>
      </c>
    </row>
    <row r="573">
      <c r="A573" s="4" t="n"/>
      <c r="B573" s="5" t="str">
        <f>IF(A573="","",IFERROR(INDEX('جدول الجرد'!$A$2:$A$29,MATCH(A573,'جدول الجرد'!$B$2:$B$29,0)),""))</f>
        <v/>
      </c>
      <c r="C573" s="5" t="str">
        <f>IF(A573="","",IFERROR(INDEX('جدول الجرد'!$E$2:$E$29,MATCH(A573,'جدول الجرد'!$B$2:$B$29,0)),""))</f>
        <v/>
      </c>
      <c r="D573" s="4" t="n"/>
      <c r="E573" s="4" t="n"/>
      <c r="F573" s="4" t="n"/>
      <c r="G573" s="4" t="n"/>
      <c r="H573" s="5" t="str">
        <f>IF(E573="","",IF(AND(F573="نعم",G573="نعم"),"جرد + مراجعة",IF(F573="نعم","جرد فقط",IF(G573="نعم","مراجعة فقط",""))))</f>
        <v/>
      </c>
      <c r="I573" s="9">
        <f>IF(H573="جرد + مراجعة",الإعدادات!$B$2,IF(H573="مراجعة فقط",الإعدادات!$B$3,IF(H573="جرد فقط",الإعدادات!$B$4,0)))</f>
        <v>0</v>
      </c>
    </row>
    <row r="574">
      <c r="A574" s="4" t="n"/>
      <c r="B574" s="5" t="str">
        <f>IF(A574="","",IFERROR(INDEX('جدول الجرد'!$A$2:$A$29,MATCH(A574,'جدول الجرد'!$B$2:$B$29,0)),""))</f>
        <v/>
      </c>
      <c r="C574" s="5" t="str">
        <f>IF(A574="","",IFERROR(INDEX('جدول الجرد'!$E$2:$E$29,MATCH(A574,'جدول الجرد'!$B$2:$B$29,0)),""))</f>
        <v/>
      </c>
      <c r="D574" s="4" t="n"/>
      <c r="E574" s="4" t="n"/>
      <c r="F574" s="4" t="n"/>
      <c r="G574" s="4" t="n"/>
      <c r="H574" s="5" t="str">
        <f>IF(E574="","",IF(AND(F574="نعم",G574="نعم"),"جرد + مراجعة",IF(F574="نعم","جرد فقط",IF(G574="نعم","مراجعة فقط",""))))</f>
        <v/>
      </c>
      <c r="I574" s="9">
        <f>IF(H574="جرد + مراجعة",الإعدادات!$B$2,IF(H574="مراجعة فقط",الإعدادات!$B$3,IF(H574="جرد فقط",الإعدادات!$B$4,0)))</f>
        <v>0</v>
      </c>
    </row>
    <row r="575">
      <c r="A575" s="4" t="n"/>
      <c r="B575" s="5" t="str">
        <f>IF(A575="","",IFERROR(INDEX('جدول الجرد'!$A$2:$A$29,MATCH(A575,'جدول الجرد'!$B$2:$B$29,0)),""))</f>
        <v/>
      </c>
      <c r="C575" s="5" t="str">
        <f>IF(A575="","",IFERROR(INDEX('جدول الجرد'!$E$2:$E$29,MATCH(A575,'جدول الجرد'!$B$2:$B$29,0)),""))</f>
        <v/>
      </c>
      <c r="D575" s="4" t="n"/>
      <c r="E575" s="4" t="n"/>
      <c r="F575" s="4" t="n"/>
      <c r="G575" s="4" t="n"/>
      <c r="H575" s="5" t="str">
        <f>IF(E575="","",IF(AND(F575="نعم",G575="نعم"),"جرد + مراجعة",IF(F575="نعم","جرد فقط",IF(G575="نعم","مراجعة فقط",""))))</f>
        <v/>
      </c>
      <c r="I575" s="9">
        <f>IF(H575="جرد + مراجعة",الإعدادات!$B$2,IF(H575="مراجعة فقط",الإعدادات!$B$3,IF(H575="جرد فقط",الإعدادات!$B$4,0)))</f>
        <v>0</v>
      </c>
    </row>
    <row r="576">
      <c r="A576" s="4" t="n"/>
      <c r="B576" s="5" t="str">
        <f>IF(A576="","",IFERROR(INDEX('جدول الجرد'!$A$2:$A$29,MATCH(A576,'جدول الجرد'!$B$2:$B$29,0)),""))</f>
        <v/>
      </c>
      <c r="C576" s="5" t="str">
        <f>IF(A576="","",IFERROR(INDEX('جدول الجرد'!$E$2:$E$29,MATCH(A576,'جدول الجرد'!$B$2:$B$29,0)),""))</f>
        <v/>
      </c>
      <c r="D576" s="4" t="n"/>
      <c r="E576" s="4" t="n"/>
      <c r="F576" s="4" t="n"/>
      <c r="G576" s="4" t="n"/>
      <c r="H576" s="5" t="str">
        <f>IF(E576="","",IF(AND(F576="نعم",G576="نعم"),"جرد + مراجعة",IF(F576="نعم","جرد فقط",IF(G576="نعم","مراجعة فقط",""))))</f>
        <v/>
      </c>
      <c r="I576" s="9">
        <f>IF(H576="جرد + مراجعة",الإعدادات!$B$2,IF(H576="مراجعة فقط",الإعدادات!$B$3,IF(H576="جرد فقط",الإعدادات!$B$4,0)))</f>
        <v>0</v>
      </c>
    </row>
    <row r="577">
      <c r="A577" s="4" t="n"/>
      <c r="B577" s="5" t="str">
        <f>IF(A577="","",IFERROR(INDEX('جدول الجرد'!$A$2:$A$29,MATCH(A577,'جدول الجرد'!$B$2:$B$29,0)),""))</f>
        <v/>
      </c>
      <c r="C577" s="5" t="str">
        <f>IF(A577="","",IFERROR(INDEX('جدول الجرد'!$E$2:$E$29,MATCH(A577,'جدول الجرد'!$B$2:$B$29,0)),""))</f>
        <v/>
      </c>
      <c r="D577" s="4" t="n"/>
      <c r="E577" s="4" t="n"/>
      <c r="F577" s="4" t="n"/>
      <c r="G577" s="4" t="n"/>
      <c r="H577" s="5" t="str">
        <f>IF(E577="","",IF(AND(F577="نعم",G577="نعم"),"جرد + مراجعة",IF(F577="نعم","جرد فقط",IF(G577="نعم","مراجعة فقط",""))))</f>
        <v/>
      </c>
      <c r="I577" s="9">
        <f>IF(H577="جرد + مراجعة",الإعدادات!$B$2,IF(H577="مراجعة فقط",الإعدادات!$B$3,IF(H577="جرد فقط",الإعدادات!$B$4,0)))</f>
        <v>0</v>
      </c>
    </row>
    <row r="578">
      <c r="A578" s="4" t="n"/>
      <c r="B578" s="5" t="str">
        <f>IF(A578="","",IFERROR(INDEX('جدول الجرد'!$A$2:$A$29,MATCH(A578,'جدول الجرد'!$B$2:$B$29,0)),""))</f>
        <v/>
      </c>
      <c r="C578" s="5" t="str">
        <f>IF(A578="","",IFERROR(INDEX('جدول الجرد'!$E$2:$E$29,MATCH(A578,'جدول الجرد'!$B$2:$B$29,0)),""))</f>
        <v/>
      </c>
      <c r="D578" s="4" t="n"/>
      <c r="E578" s="4" t="n"/>
      <c r="F578" s="4" t="n"/>
      <c r="G578" s="4" t="n"/>
      <c r="H578" s="5" t="str">
        <f>IF(E578="","",IF(AND(F578="نعم",G578="نعم"),"جرد + مراجعة",IF(F578="نعم","جرد فقط",IF(G578="نعم","مراجعة فقط",""))))</f>
        <v/>
      </c>
      <c r="I578" s="9">
        <f>IF(H578="جرد + مراجعة",الإعدادات!$B$2,IF(H578="مراجعة فقط",الإعدادات!$B$3,IF(H578="جرد فقط",الإعدادات!$B$4,0)))</f>
        <v>0</v>
      </c>
    </row>
    <row r="579">
      <c r="A579" s="4" t="n"/>
      <c r="B579" s="5" t="str">
        <f>IF(A579="","",IFERROR(INDEX('جدول الجرد'!$A$2:$A$29,MATCH(A579,'جدول الجرد'!$B$2:$B$29,0)),""))</f>
        <v/>
      </c>
      <c r="C579" s="5" t="str">
        <f>IF(A579="","",IFERROR(INDEX('جدول الجرد'!$E$2:$E$29,MATCH(A579,'جدول الجرد'!$B$2:$B$29,0)),""))</f>
        <v/>
      </c>
      <c r="D579" s="4" t="n"/>
      <c r="E579" s="4" t="n"/>
      <c r="F579" s="4" t="n"/>
      <c r="G579" s="4" t="n"/>
      <c r="H579" s="5" t="str">
        <f>IF(E579="","",IF(AND(F579="نعم",G579="نعم"),"جرد + مراجعة",IF(F579="نعم","جرد فقط",IF(G579="نعم","مراجعة فقط",""))))</f>
        <v/>
      </c>
      <c r="I579" s="9">
        <f>IF(H579="جرد + مراجعة",الإعدادات!$B$2,IF(H579="مراجعة فقط",الإعدادات!$B$3,IF(H579="جرد فقط",الإعدادات!$B$4,0)))</f>
        <v>0</v>
      </c>
    </row>
    <row r="580">
      <c r="A580" s="4" t="n"/>
      <c r="B580" s="5" t="str">
        <f>IF(A580="","",IFERROR(INDEX('جدول الجرد'!$A$2:$A$29,MATCH(A580,'جدول الجرد'!$B$2:$B$29,0)),""))</f>
        <v/>
      </c>
      <c r="C580" s="5" t="str">
        <f>IF(A580="","",IFERROR(INDEX('جدول الجرد'!$E$2:$E$29,MATCH(A580,'جدول الجرد'!$B$2:$B$29,0)),""))</f>
        <v/>
      </c>
      <c r="D580" s="4" t="n"/>
      <c r="E580" s="4" t="n"/>
      <c r="F580" s="4" t="n"/>
      <c r="G580" s="4" t="n"/>
      <c r="H580" s="5" t="str">
        <f>IF(E580="","",IF(AND(F580="نعم",G580="نعم"),"جرد + مراجعة",IF(F580="نعم","جرد فقط",IF(G580="نعم","مراجعة فقط",""))))</f>
        <v/>
      </c>
      <c r="I580" s="9">
        <f>IF(H580="جرد + مراجعة",الإعدادات!$B$2,IF(H580="مراجعة فقط",الإعدادات!$B$3,IF(H580="جرد فقط",الإعدادات!$B$4,0)))</f>
        <v>0</v>
      </c>
    </row>
    <row r="581">
      <c r="A581" s="4" t="n"/>
      <c r="B581" s="5" t="str">
        <f>IF(A581="","",IFERROR(INDEX('جدول الجرد'!$A$2:$A$29,MATCH(A581,'جدول الجرد'!$B$2:$B$29,0)),""))</f>
        <v/>
      </c>
      <c r="C581" s="5" t="str">
        <f>IF(A581="","",IFERROR(INDEX('جدول الجرد'!$E$2:$E$29,MATCH(A581,'جدول الجرد'!$B$2:$B$29,0)),""))</f>
        <v/>
      </c>
      <c r="D581" s="4" t="n"/>
      <c r="E581" s="4" t="n"/>
      <c r="F581" s="4" t="n"/>
      <c r="G581" s="4" t="n"/>
      <c r="H581" s="5" t="str">
        <f>IF(E581="","",IF(AND(F581="نعم",G581="نعم"),"جرد + مراجعة",IF(F581="نعم","جرد فقط",IF(G581="نعم","مراجعة فقط",""))))</f>
        <v/>
      </c>
      <c r="I581" s="9">
        <f>IF(H581="جرد + مراجعة",الإعدادات!$B$2,IF(H581="مراجعة فقط",الإعدادات!$B$3,IF(H581="جرد فقط",الإعدادات!$B$4,0)))</f>
        <v>0</v>
      </c>
    </row>
    <row r="582">
      <c r="A582" s="4" t="n"/>
      <c r="B582" s="5" t="str">
        <f>IF(A582="","",IFERROR(INDEX('جدول الجرد'!$A$2:$A$29,MATCH(A582,'جدول الجرد'!$B$2:$B$29,0)),""))</f>
        <v/>
      </c>
      <c r="C582" s="5" t="str">
        <f>IF(A582="","",IFERROR(INDEX('جدول الجرد'!$E$2:$E$29,MATCH(A582,'جدول الجرد'!$B$2:$B$29,0)),""))</f>
        <v/>
      </c>
      <c r="D582" s="4" t="n"/>
      <c r="E582" s="4" t="n"/>
      <c r="F582" s="4" t="n"/>
      <c r="G582" s="4" t="n"/>
      <c r="H582" s="5" t="str">
        <f>IF(E582="","",IF(AND(F582="نعم",G582="نعم"),"جرد + مراجعة",IF(F582="نعم","جرد فقط",IF(G582="نعم","مراجعة فقط",""))))</f>
        <v/>
      </c>
      <c r="I582" s="9">
        <f>IF(H582="جرد + مراجعة",الإعدادات!$B$2,IF(H582="مراجعة فقط",الإعدادات!$B$3,IF(H582="جرد فقط",الإعدادات!$B$4,0)))</f>
        <v>0</v>
      </c>
    </row>
    <row r="583">
      <c r="A583" s="4" t="n"/>
      <c r="B583" s="5" t="str">
        <f>IF(A583="","",IFERROR(INDEX('جدول الجرد'!$A$2:$A$29,MATCH(A583,'جدول الجرد'!$B$2:$B$29,0)),""))</f>
        <v/>
      </c>
      <c r="C583" s="5" t="str">
        <f>IF(A583="","",IFERROR(INDEX('جدول الجرد'!$E$2:$E$29,MATCH(A583,'جدول الجرد'!$B$2:$B$29,0)),""))</f>
        <v/>
      </c>
      <c r="D583" s="4" t="n"/>
      <c r="E583" s="4" t="n"/>
      <c r="F583" s="4" t="n"/>
      <c r="G583" s="4" t="n"/>
      <c r="H583" s="5" t="str">
        <f>IF(E583="","",IF(AND(F583="نعم",G583="نعم"),"جرد + مراجعة",IF(F583="نعم","جرد فقط",IF(G583="نعم","مراجعة فقط",""))))</f>
        <v/>
      </c>
      <c r="I583" s="9">
        <f>IF(H583="جرد + مراجعة",الإعدادات!$B$2,IF(H583="مراجعة فقط",الإعدادات!$B$3,IF(H583="جرد فقط",الإعدادات!$B$4,0)))</f>
        <v>0</v>
      </c>
    </row>
    <row r="584">
      <c r="A584" s="4" t="n"/>
      <c r="B584" s="5" t="str">
        <f>IF(A584="","",IFERROR(INDEX('جدول الجرد'!$A$2:$A$29,MATCH(A584,'جدول الجرد'!$B$2:$B$29,0)),""))</f>
        <v/>
      </c>
      <c r="C584" s="5" t="str">
        <f>IF(A584="","",IFERROR(INDEX('جدول الجرد'!$E$2:$E$29,MATCH(A584,'جدول الجرد'!$B$2:$B$29,0)),""))</f>
        <v/>
      </c>
      <c r="D584" s="4" t="n"/>
      <c r="E584" s="4" t="n"/>
      <c r="F584" s="4" t="n"/>
      <c r="G584" s="4" t="n"/>
      <c r="H584" s="5" t="str">
        <f>IF(E584="","",IF(AND(F584="نعم",G584="نعم"),"جرد + مراجعة",IF(F584="نعم","جرد فقط",IF(G584="نعم","مراجعة فقط",""))))</f>
        <v/>
      </c>
      <c r="I584" s="9">
        <f>IF(H584="جرد + مراجعة",الإعدادات!$B$2,IF(H584="مراجعة فقط",الإعدادات!$B$3,IF(H584="جرد فقط",الإعدادات!$B$4,0)))</f>
        <v>0</v>
      </c>
    </row>
    <row r="585">
      <c r="A585" s="4" t="n"/>
      <c r="B585" s="5" t="str">
        <f>IF(A585="","",IFERROR(INDEX('جدول الجرد'!$A$2:$A$29,MATCH(A585,'جدول الجرد'!$B$2:$B$29,0)),""))</f>
        <v/>
      </c>
      <c r="C585" s="5" t="str">
        <f>IF(A585="","",IFERROR(INDEX('جدول الجرد'!$E$2:$E$29,MATCH(A585,'جدول الجرد'!$B$2:$B$29,0)),""))</f>
        <v/>
      </c>
      <c r="D585" s="4" t="n"/>
      <c r="E585" s="4" t="n"/>
      <c r="F585" s="4" t="n"/>
      <c r="G585" s="4" t="n"/>
      <c r="H585" s="5" t="str">
        <f>IF(E585="","",IF(AND(F585="نعم",G585="نعم"),"جرد + مراجعة",IF(F585="نعم","جرد فقط",IF(G585="نعم","مراجعة فقط",""))))</f>
        <v/>
      </c>
      <c r="I585" s="9">
        <f>IF(H585="جرد + مراجعة",الإعدادات!$B$2,IF(H585="مراجعة فقط",الإعدادات!$B$3,IF(H585="جرد فقط",الإعدادات!$B$4,0)))</f>
        <v>0</v>
      </c>
    </row>
    <row r="586">
      <c r="A586" s="4" t="n"/>
      <c r="B586" s="5" t="str">
        <f>IF(A586="","",IFERROR(INDEX('جدول الجرد'!$A$2:$A$29,MATCH(A586,'جدول الجرد'!$B$2:$B$29,0)),""))</f>
        <v/>
      </c>
      <c r="C586" s="5" t="str">
        <f>IF(A586="","",IFERROR(INDEX('جدول الجرد'!$E$2:$E$29,MATCH(A586,'جدول الجرد'!$B$2:$B$29,0)),""))</f>
        <v/>
      </c>
      <c r="D586" s="4" t="n"/>
      <c r="E586" s="4" t="n"/>
      <c r="F586" s="4" t="n"/>
      <c r="G586" s="4" t="n"/>
      <c r="H586" s="5" t="str">
        <f>IF(E586="","",IF(AND(F586="نعم",G586="نعم"),"جرد + مراجعة",IF(F586="نعم","جرد فقط",IF(G586="نعم","مراجعة فقط",""))))</f>
        <v/>
      </c>
      <c r="I586" s="9">
        <f>IF(H586="جرد + مراجعة",الإعدادات!$B$2,IF(H586="مراجعة فقط",الإعدادات!$B$3,IF(H586="جرد فقط",الإعدادات!$B$4,0)))</f>
        <v>0</v>
      </c>
    </row>
    <row r="587">
      <c r="A587" s="4" t="n"/>
      <c r="B587" s="5" t="str">
        <f>IF(A587="","",IFERROR(INDEX('جدول الجرد'!$A$2:$A$29,MATCH(A587,'جدول الجرد'!$B$2:$B$29,0)),""))</f>
        <v/>
      </c>
      <c r="C587" s="5" t="str">
        <f>IF(A587="","",IFERROR(INDEX('جدول الجرد'!$E$2:$E$29,MATCH(A587,'جدول الجرد'!$B$2:$B$29,0)),""))</f>
        <v/>
      </c>
      <c r="D587" s="4" t="n"/>
      <c r="E587" s="4" t="n"/>
      <c r="F587" s="4" t="n"/>
      <c r="G587" s="4" t="n"/>
      <c r="H587" s="5" t="str">
        <f>IF(E587="","",IF(AND(F587="نعم",G587="نعم"),"جرد + مراجعة",IF(F587="نعم","جرد فقط",IF(G587="نعم","مراجعة فقط",""))))</f>
        <v/>
      </c>
      <c r="I587" s="9">
        <f>IF(H587="جرد + مراجعة",الإعدادات!$B$2,IF(H587="مراجعة فقط",الإعدادات!$B$3,IF(H587="جرد فقط",الإعدادات!$B$4,0)))</f>
        <v>0</v>
      </c>
    </row>
    <row r="588">
      <c r="A588" s="4" t="n"/>
      <c r="B588" s="5" t="str">
        <f>IF(A588="","",IFERROR(INDEX('جدول الجرد'!$A$2:$A$29,MATCH(A588,'جدول الجرد'!$B$2:$B$29,0)),""))</f>
        <v/>
      </c>
      <c r="C588" s="5" t="str">
        <f>IF(A588="","",IFERROR(INDEX('جدول الجرد'!$E$2:$E$29,MATCH(A588,'جدول الجرد'!$B$2:$B$29,0)),""))</f>
        <v/>
      </c>
      <c r="D588" s="4" t="n"/>
      <c r="E588" s="4" t="n"/>
      <c r="F588" s="4" t="n"/>
      <c r="G588" s="4" t="n"/>
      <c r="H588" s="5" t="str">
        <f>IF(E588="","",IF(AND(F588="نعم",G588="نعم"),"جرد + مراجعة",IF(F588="نعم","جرد فقط",IF(G588="نعم","مراجعة فقط",""))))</f>
        <v/>
      </c>
      <c r="I588" s="9">
        <f>IF(H588="جرد + مراجعة",الإعدادات!$B$2,IF(H588="مراجعة فقط",الإعدادات!$B$3,IF(H588="جرد فقط",الإعدادات!$B$4,0)))</f>
        <v>0</v>
      </c>
    </row>
    <row r="589">
      <c r="A589" s="4" t="n"/>
      <c r="B589" s="5" t="str">
        <f>IF(A589="","",IFERROR(INDEX('جدول الجرد'!$A$2:$A$29,MATCH(A589,'جدول الجرد'!$B$2:$B$29,0)),""))</f>
        <v/>
      </c>
      <c r="C589" s="5" t="str">
        <f>IF(A589="","",IFERROR(INDEX('جدول الجرد'!$E$2:$E$29,MATCH(A589,'جدول الجرد'!$B$2:$B$29,0)),""))</f>
        <v/>
      </c>
      <c r="D589" s="4" t="n"/>
      <c r="E589" s="4" t="n"/>
      <c r="F589" s="4" t="n"/>
      <c r="G589" s="4" t="n"/>
      <c r="H589" s="5" t="str">
        <f>IF(E589="","",IF(AND(F589="نعم",G589="نعم"),"جرد + مراجعة",IF(F589="نعم","جرد فقط",IF(G589="نعم","مراجعة فقط",""))))</f>
        <v/>
      </c>
      <c r="I589" s="9">
        <f>IF(H589="جرد + مراجعة",الإعدادات!$B$2,IF(H589="مراجعة فقط",الإعدادات!$B$3,IF(H589="جرد فقط",الإعدادات!$B$4,0)))</f>
        <v>0</v>
      </c>
    </row>
    <row r="590">
      <c r="A590" s="4" t="n"/>
      <c r="B590" s="5" t="str">
        <f>IF(A590="","",IFERROR(INDEX('جدول الجرد'!$A$2:$A$29,MATCH(A590,'جدول الجرد'!$B$2:$B$29,0)),""))</f>
        <v/>
      </c>
      <c r="C590" s="5" t="str">
        <f>IF(A590="","",IFERROR(INDEX('جدول الجرد'!$E$2:$E$29,MATCH(A590,'جدول الجرد'!$B$2:$B$29,0)),""))</f>
        <v/>
      </c>
      <c r="D590" s="4" t="n"/>
      <c r="E590" s="4" t="n"/>
      <c r="F590" s="4" t="n"/>
      <c r="G590" s="4" t="n"/>
      <c r="H590" s="5" t="str">
        <f>IF(E590="","",IF(AND(F590="نعم",G590="نعم"),"جرد + مراجعة",IF(F590="نعم","جرد فقط",IF(G590="نعم","مراجعة فقط",""))))</f>
        <v/>
      </c>
      <c r="I590" s="9">
        <f>IF(H590="جرد + مراجعة",الإعدادات!$B$2,IF(H590="مراجعة فقط",الإعدادات!$B$3,IF(H590="جرد فقط",الإعدادات!$B$4,0)))</f>
        <v>0</v>
      </c>
    </row>
    <row r="591">
      <c r="A591" s="4" t="n"/>
      <c r="B591" s="5" t="str">
        <f>IF(A591="","",IFERROR(INDEX('جدول الجرد'!$A$2:$A$29,MATCH(A591,'جدول الجرد'!$B$2:$B$29,0)),""))</f>
        <v/>
      </c>
      <c r="C591" s="5" t="str">
        <f>IF(A591="","",IFERROR(INDEX('جدول الجرد'!$E$2:$E$29,MATCH(A591,'جدول الجرد'!$B$2:$B$29,0)),""))</f>
        <v/>
      </c>
      <c r="D591" s="4" t="n"/>
      <c r="E591" s="4" t="n"/>
      <c r="F591" s="4" t="n"/>
      <c r="G591" s="4" t="n"/>
      <c r="H591" s="5" t="str">
        <f>IF(E591="","",IF(AND(F591="نعم",G591="نعم"),"جرد + مراجعة",IF(F591="نعم","جرد فقط",IF(G591="نعم","مراجعة فقط",""))))</f>
        <v/>
      </c>
      <c r="I591" s="9">
        <f>IF(H591="جرد + مراجعة",الإعدادات!$B$2,IF(H591="مراجعة فقط",الإعدادات!$B$3,IF(H591="جرد فقط",الإعدادات!$B$4,0)))</f>
        <v>0</v>
      </c>
    </row>
    <row r="592">
      <c r="A592" s="4" t="n"/>
      <c r="B592" s="5" t="str">
        <f>IF(A592="","",IFERROR(INDEX('جدول الجرد'!$A$2:$A$29,MATCH(A592,'جدول الجرد'!$B$2:$B$29,0)),""))</f>
        <v/>
      </c>
      <c r="C592" s="5" t="str">
        <f>IF(A592="","",IFERROR(INDEX('جدول الجرد'!$E$2:$E$29,MATCH(A592,'جدول الجرد'!$B$2:$B$29,0)),""))</f>
        <v/>
      </c>
      <c r="D592" s="4" t="n"/>
      <c r="E592" s="4" t="n"/>
      <c r="F592" s="4" t="n"/>
      <c r="G592" s="4" t="n"/>
      <c r="H592" s="5" t="str">
        <f>IF(E592="","",IF(AND(F592="نعم",G592="نعم"),"جرد + مراجعة",IF(F592="نعم","جرد فقط",IF(G592="نعم","مراجعة فقط",""))))</f>
        <v/>
      </c>
      <c r="I592" s="9">
        <f>IF(H592="جرد + مراجعة",الإعدادات!$B$2,IF(H592="مراجعة فقط",الإعدادات!$B$3,IF(H592="جرد فقط",الإعدادات!$B$4,0)))</f>
        <v>0</v>
      </c>
    </row>
    <row r="593">
      <c r="A593" s="4" t="n"/>
      <c r="B593" s="5" t="str">
        <f>IF(A593="","",IFERROR(INDEX('جدول الجرد'!$A$2:$A$29,MATCH(A593,'جدول الجرد'!$B$2:$B$29,0)),""))</f>
        <v/>
      </c>
      <c r="C593" s="5" t="str">
        <f>IF(A593="","",IFERROR(INDEX('جدول الجرد'!$E$2:$E$29,MATCH(A593,'جدول الجرد'!$B$2:$B$29,0)),""))</f>
        <v/>
      </c>
      <c r="D593" s="4" t="n"/>
      <c r="E593" s="4" t="n"/>
      <c r="F593" s="4" t="n"/>
      <c r="G593" s="4" t="n"/>
      <c r="H593" s="5" t="str">
        <f>IF(E593="","",IF(AND(F593="نعم",G593="نعم"),"جرد + مراجعة",IF(F593="نعم","جرد فقط",IF(G593="نعم","مراجعة فقط",""))))</f>
        <v/>
      </c>
      <c r="I593" s="9">
        <f>IF(H593="جرد + مراجعة",الإعدادات!$B$2,IF(H593="مراجعة فقط",الإعدادات!$B$3,IF(H593="جرد فقط",الإعدادات!$B$4,0)))</f>
        <v>0</v>
      </c>
    </row>
    <row r="594">
      <c r="A594" s="4" t="n"/>
      <c r="B594" s="5" t="str">
        <f>IF(A594="","",IFERROR(INDEX('جدول الجرد'!$A$2:$A$29,MATCH(A594,'جدول الجرد'!$B$2:$B$29,0)),""))</f>
        <v/>
      </c>
      <c r="C594" s="5" t="str">
        <f>IF(A594="","",IFERROR(INDEX('جدول الجرد'!$E$2:$E$29,MATCH(A594,'جدول الجرد'!$B$2:$B$29,0)),""))</f>
        <v/>
      </c>
      <c r="D594" s="4" t="n"/>
      <c r="E594" s="4" t="n"/>
      <c r="F594" s="4" t="n"/>
      <c r="G594" s="4" t="n"/>
      <c r="H594" s="5" t="str">
        <f>IF(E594="","",IF(AND(F594="نعم",G594="نعم"),"جرد + مراجعة",IF(F594="نعم","جرد فقط",IF(G594="نعم","مراجعة فقط",""))))</f>
        <v/>
      </c>
      <c r="I594" s="9">
        <f>IF(H594="جرد + مراجعة",الإعدادات!$B$2,IF(H594="مراجعة فقط",الإعدادات!$B$3,IF(H594="جرد فقط",الإعدادات!$B$4,0)))</f>
        <v>0</v>
      </c>
    </row>
    <row r="595">
      <c r="A595" s="4" t="n"/>
      <c r="B595" s="5" t="str">
        <f>IF(A595="","",IFERROR(INDEX('جدول الجرد'!$A$2:$A$29,MATCH(A595,'جدول الجرد'!$B$2:$B$29,0)),""))</f>
        <v/>
      </c>
      <c r="C595" s="5" t="str">
        <f>IF(A595="","",IFERROR(INDEX('جدول الجرد'!$E$2:$E$29,MATCH(A595,'جدول الجرد'!$B$2:$B$29,0)),""))</f>
        <v/>
      </c>
      <c r="D595" s="4" t="n"/>
      <c r="E595" s="4" t="n"/>
      <c r="F595" s="4" t="n"/>
      <c r="G595" s="4" t="n"/>
      <c r="H595" s="5" t="str">
        <f>IF(E595="","",IF(AND(F595="نعم",G595="نعم"),"جرد + مراجعة",IF(F595="نعم","جرد فقط",IF(G595="نعم","مراجعة فقط",""))))</f>
        <v/>
      </c>
      <c r="I595" s="9">
        <f>IF(H595="جرد + مراجعة",الإعدادات!$B$2,IF(H595="مراجعة فقط",الإعدادات!$B$3,IF(H595="جرد فقط",الإعدادات!$B$4,0)))</f>
        <v>0</v>
      </c>
    </row>
    <row r="596">
      <c r="A596" s="4" t="n"/>
      <c r="B596" s="5" t="str">
        <f>IF(A596="","",IFERROR(INDEX('جدول الجرد'!$A$2:$A$29,MATCH(A596,'جدول الجرد'!$B$2:$B$29,0)),""))</f>
        <v/>
      </c>
      <c r="C596" s="5" t="str">
        <f>IF(A596="","",IFERROR(INDEX('جدول الجرد'!$E$2:$E$29,MATCH(A596,'جدول الجرد'!$B$2:$B$29,0)),""))</f>
        <v/>
      </c>
      <c r="D596" s="4" t="n"/>
      <c r="E596" s="4" t="n"/>
      <c r="F596" s="4" t="n"/>
      <c r="G596" s="4" t="n"/>
      <c r="H596" s="5" t="str">
        <f>IF(E596="","",IF(AND(F596="نعم",G596="نعم"),"جرد + مراجعة",IF(F596="نعم","جرد فقط",IF(G596="نعم","مراجعة فقط",""))))</f>
        <v/>
      </c>
      <c r="I596" s="9">
        <f>IF(H596="جرد + مراجعة",الإعدادات!$B$2,IF(H596="مراجعة فقط",الإعدادات!$B$3,IF(H596="جرد فقط",الإعدادات!$B$4,0)))</f>
        <v>0</v>
      </c>
    </row>
    <row r="597">
      <c r="A597" s="4" t="n"/>
      <c r="B597" s="5" t="str">
        <f>IF(A597="","",IFERROR(INDEX('جدول الجرد'!$A$2:$A$29,MATCH(A597,'جدول الجرد'!$B$2:$B$29,0)),""))</f>
        <v/>
      </c>
      <c r="C597" s="5" t="str">
        <f>IF(A597="","",IFERROR(INDEX('جدول الجرد'!$E$2:$E$29,MATCH(A597,'جدول الجرد'!$B$2:$B$29,0)),""))</f>
        <v/>
      </c>
      <c r="D597" s="4" t="n"/>
      <c r="E597" s="4" t="n"/>
      <c r="F597" s="4" t="n"/>
      <c r="G597" s="4" t="n"/>
      <c r="H597" s="5" t="str">
        <f>IF(E597="","",IF(AND(F597="نعم",G597="نعم"),"جرد + مراجعة",IF(F597="نعم","جرد فقط",IF(G597="نعم","مراجعة فقط",""))))</f>
        <v/>
      </c>
      <c r="I597" s="9">
        <f>IF(H597="جرد + مراجعة",الإعدادات!$B$2,IF(H597="مراجعة فقط",الإعدادات!$B$3,IF(H597="جرد فقط",الإعدادات!$B$4,0)))</f>
        <v>0</v>
      </c>
    </row>
    <row r="598">
      <c r="A598" s="4" t="n"/>
      <c r="B598" s="5" t="str">
        <f>IF(A598="","",IFERROR(INDEX('جدول الجرد'!$A$2:$A$29,MATCH(A598,'جدول الجرد'!$B$2:$B$29,0)),""))</f>
        <v/>
      </c>
      <c r="C598" s="5" t="str">
        <f>IF(A598="","",IFERROR(INDEX('جدول الجرد'!$E$2:$E$29,MATCH(A598,'جدول الجرد'!$B$2:$B$29,0)),""))</f>
        <v/>
      </c>
      <c r="D598" s="4" t="n"/>
      <c r="E598" s="4" t="n"/>
      <c r="F598" s="4" t="n"/>
      <c r="G598" s="4" t="n"/>
      <c r="H598" s="5" t="str">
        <f>IF(E598="","",IF(AND(F598="نعم",G598="نعم"),"جرد + مراجعة",IF(F598="نعم","جرد فقط",IF(G598="نعم","مراجعة فقط",""))))</f>
        <v/>
      </c>
      <c r="I598" s="9">
        <f>IF(H598="جرد + مراجعة",الإعدادات!$B$2,IF(H598="مراجعة فقط",الإعدادات!$B$3,IF(H598="جرد فقط",الإعدادات!$B$4,0)))</f>
        <v>0</v>
      </c>
    </row>
    <row r="599">
      <c r="A599" s="4" t="n"/>
      <c r="B599" s="5" t="str">
        <f>IF(A599="","",IFERROR(INDEX('جدول الجرد'!$A$2:$A$29,MATCH(A599,'جدول الجرد'!$B$2:$B$29,0)),""))</f>
        <v/>
      </c>
      <c r="C599" s="5" t="str">
        <f>IF(A599="","",IFERROR(INDEX('جدول الجرد'!$E$2:$E$29,MATCH(A599,'جدول الجرد'!$B$2:$B$29,0)),""))</f>
        <v/>
      </c>
      <c r="D599" s="4" t="n"/>
      <c r="E599" s="4" t="n"/>
      <c r="F599" s="4" t="n"/>
      <c r="G599" s="4" t="n"/>
      <c r="H599" s="5" t="str">
        <f>IF(E599="","",IF(AND(F599="نعم",G599="نعم"),"جرد + مراجعة",IF(F599="نعم","جرد فقط",IF(G599="نعم","مراجعة فقط",""))))</f>
        <v/>
      </c>
      <c r="I599" s="9">
        <f>IF(H599="جرد + مراجعة",الإعدادات!$B$2,IF(H599="مراجعة فقط",الإعدادات!$B$3,IF(H599="جرد فقط",الإعدادات!$B$4,0)))</f>
        <v>0</v>
      </c>
    </row>
    <row r="600">
      <c r="A600" s="4" t="n"/>
      <c r="B600" s="5" t="str">
        <f>IF(A600="","",IFERROR(INDEX('جدول الجرد'!$A$2:$A$29,MATCH(A600,'جدول الجرد'!$B$2:$B$29,0)),""))</f>
        <v/>
      </c>
      <c r="C600" s="5" t="str">
        <f>IF(A600="","",IFERROR(INDEX('جدول الجرد'!$E$2:$E$29,MATCH(A600,'جدول الجرد'!$B$2:$B$29,0)),""))</f>
        <v/>
      </c>
      <c r="D600" s="4" t="n"/>
      <c r="E600" s="4" t="n"/>
      <c r="F600" s="4" t="n"/>
      <c r="G600" s="4" t="n"/>
      <c r="H600" s="5" t="str">
        <f>IF(E600="","",IF(AND(F600="نعم",G600="نعم"),"جرد + مراجعة",IF(F600="نعم","جرد فقط",IF(G600="نعم","مراجعة فقط",""))))</f>
        <v/>
      </c>
      <c r="I600" s="9">
        <f>IF(H600="جرد + مراجعة",الإعدادات!$B$2,IF(H600="مراجعة فقط",الإعدادات!$B$3,IF(H600="جرد فقط",الإعدادات!$B$4,0)))</f>
        <v>0</v>
      </c>
    </row>
    <row r="601">
      <c r="A601" s="4" t="n"/>
      <c r="B601" s="5" t="str">
        <f>IF(A601="","",IFERROR(INDEX('جدول الجرد'!$A$2:$A$29,MATCH(A601,'جدول الجرد'!$B$2:$B$29,0)),""))</f>
        <v/>
      </c>
      <c r="C601" s="5" t="str">
        <f>IF(A601="","",IFERROR(INDEX('جدول الجرد'!$E$2:$E$29,MATCH(A601,'جدول الجرد'!$B$2:$B$29,0)),""))</f>
        <v/>
      </c>
      <c r="D601" s="4" t="n"/>
      <c r="E601" s="4" t="n"/>
      <c r="F601" s="4" t="n"/>
      <c r="G601" s="4" t="n"/>
      <c r="H601" s="5" t="str">
        <f>IF(E601="","",IF(AND(F601="نعم",G601="نعم"),"جرد + مراجعة",IF(F601="نعم","جرد فقط",IF(G601="نعم","مراجعة فقط",""))))</f>
        <v/>
      </c>
      <c r="I601" s="9">
        <f>IF(H601="جرد + مراجعة",الإعدادات!$B$2,IF(H601="مراجعة فقط",الإعدادات!$B$3,IF(H601="جرد فقط",الإعدادات!$B$4,0)))</f>
        <v>0</v>
      </c>
    </row>
    <row r="602">
      <c r="A602" s="4" t="n"/>
      <c r="B602" s="5" t="str">
        <f>IF(A602="","",IFERROR(INDEX('جدول الجرد'!$A$2:$A$29,MATCH(A602,'جدول الجرد'!$B$2:$B$29,0)),""))</f>
        <v/>
      </c>
      <c r="C602" s="5" t="str">
        <f>IF(A602="","",IFERROR(INDEX('جدول الجرد'!$E$2:$E$29,MATCH(A602,'جدول الجرد'!$B$2:$B$29,0)),""))</f>
        <v/>
      </c>
      <c r="D602" s="4" t="n"/>
      <c r="E602" s="4" t="n"/>
      <c r="F602" s="4" t="n"/>
      <c r="G602" s="4" t="n"/>
      <c r="H602" s="5" t="str">
        <f>IF(E602="","",IF(AND(F602="نعم",G602="نعم"),"جرد + مراجعة",IF(F602="نعم","جرد فقط",IF(G602="نعم","مراجعة فقط",""))))</f>
        <v/>
      </c>
      <c r="I602" s="9">
        <f>IF(H602="جرد + مراجعة",الإعدادات!$B$2,IF(H602="مراجعة فقط",الإعدادات!$B$3,IF(H602="جرد فقط",الإعدادات!$B$4,0)))</f>
        <v>0</v>
      </c>
    </row>
    <row r="603">
      <c r="A603" s="4" t="n"/>
      <c r="B603" s="5" t="str">
        <f>IF(A603="","",IFERROR(INDEX('جدول الجرد'!$A$2:$A$29,MATCH(A603,'جدول الجرد'!$B$2:$B$29,0)),""))</f>
        <v/>
      </c>
      <c r="C603" s="5" t="str">
        <f>IF(A603="","",IFERROR(INDEX('جدول الجرد'!$E$2:$E$29,MATCH(A603,'جدول الجرد'!$B$2:$B$29,0)),""))</f>
        <v/>
      </c>
      <c r="D603" s="4" t="n"/>
      <c r="E603" s="4" t="n"/>
      <c r="F603" s="4" t="n"/>
      <c r="G603" s="4" t="n"/>
      <c r="H603" s="5" t="str">
        <f>IF(E603="","",IF(AND(F603="نعم",G603="نعم"),"جرد + مراجعة",IF(F603="نعم","جرد فقط",IF(G603="نعم","مراجعة فقط",""))))</f>
        <v/>
      </c>
      <c r="I603" s="9">
        <f>IF(H603="جرد + مراجعة",الإعدادات!$B$2,IF(H603="مراجعة فقط",الإعدادات!$B$3,IF(H603="جرد فقط",الإعدادات!$B$4,0)))</f>
        <v>0</v>
      </c>
    </row>
    <row r="604">
      <c r="A604" s="4" t="n"/>
      <c r="B604" s="5" t="str">
        <f>IF(A604="","",IFERROR(INDEX('جدول الجرد'!$A$2:$A$29,MATCH(A604,'جدول الجرد'!$B$2:$B$29,0)),""))</f>
        <v/>
      </c>
      <c r="C604" s="5" t="str">
        <f>IF(A604="","",IFERROR(INDEX('جدول الجرد'!$E$2:$E$29,MATCH(A604,'جدول الجرد'!$B$2:$B$29,0)),""))</f>
        <v/>
      </c>
      <c r="D604" s="4" t="n"/>
      <c r="E604" s="4" t="n"/>
      <c r="F604" s="4" t="n"/>
      <c r="G604" s="4" t="n"/>
      <c r="H604" s="5" t="str">
        <f>IF(E604="","",IF(AND(F604="نعم",G604="نعم"),"جرد + مراجعة",IF(F604="نعم","جرد فقط",IF(G604="نعم","مراجعة فقط",""))))</f>
        <v/>
      </c>
      <c r="I604" s="9">
        <f>IF(H604="جرد + مراجعة",الإعدادات!$B$2,IF(H604="مراجعة فقط",الإعدادات!$B$3,IF(H604="جرد فقط",الإعدادات!$B$4,0)))</f>
        <v>0</v>
      </c>
    </row>
    <row r="605">
      <c r="A605" s="4" t="n"/>
      <c r="B605" s="5" t="str">
        <f>IF(A605="","",IFERROR(INDEX('جدول الجرد'!$A$2:$A$29,MATCH(A605,'جدول الجرد'!$B$2:$B$29,0)),""))</f>
        <v/>
      </c>
      <c r="C605" s="5" t="str">
        <f>IF(A605="","",IFERROR(INDEX('جدول الجرد'!$E$2:$E$29,MATCH(A605,'جدول الجرد'!$B$2:$B$29,0)),""))</f>
        <v/>
      </c>
      <c r="D605" s="4" t="n"/>
      <c r="E605" s="4" t="n"/>
      <c r="F605" s="4" t="n"/>
      <c r="G605" s="4" t="n"/>
      <c r="H605" s="5" t="str">
        <f>IF(E605="","",IF(AND(F605="نعم",G605="نعم"),"جرد + مراجعة",IF(F605="نعم","جرد فقط",IF(G605="نعم","مراجعة فقط",""))))</f>
        <v/>
      </c>
      <c r="I605" s="9">
        <f>IF(H605="جرد + مراجعة",الإعدادات!$B$2,IF(H605="مراجعة فقط",الإعدادات!$B$3,IF(H605="جرد فقط",الإعدادات!$B$4,0)))</f>
        <v>0</v>
      </c>
    </row>
    <row r="606">
      <c r="A606" s="4" t="n"/>
      <c r="B606" s="5" t="str">
        <f>IF(A606="","",IFERROR(INDEX('جدول الجرد'!$A$2:$A$29,MATCH(A606,'جدول الجرد'!$B$2:$B$29,0)),""))</f>
        <v/>
      </c>
      <c r="C606" s="5" t="str">
        <f>IF(A606="","",IFERROR(INDEX('جدول الجرد'!$E$2:$E$29,MATCH(A606,'جدول الجرد'!$B$2:$B$29,0)),""))</f>
        <v/>
      </c>
      <c r="D606" s="4" t="n"/>
      <c r="E606" s="4" t="n"/>
      <c r="F606" s="4" t="n"/>
      <c r="G606" s="4" t="n"/>
      <c r="H606" s="5" t="str">
        <f>IF(E606="","",IF(AND(F606="نعم",G606="نعم"),"جرد + مراجعة",IF(F606="نعم","جرد فقط",IF(G606="نعم","مراجعة فقط",""))))</f>
        <v/>
      </c>
      <c r="I606" s="9">
        <f>IF(H606="جرد + مراجعة",الإعدادات!$B$2,IF(H606="مراجعة فقط",الإعدادات!$B$3,IF(H606="جرد فقط",الإعدادات!$B$4,0)))</f>
        <v>0</v>
      </c>
    </row>
    <row r="607">
      <c r="A607" s="4" t="n"/>
      <c r="B607" s="5" t="str">
        <f>IF(A607="","",IFERROR(INDEX('جدول الجرد'!$A$2:$A$29,MATCH(A607,'جدول الجرد'!$B$2:$B$29,0)),""))</f>
        <v/>
      </c>
      <c r="C607" s="5" t="str">
        <f>IF(A607="","",IFERROR(INDEX('جدول الجرد'!$E$2:$E$29,MATCH(A607,'جدول الجرد'!$B$2:$B$29,0)),""))</f>
        <v/>
      </c>
      <c r="D607" s="4" t="n"/>
      <c r="E607" s="4" t="n"/>
      <c r="F607" s="4" t="n"/>
      <c r="G607" s="4" t="n"/>
      <c r="H607" s="5" t="str">
        <f>IF(E607="","",IF(AND(F607="نعم",G607="نعم"),"جرد + مراجعة",IF(F607="نعم","جرد فقط",IF(G607="نعم","مراجعة فقط",""))))</f>
        <v/>
      </c>
      <c r="I607" s="9">
        <f>IF(H607="جرد + مراجعة",الإعدادات!$B$2,IF(H607="مراجعة فقط",الإعدادات!$B$3,IF(H607="جرد فقط",الإعدادات!$B$4,0)))</f>
        <v>0</v>
      </c>
    </row>
    <row r="608">
      <c r="A608" s="4" t="n"/>
      <c r="B608" s="5" t="str">
        <f>IF(A608="","",IFERROR(INDEX('جدول الجرد'!$A$2:$A$29,MATCH(A608,'جدول الجرد'!$B$2:$B$29,0)),""))</f>
        <v/>
      </c>
      <c r="C608" s="5" t="str">
        <f>IF(A608="","",IFERROR(INDEX('جدول الجرد'!$E$2:$E$29,MATCH(A608,'جدول الجرد'!$B$2:$B$29,0)),""))</f>
        <v/>
      </c>
      <c r="D608" s="4" t="n"/>
      <c r="E608" s="4" t="n"/>
      <c r="F608" s="4" t="n"/>
      <c r="G608" s="4" t="n"/>
      <c r="H608" s="5" t="str">
        <f>IF(E608="","",IF(AND(F608="نعم",G608="نعم"),"جرد + مراجعة",IF(F608="نعم","جرد فقط",IF(G608="نعم","مراجعة فقط",""))))</f>
        <v/>
      </c>
      <c r="I608" s="9">
        <f>IF(H608="جرد + مراجعة",الإعدادات!$B$2,IF(H608="مراجعة فقط",الإعدادات!$B$3,IF(H608="جرد فقط",الإعدادات!$B$4,0)))</f>
        <v>0</v>
      </c>
    </row>
    <row r="609">
      <c r="A609" s="4" t="n"/>
      <c r="B609" s="5" t="str">
        <f>IF(A609="","",IFERROR(INDEX('جدول الجرد'!$A$2:$A$29,MATCH(A609,'جدول الجرد'!$B$2:$B$29,0)),""))</f>
        <v/>
      </c>
      <c r="C609" s="5" t="str">
        <f>IF(A609="","",IFERROR(INDEX('جدول الجرد'!$E$2:$E$29,MATCH(A609,'جدول الجرد'!$B$2:$B$29,0)),""))</f>
        <v/>
      </c>
      <c r="D609" s="4" t="n"/>
      <c r="E609" s="4" t="n"/>
      <c r="F609" s="4" t="n"/>
      <c r="G609" s="4" t="n"/>
      <c r="H609" s="5" t="str">
        <f>IF(E609="","",IF(AND(F609="نعم",G609="نعم"),"جرد + مراجعة",IF(F609="نعم","جرد فقط",IF(G609="نعم","مراجعة فقط",""))))</f>
        <v/>
      </c>
      <c r="I609" s="9">
        <f>IF(H609="جرد + مراجعة",الإعدادات!$B$2,IF(H609="مراجعة فقط",الإعدادات!$B$3,IF(H609="جرد فقط",الإعدادات!$B$4,0)))</f>
        <v>0</v>
      </c>
    </row>
    <row r="610">
      <c r="A610" s="4" t="n"/>
      <c r="B610" s="5" t="str">
        <f>IF(A610="","",IFERROR(INDEX('جدول الجرد'!$A$2:$A$29,MATCH(A610,'جدول الجرد'!$B$2:$B$29,0)),""))</f>
        <v/>
      </c>
      <c r="C610" s="5" t="str">
        <f>IF(A610="","",IFERROR(INDEX('جدول الجرد'!$E$2:$E$29,MATCH(A610,'جدول الجرد'!$B$2:$B$29,0)),""))</f>
        <v/>
      </c>
      <c r="D610" s="4" t="n"/>
      <c r="E610" s="4" t="n"/>
      <c r="F610" s="4" t="n"/>
      <c r="G610" s="4" t="n"/>
      <c r="H610" s="5" t="str">
        <f>IF(E610="","",IF(AND(F610="نعم",G610="نعم"),"جرد + مراجعة",IF(F610="نعم","جرد فقط",IF(G610="نعم","مراجعة فقط",""))))</f>
        <v/>
      </c>
      <c r="I610" s="9">
        <f>IF(H610="جرد + مراجعة",الإعدادات!$B$2,IF(H610="مراجعة فقط",الإعدادات!$B$3,IF(H610="جرد فقط",الإعدادات!$B$4,0)))</f>
        <v>0</v>
      </c>
    </row>
    <row r="611">
      <c r="A611" s="4" t="n"/>
      <c r="B611" s="5" t="str">
        <f>IF(A611="","",IFERROR(INDEX('جدول الجرد'!$A$2:$A$29,MATCH(A611,'جدول الجرد'!$B$2:$B$29,0)),""))</f>
        <v/>
      </c>
      <c r="C611" s="5" t="str">
        <f>IF(A611="","",IFERROR(INDEX('جدول الجرد'!$E$2:$E$29,MATCH(A611,'جدول الجرد'!$B$2:$B$29,0)),""))</f>
        <v/>
      </c>
      <c r="D611" s="4" t="n"/>
      <c r="E611" s="4" t="n"/>
      <c r="F611" s="4" t="n"/>
      <c r="G611" s="4" t="n"/>
      <c r="H611" s="5" t="str">
        <f>IF(E611="","",IF(AND(F611="نعم",G611="نعم"),"جرد + مراجعة",IF(F611="نعم","جرد فقط",IF(G611="نعم","مراجعة فقط",""))))</f>
        <v/>
      </c>
      <c r="I611" s="9">
        <f>IF(H611="جرد + مراجعة",الإعدادات!$B$2,IF(H611="مراجعة فقط",الإعدادات!$B$3,IF(H611="جرد فقط",الإعدادات!$B$4,0)))</f>
        <v>0</v>
      </c>
    </row>
    <row r="612">
      <c r="A612" s="4" t="n"/>
      <c r="B612" s="5" t="str">
        <f>IF(A612="","",IFERROR(INDEX('جدول الجرد'!$A$2:$A$29,MATCH(A612,'جدول الجرد'!$B$2:$B$29,0)),""))</f>
        <v/>
      </c>
      <c r="C612" s="5" t="str">
        <f>IF(A612="","",IFERROR(INDEX('جدول الجرد'!$E$2:$E$29,MATCH(A612,'جدول الجرد'!$B$2:$B$29,0)),""))</f>
        <v/>
      </c>
      <c r="D612" s="4" t="n"/>
      <c r="E612" s="4" t="n"/>
      <c r="F612" s="4" t="n"/>
      <c r="G612" s="4" t="n"/>
      <c r="H612" s="5" t="str">
        <f>IF(E612="","",IF(AND(F612="نعم",G612="نعم"),"جرد + مراجعة",IF(F612="نعم","جرد فقط",IF(G612="نعم","مراجعة فقط",""))))</f>
        <v/>
      </c>
      <c r="I612" s="9">
        <f>IF(H612="جرد + مراجعة",الإعدادات!$B$2,IF(H612="مراجعة فقط",الإعدادات!$B$3,IF(H612="جرد فقط",الإعدادات!$B$4,0)))</f>
        <v>0</v>
      </c>
    </row>
    <row r="613">
      <c r="A613" s="4" t="n"/>
      <c r="B613" s="5" t="str">
        <f>IF(A613="","",IFERROR(INDEX('جدول الجرد'!$A$2:$A$29,MATCH(A613,'جدول الجرد'!$B$2:$B$29,0)),""))</f>
        <v/>
      </c>
      <c r="C613" s="5" t="str">
        <f>IF(A613="","",IFERROR(INDEX('جدول الجرد'!$E$2:$E$29,MATCH(A613,'جدول الجرد'!$B$2:$B$29,0)),""))</f>
        <v/>
      </c>
      <c r="D613" s="4" t="n"/>
      <c r="E613" s="4" t="n"/>
      <c r="F613" s="4" t="n"/>
      <c r="G613" s="4" t="n"/>
      <c r="H613" s="5" t="str">
        <f>IF(E613="","",IF(AND(F613="نعم",G613="نعم"),"جرد + مراجعة",IF(F613="نعم","جرد فقط",IF(G613="نعم","مراجعة فقط",""))))</f>
        <v/>
      </c>
      <c r="I613" s="9">
        <f>IF(H613="جرد + مراجعة",الإعدادات!$B$2,IF(H613="مراجعة فقط",الإعدادات!$B$3,IF(H613="جرد فقط",الإعدادات!$B$4,0)))</f>
        <v>0</v>
      </c>
    </row>
    <row r="614">
      <c r="A614" s="4" t="n"/>
      <c r="B614" s="5" t="str">
        <f>IF(A614="","",IFERROR(INDEX('جدول الجرد'!$A$2:$A$29,MATCH(A614,'جدول الجرد'!$B$2:$B$29,0)),""))</f>
        <v/>
      </c>
      <c r="C614" s="5" t="str">
        <f>IF(A614="","",IFERROR(INDEX('جدول الجرد'!$E$2:$E$29,MATCH(A614,'جدول الجرد'!$B$2:$B$29,0)),""))</f>
        <v/>
      </c>
      <c r="D614" s="4" t="n"/>
      <c r="E614" s="4" t="n"/>
      <c r="F614" s="4" t="n"/>
      <c r="G614" s="4" t="n"/>
      <c r="H614" s="5" t="str">
        <f>IF(E614="","",IF(AND(F614="نعم",G614="نعم"),"جرد + مراجعة",IF(F614="نعم","جرد فقط",IF(G614="نعم","مراجعة فقط",""))))</f>
        <v/>
      </c>
      <c r="I614" s="9">
        <f>IF(H614="جرد + مراجعة",الإعدادات!$B$2,IF(H614="مراجعة فقط",الإعدادات!$B$3,IF(H614="جرد فقط",الإعدادات!$B$4,0)))</f>
        <v>0</v>
      </c>
    </row>
    <row r="615">
      <c r="A615" s="4" t="n"/>
      <c r="B615" s="5" t="str">
        <f>IF(A615="","",IFERROR(INDEX('جدول الجرد'!$A$2:$A$29,MATCH(A615,'جدول الجرد'!$B$2:$B$29,0)),""))</f>
        <v/>
      </c>
      <c r="C615" s="5" t="str">
        <f>IF(A615="","",IFERROR(INDEX('جدول الجرد'!$E$2:$E$29,MATCH(A615,'جدول الجرد'!$B$2:$B$29,0)),""))</f>
        <v/>
      </c>
      <c r="D615" s="4" t="n"/>
      <c r="E615" s="4" t="n"/>
      <c r="F615" s="4" t="n"/>
      <c r="G615" s="4" t="n"/>
      <c r="H615" s="5" t="str">
        <f>IF(E615="","",IF(AND(F615="نعم",G615="نعم"),"جرد + مراجعة",IF(F615="نعم","جرد فقط",IF(G615="نعم","مراجعة فقط",""))))</f>
        <v/>
      </c>
      <c r="I615" s="9">
        <f>IF(H615="جرد + مراجعة",الإعدادات!$B$2,IF(H615="مراجعة فقط",الإعدادات!$B$3,IF(H615="جرد فقط",الإعدادات!$B$4,0)))</f>
        <v>0</v>
      </c>
    </row>
    <row r="616">
      <c r="A616" s="4" t="n"/>
      <c r="B616" s="5" t="str">
        <f>IF(A616="","",IFERROR(INDEX('جدول الجرد'!$A$2:$A$29,MATCH(A616,'جدول الجرد'!$B$2:$B$29,0)),""))</f>
        <v/>
      </c>
      <c r="C616" s="5" t="str">
        <f>IF(A616="","",IFERROR(INDEX('جدول الجرد'!$E$2:$E$29,MATCH(A616,'جدول الجرد'!$B$2:$B$29,0)),""))</f>
        <v/>
      </c>
      <c r="D616" s="4" t="n"/>
      <c r="E616" s="4" t="n"/>
      <c r="F616" s="4" t="n"/>
      <c r="G616" s="4" t="n"/>
      <c r="H616" s="5" t="str">
        <f>IF(E616="","",IF(AND(F616="نعم",G616="نعم"),"جرد + مراجعة",IF(F616="نعم","جرد فقط",IF(G616="نعم","مراجعة فقط",""))))</f>
        <v/>
      </c>
      <c r="I616" s="9">
        <f>IF(H616="جرد + مراجعة",الإعدادات!$B$2,IF(H616="مراجعة فقط",الإعدادات!$B$3,IF(H616="جرد فقط",الإعدادات!$B$4,0)))</f>
        <v>0</v>
      </c>
    </row>
    <row r="617">
      <c r="A617" s="4" t="n"/>
      <c r="B617" s="5" t="str">
        <f>IF(A617="","",IFERROR(INDEX('جدول الجرد'!$A$2:$A$29,MATCH(A617,'جدول الجرد'!$B$2:$B$29,0)),""))</f>
        <v/>
      </c>
      <c r="C617" s="5" t="str">
        <f>IF(A617="","",IFERROR(INDEX('جدول الجرد'!$E$2:$E$29,MATCH(A617,'جدول الجرد'!$B$2:$B$29,0)),""))</f>
        <v/>
      </c>
      <c r="D617" s="4" t="n"/>
      <c r="E617" s="4" t="n"/>
      <c r="F617" s="4" t="n"/>
      <c r="G617" s="4" t="n"/>
      <c r="H617" s="5" t="str">
        <f>IF(E617="","",IF(AND(F617="نعم",G617="نعم"),"جرد + مراجعة",IF(F617="نعم","جرد فقط",IF(G617="نعم","مراجعة فقط",""))))</f>
        <v/>
      </c>
      <c r="I617" s="9">
        <f>IF(H617="جرد + مراجعة",الإعدادات!$B$2,IF(H617="مراجعة فقط",الإعدادات!$B$3,IF(H617="جرد فقط",الإعدادات!$B$4,0)))</f>
        <v>0</v>
      </c>
    </row>
    <row r="618">
      <c r="A618" s="4" t="n"/>
      <c r="B618" s="5" t="str">
        <f>IF(A618="","",IFERROR(INDEX('جدول الجرد'!$A$2:$A$29,MATCH(A618,'جدول الجرد'!$B$2:$B$29,0)),""))</f>
        <v/>
      </c>
      <c r="C618" s="5" t="str">
        <f>IF(A618="","",IFERROR(INDEX('جدول الجرد'!$E$2:$E$29,MATCH(A618,'جدول الجرد'!$B$2:$B$29,0)),""))</f>
        <v/>
      </c>
      <c r="D618" s="4" t="n"/>
      <c r="E618" s="4" t="n"/>
      <c r="F618" s="4" t="n"/>
      <c r="G618" s="4" t="n"/>
      <c r="H618" s="5" t="str">
        <f>IF(E618="","",IF(AND(F618="نعم",G618="نعم"),"جرد + مراجعة",IF(F618="نعم","جرد فقط",IF(G618="نعم","مراجعة فقط",""))))</f>
        <v/>
      </c>
      <c r="I618" s="9">
        <f>IF(H618="جرد + مراجعة",الإعدادات!$B$2,IF(H618="مراجعة فقط",الإعدادات!$B$3,IF(H618="جرد فقط",الإعدادات!$B$4,0)))</f>
        <v>0</v>
      </c>
    </row>
    <row r="619">
      <c r="A619" s="4" t="n"/>
      <c r="B619" s="5" t="str">
        <f>IF(A619="","",IFERROR(INDEX('جدول الجرد'!$A$2:$A$29,MATCH(A619,'جدول الجرد'!$B$2:$B$29,0)),""))</f>
        <v/>
      </c>
      <c r="C619" s="5" t="str">
        <f>IF(A619="","",IFERROR(INDEX('جدول الجرد'!$E$2:$E$29,MATCH(A619,'جدول الجرد'!$B$2:$B$29,0)),""))</f>
        <v/>
      </c>
      <c r="D619" s="4" t="n"/>
      <c r="E619" s="4" t="n"/>
      <c r="F619" s="4" t="n"/>
      <c r="G619" s="4" t="n"/>
      <c r="H619" s="5" t="str">
        <f>IF(E619="","",IF(AND(F619="نعم",G619="نعم"),"جرد + مراجعة",IF(F619="نعم","جرد فقط",IF(G619="نعم","مراجعة فقط",""))))</f>
        <v/>
      </c>
      <c r="I619" s="9">
        <f>IF(H619="جرد + مراجعة",الإعدادات!$B$2,IF(H619="مراجعة فقط",الإعدادات!$B$3,IF(H619="جرد فقط",الإعدادات!$B$4,0)))</f>
        <v>0</v>
      </c>
    </row>
    <row r="620">
      <c r="A620" s="4" t="n"/>
      <c r="B620" s="5" t="str">
        <f>IF(A620="","",IFERROR(INDEX('جدول الجرد'!$A$2:$A$29,MATCH(A620,'جدول الجرد'!$B$2:$B$29,0)),""))</f>
        <v/>
      </c>
      <c r="C620" s="5" t="str">
        <f>IF(A620="","",IFERROR(INDEX('جدول الجرد'!$E$2:$E$29,MATCH(A620,'جدول الجرد'!$B$2:$B$29,0)),""))</f>
        <v/>
      </c>
      <c r="D620" s="4" t="n"/>
      <c r="E620" s="4" t="n"/>
      <c r="F620" s="4" t="n"/>
      <c r="G620" s="4" t="n"/>
      <c r="H620" s="5" t="str">
        <f>IF(E620="","",IF(AND(F620="نعم",G620="نعم"),"جرد + مراجعة",IF(F620="نعم","جرد فقط",IF(G620="نعم","مراجعة فقط",""))))</f>
        <v/>
      </c>
      <c r="I620" s="9">
        <f>IF(H620="جرد + مراجعة",الإعدادات!$B$2,IF(H620="مراجعة فقط",الإعدادات!$B$3,IF(H620="جرد فقط",الإعدادات!$B$4,0)))</f>
        <v>0</v>
      </c>
    </row>
    <row r="621">
      <c r="A621" s="4" t="n"/>
      <c r="B621" s="5" t="str">
        <f>IF(A621="","",IFERROR(INDEX('جدول الجرد'!$A$2:$A$29,MATCH(A621,'جدول الجرد'!$B$2:$B$29,0)),""))</f>
        <v/>
      </c>
      <c r="C621" s="5" t="str">
        <f>IF(A621="","",IFERROR(INDEX('جدول الجرد'!$E$2:$E$29,MATCH(A621,'جدول الجرد'!$B$2:$B$29,0)),""))</f>
        <v/>
      </c>
      <c r="D621" s="4" t="n"/>
      <c r="E621" s="4" t="n"/>
      <c r="F621" s="4" t="n"/>
      <c r="G621" s="4" t="n"/>
      <c r="H621" s="5" t="str">
        <f>IF(E621="","",IF(AND(F621="نعم",G621="نعم"),"جرد + مراجعة",IF(F621="نعم","جرد فقط",IF(G621="نعم","مراجعة فقط",""))))</f>
        <v/>
      </c>
      <c r="I621" s="9">
        <f>IF(H621="جرد + مراجعة",الإعدادات!$B$2,IF(H621="مراجعة فقط",الإعدادات!$B$3,IF(H621="جرد فقط",الإعدادات!$B$4,0)))</f>
        <v>0</v>
      </c>
    </row>
    <row r="622">
      <c r="A622" s="4" t="n"/>
      <c r="B622" s="5" t="str">
        <f>IF(A622="","",IFERROR(INDEX('جدول الجرد'!$A$2:$A$29,MATCH(A622,'جدول الجرد'!$B$2:$B$29,0)),""))</f>
        <v/>
      </c>
      <c r="C622" s="5" t="str">
        <f>IF(A622="","",IFERROR(INDEX('جدول الجرد'!$E$2:$E$29,MATCH(A622,'جدول الجرد'!$B$2:$B$29,0)),""))</f>
        <v/>
      </c>
      <c r="D622" s="4" t="n"/>
      <c r="E622" s="4" t="n"/>
      <c r="F622" s="4" t="n"/>
      <c r="G622" s="4" t="n"/>
      <c r="H622" s="5" t="str">
        <f>IF(E622="","",IF(AND(F622="نعم",G622="نعم"),"جرد + مراجعة",IF(F622="نعم","جرد فقط",IF(G622="نعم","مراجعة فقط",""))))</f>
        <v/>
      </c>
      <c r="I622" s="9">
        <f>IF(H622="جرد + مراجعة",الإعدادات!$B$2,IF(H622="مراجعة فقط",الإعدادات!$B$3,IF(H622="جرد فقط",الإعدادات!$B$4,0)))</f>
        <v>0</v>
      </c>
    </row>
    <row r="623">
      <c r="A623" s="4" t="n"/>
      <c r="B623" s="5" t="str">
        <f>IF(A623="","",IFERROR(INDEX('جدول الجرد'!$A$2:$A$29,MATCH(A623,'جدول الجرد'!$B$2:$B$29,0)),""))</f>
        <v/>
      </c>
      <c r="C623" s="5" t="str">
        <f>IF(A623="","",IFERROR(INDEX('جدول الجرد'!$E$2:$E$29,MATCH(A623,'جدول الجرد'!$B$2:$B$29,0)),""))</f>
        <v/>
      </c>
      <c r="D623" s="4" t="n"/>
      <c r="E623" s="4" t="n"/>
      <c r="F623" s="4" t="n"/>
      <c r="G623" s="4" t="n"/>
      <c r="H623" s="5" t="str">
        <f>IF(E623="","",IF(AND(F623="نعم",G623="نعم"),"جرد + مراجعة",IF(F623="نعم","جرد فقط",IF(G623="نعم","مراجعة فقط",""))))</f>
        <v/>
      </c>
      <c r="I623" s="9">
        <f>IF(H623="جرد + مراجعة",الإعدادات!$B$2,IF(H623="مراجعة فقط",الإعدادات!$B$3,IF(H623="جرد فقط",الإعدادات!$B$4,0)))</f>
        <v>0</v>
      </c>
    </row>
    <row r="624">
      <c r="A624" s="4" t="n"/>
      <c r="B624" s="5" t="str">
        <f>IF(A624="","",IFERROR(INDEX('جدول الجرد'!$A$2:$A$29,MATCH(A624,'جدول الجرد'!$B$2:$B$29,0)),""))</f>
        <v/>
      </c>
      <c r="C624" s="5" t="str">
        <f>IF(A624="","",IFERROR(INDEX('جدول الجرد'!$E$2:$E$29,MATCH(A624,'جدول الجرد'!$B$2:$B$29,0)),""))</f>
        <v/>
      </c>
      <c r="D624" s="4" t="n"/>
      <c r="E624" s="4" t="n"/>
      <c r="F624" s="4" t="n"/>
      <c r="G624" s="4" t="n"/>
      <c r="H624" s="5" t="str">
        <f>IF(E624="","",IF(AND(F624="نعم",G624="نعم"),"جرد + مراجعة",IF(F624="نعم","جرد فقط",IF(G624="نعم","مراجعة فقط",""))))</f>
        <v/>
      </c>
      <c r="I624" s="9">
        <f>IF(H624="جرد + مراجعة",الإعدادات!$B$2,IF(H624="مراجعة فقط",الإعدادات!$B$3,IF(H624="جرد فقط",الإعدادات!$B$4,0)))</f>
        <v>0</v>
      </c>
    </row>
    <row r="625">
      <c r="A625" s="4" t="n"/>
      <c r="B625" s="5" t="str">
        <f>IF(A625="","",IFERROR(INDEX('جدول الجرد'!$A$2:$A$29,MATCH(A625,'جدول الجرد'!$B$2:$B$29,0)),""))</f>
        <v/>
      </c>
      <c r="C625" s="5" t="str">
        <f>IF(A625="","",IFERROR(INDEX('جدول الجرد'!$E$2:$E$29,MATCH(A625,'جدول الجرد'!$B$2:$B$29,0)),""))</f>
        <v/>
      </c>
      <c r="D625" s="4" t="n"/>
      <c r="E625" s="4" t="n"/>
      <c r="F625" s="4" t="n"/>
      <c r="G625" s="4" t="n"/>
      <c r="H625" s="5" t="str">
        <f>IF(E625="","",IF(AND(F625="نعم",G625="نعم"),"جرد + مراجعة",IF(F625="نعم","جرد فقط",IF(G625="نعم","مراجعة فقط",""))))</f>
        <v/>
      </c>
      <c r="I625" s="9">
        <f>IF(H625="جرد + مراجعة",الإعدادات!$B$2,IF(H625="مراجعة فقط",الإعدادات!$B$3,IF(H625="جرد فقط",الإعدادات!$B$4,0)))</f>
        <v>0</v>
      </c>
    </row>
    <row r="626">
      <c r="A626" s="4" t="n"/>
      <c r="B626" s="5" t="str">
        <f>IF(A626="","",IFERROR(INDEX('جدول الجرد'!$A$2:$A$29,MATCH(A626,'جدول الجرد'!$B$2:$B$29,0)),""))</f>
        <v/>
      </c>
      <c r="C626" s="5" t="str">
        <f>IF(A626="","",IFERROR(INDEX('جدول الجرد'!$E$2:$E$29,MATCH(A626,'جدول الجرد'!$B$2:$B$29,0)),""))</f>
        <v/>
      </c>
      <c r="D626" s="4" t="n"/>
      <c r="E626" s="4" t="n"/>
      <c r="F626" s="4" t="n"/>
      <c r="G626" s="4" t="n"/>
      <c r="H626" s="5" t="str">
        <f>IF(E626="","",IF(AND(F626="نعم",G626="نعم"),"جرد + مراجعة",IF(F626="نعم","جرد فقط",IF(G626="نعم","مراجعة فقط",""))))</f>
        <v/>
      </c>
      <c r="I626" s="9">
        <f>IF(H626="جرد + مراجعة",الإعدادات!$B$2,IF(H626="مراجعة فقط",الإعدادات!$B$3,IF(H626="جرد فقط",الإعدادات!$B$4,0)))</f>
        <v>0</v>
      </c>
    </row>
    <row r="627">
      <c r="A627" s="4" t="n"/>
      <c r="B627" s="5" t="str">
        <f>IF(A627="","",IFERROR(INDEX('جدول الجرد'!$A$2:$A$29,MATCH(A627,'جدول الجرد'!$B$2:$B$29,0)),""))</f>
        <v/>
      </c>
      <c r="C627" s="5" t="str">
        <f>IF(A627="","",IFERROR(INDEX('جدول الجرد'!$E$2:$E$29,MATCH(A627,'جدول الجرد'!$B$2:$B$29,0)),""))</f>
        <v/>
      </c>
      <c r="D627" s="4" t="n"/>
      <c r="E627" s="4" t="n"/>
      <c r="F627" s="4" t="n"/>
      <c r="G627" s="4" t="n"/>
      <c r="H627" s="5" t="str">
        <f>IF(E627="","",IF(AND(F627="نعم",G627="نعم"),"جرد + مراجعة",IF(F627="نعم","جرد فقط",IF(G627="نعم","مراجعة فقط",""))))</f>
        <v/>
      </c>
      <c r="I627" s="9">
        <f>IF(H627="جرد + مراجعة",الإعدادات!$B$2,IF(H627="مراجعة فقط",الإعدادات!$B$3,IF(H627="جرد فقط",الإعدادات!$B$4,0)))</f>
        <v>0</v>
      </c>
    </row>
    <row r="628">
      <c r="A628" s="4" t="n"/>
      <c r="B628" s="5" t="str">
        <f>IF(A628="","",IFERROR(INDEX('جدول الجرد'!$A$2:$A$29,MATCH(A628,'جدول الجرد'!$B$2:$B$29,0)),""))</f>
        <v/>
      </c>
      <c r="C628" s="5" t="str">
        <f>IF(A628="","",IFERROR(INDEX('جدول الجرد'!$E$2:$E$29,MATCH(A628,'جدول الجرد'!$B$2:$B$29,0)),""))</f>
        <v/>
      </c>
      <c r="D628" s="4" t="n"/>
      <c r="E628" s="4" t="n"/>
      <c r="F628" s="4" t="n"/>
      <c r="G628" s="4" t="n"/>
      <c r="H628" s="5" t="str">
        <f>IF(E628="","",IF(AND(F628="نعم",G628="نعم"),"جرد + مراجعة",IF(F628="نعم","جرد فقط",IF(G628="نعم","مراجعة فقط",""))))</f>
        <v/>
      </c>
      <c r="I628" s="9">
        <f>IF(H628="جرد + مراجعة",الإعدادات!$B$2,IF(H628="مراجعة فقط",الإعدادات!$B$3,IF(H628="جرد فقط",الإعدادات!$B$4,0)))</f>
        <v>0</v>
      </c>
    </row>
    <row r="629">
      <c r="A629" s="4" t="n"/>
      <c r="B629" s="5" t="str">
        <f>IF(A629="","",IFERROR(INDEX('جدول الجرد'!$A$2:$A$29,MATCH(A629,'جدول الجرد'!$B$2:$B$29,0)),""))</f>
        <v/>
      </c>
      <c r="C629" s="5" t="str">
        <f>IF(A629="","",IFERROR(INDEX('جدول الجرد'!$E$2:$E$29,MATCH(A629,'جدول الجرد'!$B$2:$B$29,0)),""))</f>
        <v/>
      </c>
      <c r="D629" s="4" t="n"/>
      <c r="E629" s="4" t="n"/>
      <c r="F629" s="4" t="n"/>
      <c r="G629" s="4" t="n"/>
      <c r="H629" s="5" t="str">
        <f>IF(E629="","",IF(AND(F629="نعم",G629="نعم"),"جرد + مراجعة",IF(F629="نعم","جرد فقط",IF(G629="نعم","مراجعة فقط",""))))</f>
        <v/>
      </c>
      <c r="I629" s="9">
        <f>IF(H629="جرد + مراجعة",الإعدادات!$B$2,IF(H629="مراجعة فقط",الإعدادات!$B$3,IF(H629="جرد فقط",الإعدادات!$B$4,0)))</f>
        <v>0</v>
      </c>
    </row>
    <row r="630">
      <c r="A630" s="4" t="n"/>
      <c r="B630" s="5" t="str">
        <f>IF(A630="","",IFERROR(INDEX('جدول الجرد'!$A$2:$A$29,MATCH(A630,'جدول الجرد'!$B$2:$B$29,0)),""))</f>
        <v/>
      </c>
      <c r="C630" s="5" t="str">
        <f>IF(A630="","",IFERROR(INDEX('جدول الجرد'!$E$2:$E$29,MATCH(A630,'جدول الجرد'!$B$2:$B$29,0)),""))</f>
        <v/>
      </c>
      <c r="D630" s="4" t="n"/>
      <c r="E630" s="4" t="n"/>
      <c r="F630" s="4" t="n"/>
      <c r="G630" s="4" t="n"/>
      <c r="H630" s="5" t="str">
        <f>IF(E630="","",IF(AND(F630="نعم",G630="نعم"),"جرد + مراجعة",IF(F630="نعم","جرد فقط",IF(G630="نعم","مراجعة فقط",""))))</f>
        <v/>
      </c>
      <c r="I630" s="9">
        <f>IF(H630="جرد + مراجعة",الإعدادات!$B$2,IF(H630="مراجعة فقط",الإعدادات!$B$3,IF(H630="جرد فقط",الإعدادات!$B$4,0)))</f>
        <v>0</v>
      </c>
    </row>
    <row r="631">
      <c r="A631" s="4" t="n"/>
      <c r="B631" s="5" t="str">
        <f>IF(A631="","",IFERROR(INDEX('جدول الجرد'!$A$2:$A$29,MATCH(A631,'جدول الجرد'!$B$2:$B$29,0)),""))</f>
        <v/>
      </c>
      <c r="C631" s="5" t="str">
        <f>IF(A631="","",IFERROR(INDEX('جدول الجرد'!$E$2:$E$29,MATCH(A631,'جدول الجرد'!$B$2:$B$29,0)),""))</f>
        <v/>
      </c>
      <c r="D631" s="4" t="n"/>
      <c r="E631" s="4" t="n"/>
      <c r="F631" s="4" t="n"/>
      <c r="G631" s="4" t="n"/>
      <c r="H631" s="5" t="str">
        <f>IF(E631="","",IF(AND(F631="نعم",G631="نعم"),"جرد + مراجعة",IF(F631="نعم","جرد فقط",IF(G631="نعم","مراجعة فقط",""))))</f>
        <v/>
      </c>
      <c r="I631" s="9">
        <f>IF(H631="جرد + مراجعة",الإعدادات!$B$2,IF(H631="مراجعة فقط",الإعدادات!$B$3,IF(H631="جرد فقط",الإعدادات!$B$4,0)))</f>
        <v>0</v>
      </c>
    </row>
    <row r="632">
      <c r="A632" s="4" t="n"/>
      <c r="B632" s="5" t="str">
        <f>IF(A632="","",IFERROR(INDEX('جدول الجرد'!$A$2:$A$29,MATCH(A632,'جدول الجرد'!$B$2:$B$29,0)),""))</f>
        <v/>
      </c>
      <c r="C632" s="5" t="str">
        <f>IF(A632="","",IFERROR(INDEX('جدول الجرد'!$E$2:$E$29,MATCH(A632,'جدول الجرد'!$B$2:$B$29,0)),""))</f>
        <v/>
      </c>
      <c r="D632" s="4" t="n"/>
      <c r="E632" s="4" t="n"/>
      <c r="F632" s="4" t="n"/>
      <c r="G632" s="4" t="n"/>
      <c r="H632" s="5" t="str">
        <f>IF(E632="","",IF(AND(F632="نعم",G632="نعم"),"جرد + مراجعة",IF(F632="نعم","جرد فقط",IF(G632="نعم","مراجعة فقط",""))))</f>
        <v/>
      </c>
      <c r="I632" s="9">
        <f>IF(H632="جرد + مراجعة",الإعدادات!$B$2,IF(H632="مراجعة فقط",الإعدادات!$B$3,IF(H632="جرد فقط",الإعدادات!$B$4,0)))</f>
        <v>0</v>
      </c>
    </row>
    <row r="633">
      <c r="A633" s="4" t="n"/>
      <c r="B633" s="5" t="str">
        <f>IF(A633="","",IFERROR(INDEX('جدول الجرد'!$A$2:$A$29,MATCH(A633,'جدول الجرد'!$B$2:$B$29,0)),""))</f>
        <v/>
      </c>
      <c r="C633" s="5" t="str">
        <f>IF(A633="","",IFERROR(INDEX('جدول الجرد'!$E$2:$E$29,MATCH(A633,'جدول الجرد'!$B$2:$B$29,0)),""))</f>
        <v/>
      </c>
      <c r="D633" s="4" t="n"/>
      <c r="E633" s="4" t="n"/>
      <c r="F633" s="4" t="n"/>
      <c r="G633" s="4" t="n"/>
      <c r="H633" s="5" t="str">
        <f>IF(E633="","",IF(AND(F633="نعم",G633="نعم"),"جرد + مراجعة",IF(F633="نعم","جرد فقط",IF(G633="نعم","مراجعة فقط",""))))</f>
        <v/>
      </c>
      <c r="I633" s="9">
        <f>IF(H633="جرد + مراجعة",الإعدادات!$B$2,IF(H633="مراجعة فقط",الإعدادات!$B$3,IF(H633="جرد فقط",الإعدادات!$B$4,0)))</f>
        <v>0</v>
      </c>
    </row>
    <row r="634">
      <c r="A634" s="4" t="n"/>
      <c r="B634" s="5" t="str">
        <f>IF(A634="","",IFERROR(INDEX('جدول الجرد'!$A$2:$A$29,MATCH(A634,'جدول الجرد'!$B$2:$B$29,0)),""))</f>
        <v/>
      </c>
      <c r="C634" s="5" t="str">
        <f>IF(A634="","",IFERROR(INDEX('جدول الجرد'!$E$2:$E$29,MATCH(A634,'جدول الجرد'!$B$2:$B$29,0)),""))</f>
        <v/>
      </c>
      <c r="D634" s="4" t="n"/>
      <c r="E634" s="4" t="n"/>
      <c r="F634" s="4" t="n"/>
      <c r="G634" s="4" t="n"/>
      <c r="H634" s="5" t="str">
        <f>IF(E634="","",IF(AND(F634="نعم",G634="نعم"),"جرد + مراجعة",IF(F634="نعم","جرد فقط",IF(G634="نعم","مراجعة فقط",""))))</f>
        <v/>
      </c>
      <c r="I634" s="9">
        <f>IF(H634="جرد + مراجعة",الإعدادات!$B$2,IF(H634="مراجعة فقط",الإعدادات!$B$3,IF(H634="جرد فقط",الإعدادات!$B$4,0)))</f>
        <v>0</v>
      </c>
    </row>
    <row r="635">
      <c r="A635" s="4" t="n"/>
      <c r="B635" s="5" t="str">
        <f>IF(A635="","",IFERROR(INDEX('جدول الجرد'!$A$2:$A$29,MATCH(A635,'جدول الجرد'!$B$2:$B$29,0)),""))</f>
        <v/>
      </c>
      <c r="C635" s="5" t="str">
        <f>IF(A635="","",IFERROR(INDEX('جدول الجرد'!$E$2:$E$29,MATCH(A635,'جدول الجرد'!$B$2:$B$29,0)),""))</f>
        <v/>
      </c>
      <c r="D635" s="4" t="n"/>
      <c r="E635" s="4" t="n"/>
      <c r="F635" s="4" t="n"/>
      <c r="G635" s="4" t="n"/>
      <c r="H635" s="5" t="str">
        <f>IF(E635="","",IF(AND(F635="نعم",G635="نعم"),"جرد + مراجعة",IF(F635="نعم","جرد فقط",IF(G635="نعم","مراجعة فقط",""))))</f>
        <v/>
      </c>
      <c r="I635" s="9">
        <f>IF(H635="جرد + مراجعة",الإعدادات!$B$2,IF(H635="مراجعة فقط",الإعدادات!$B$3,IF(H635="جرد فقط",الإعدادات!$B$4,0)))</f>
        <v>0</v>
      </c>
    </row>
    <row r="636">
      <c r="A636" s="4" t="n"/>
      <c r="B636" s="5" t="str">
        <f>IF(A636="","",IFERROR(INDEX('جدول الجرد'!$A$2:$A$29,MATCH(A636,'جدول الجرد'!$B$2:$B$29,0)),""))</f>
        <v/>
      </c>
      <c r="C636" s="5" t="str">
        <f>IF(A636="","",IFERROR(INDEX('جدول الجرد'!$E$2:$E$29,MATCH(A636,'جدول الجرد'!$B$2:$B$29,0)),""))</f>
        <v/>
      </c>
      <c r="D636" s="4" t="n"/>
      <c r="E636" s="4" t="n"/>
      <c r="F636" s="4" t="n"/>
      <c r="G636" s="4" t="n"/>
      <c r="H636" s="5" t="str">
        <f>IF(E636="","",IF(AND(F636="نعم",G636="نعم"),"جرد + مراجعة",IF(F636="نعم","جرد فقط",IF(G636="نعم","مراجعة فقط",""))))</f>
        <v/>
      </c>
      <c r="I636" s="9">
        <f>IF(H636="جرد + مراجعة",الإعدادات!$B$2,IF(H636="مراجعة فقط",الإعدادات!$B$3,IF(H636="جرد فقط",الإعدادات!$B$4,0)))</f>
        <v>0</v>
      </c>
    </row>
    <row r="637">
      <c r="A637" s="4" t="n"/>
      <c r="B637" s="5" t="str">
        <f>IF(A637="","",IFERROR(INDEX('جدول الجرد'!$A$2:$A$29,MATCH(A637,'جدول الجرد'!$B$2:$B$29,0)),""))</f>
        <v/>
      </c>
      <c r="C637" s="5" t="str">
        <f>IF(A637="","",IFERROR(INDEX('جدول الجرد'!$E$2:$E$29,MATCH(A637,'جدول الجرد'!$B$2:$B$29,0)),""))</f>
        <v/>
      </c>
      <c r="D637" s="4" t="n"/>
      <c r="E637" s="4" t="n"/>
      <c r="F637" s="4" t="n"/>
      <c r="G637" s="4" t="n"/>
      <c r="H637" s="5" t="str">
        <f>IF(E637="","",IF(AND(F637="نعم",G637="نعم"),"جرد + مراجعة",IF(F637="نعم","جرد فقط",IF(G637="نعم","مراجعة فقط",""))))</f>
        <v/>
      </c>
      <c r="I637" s="9">
        <f>IF(H637="جرد + مراجعة",الإعدادات!$B$2,IF(H637="مراجعة فقط",الإعدادات!$B$3,IF(H637="جرد فقط",الإعدادات!$B$4,0)))</f>
        <v>0</v>
      </c>
    </row>
    <row r="638">
      <c r="A638" s="4" t="n"/>
      <c r="B638" s="5" t="str">
        <f>IF(A638="","",IFERROR(INDEX('جدول الجرد'!$A$2:$A$29,MATCH(A638,'جدول الجرد'!$B$2:$B$29,0)),""))</f>
        <v/>
      </c>
      <c r="C638" s="5" t="str">
        <f>IF(A638="","",IFERROR(INDEX('جدول الجرد'!$E$2:$E$29,MATCH(A638,'جدول الجرد'!$B$2:$B$29,0)),""))</f>
        <v/>
      </c>
      <c r="D638" s="4" t="n"/>
      <c r="E638" s="4" t="n"/>
      <c r="F638" s="4" t="n"/>
      <c r="G638" s="4" t="n"/>
      <c r="H638" s="5" t="str">
        <f>IF(E638="","",IF(AND(F638="نعم",G638="نعم"),"جرد + مراجعة",IF(F638="نعم","جرد فقط",IF(G638="نعم","مراجعة فقط",""))))</f>
        <v/>
      </c>
      <c r="I638" s="9">
        <f>IF(H638="جرد + مراجعة",الإعدادات!$B$2,IF(H638="مراجعة فقط",الإعدادات!$B$3,IF(H638="جرد فقط",الإعدادات!$B$4,0)))</f>
        <v>0</v>
      </c>
    </row>
    <row r="639">
      <c r="A639" s="4" t="n"/>
      <c r="B639" s="5" t="str">
        <f>IF(A639="","",IFERROR(INDEX('جدول الجرد'!$A$2:$A$29,MATCH(A639,'جدول الجرد'!$B$2:$B$29,0)),""))</f>
        <v/>
      </c>
      <c r="C639" s="5" t="str">
        <f>IF(A639="","",IFERROR(INDEX('جدول الجرد'!$E$2:$E$29,MATCH(A639,'جدول الجرد'!$B$2:$B$29,0)),""))</f>
        <v/>
      </c>
      <c r="D639" s="4" t="n"/>
      <c r="E639" s="4" t="n"/>
      <c r="F639" s="4" t="n"/>
      <c r="G639" s="4" t="n"/>
      <c r="H639" s="5" t="str">
        <f>IF(E639="","",IF(AND(F639="نعم",G639="نعم"),"جرد + مراجعة",IF(F639="نعم","جرد فقط",IF(G639="نعم","مراجعة فقط",""))))</f>
        <v/>
      </c>
      <c r="I639" s="9">
        <f>IF(H639="جرد + مراجعة",الإعدادات!$B$2,IF(H639="مراجعة فقط",الإعدادات!$B$3,IF(H639="جرد فقط",الإعدادات!$B$4,0)))</f>
        <v>0</v>
      </c>
    </row>
    <row r="640">
      <c r="A640" s="4" t="n"/>
      <c r="B640" s="5" t="str">
        <f>IF(A640="","",IFERROR(INDEX('جدول الجرد'!$A$2:$A$29,MATCH(A640,'جدول الجرد'!$B$2:$B$29,0)),""))</f>
        <v/>
      </c>
      <c r="C640" s="5" t="str">
        <f>IF(A640="","",IFERROR(INDEX('جدول الجرد'!$E$2:$E$29,MATCH(A640,'جدول الجرد'!$B$2:$B$29,0)),""))</f>
        <v/>
      </c>
      <c r="D640" s="4" t="n"/>
      <c r="E640" s="4" t="n"/>
      <c r="F640" s="4" t="n"/>
      <c r="G640" s="4" t="n"/>
      <c r="H640" s="5" t="str">
        <f>IF(E640="","",IF(AND(F640="نعم",G640="نعم"),"جرد + مراجعة",IF(F640="نعم","جرد فقط",IF(G640="نعم","مراجعة فقط",""))))</f>
        <v/>
      </c>
      <c r="I640" s="9">
        <f>IF(H640="جرد + مراجعة",الإعدادات!$B$2,IF(H640="مراجعة فقط",الإعدادات!$B$3,IF(H640="جرد فقط",الإعدادات!$B$4,0)))</f>
        <v>0</v>
      </c>
    </row>
    <row r="641">
      <c r="A641" s="4" t="n"/>
      <c r="B641" s="5" t="str">
        <f>IF(A641="","",IFERROR(INDEX('جدول الجرد'!$A$2:$A$29,MATCH(A641,'جدول الجرد'!$B$2:$B$29,0)),""))</f>
        <v/>
      </c>
      <c r="C641" s="5" t="str">
        <f>IF(A641="","",IFERROR(INDEX('جدول الجرد'!$E$2:$E$29,MATCH(A641,'جدول الجرد'!$B$2:$B$29,0)),""))</f>
        <v/>
      </c>
      <c r="D641" s="4" t="n"/>
      <c r="E641" s="4" t="n"/>
      <c r="F641" s="4" t="n"/>
      <c r="G641" s="4" t="n"/>
      <c r="H641" s="5" t="str">
        <f>IF(E641="","",IF(AND(F641="نعم",G641="نعم"),"جرد + مراجعة",IF(F641="نعم","جرد فقط",IF(G641="نعم","مراجعة فقط",""))))</f>
        <v/>
      </c>
      <c r="I641" s="9">
        <f>IF(H641="جرد + مراجعة",الإعدادات!$B$2,IF(H641="مراجعة فقط",الإعدادات!$B$3,IF(H641="جرد فقط",الإعدادات!$B$4,0)))</f>
        <v>0</v>
      </c>
    </row>
    <row r="642">
      <c r="A642" s="4" t="n"/>
      <c r="B642" s="5" t="str">
        <f>IF(A642="","",IFERROR(INDEX('جدول الجرد'!$A$2:$A$29,MATCH(A642,'جدول الجرد'!$B$2:$B$29,0)),""))</f>
        <v/>
      </c>
      <c r="C642" s="5" t="str">
        <f>IF(A642="","",IFERROR(INDEX('جدول الجرد'!$E$2:$E$29,MATCH(A642,'جدول الجرد'!$B$2:$B$29,0)),""))</f>
        <v/>
      </c>
      <c r="D642" s="4" t="n"/>
      <c r="E642" s="4" t="n"/>
      <c r="F642" s="4" t="n"/>
      <c r="G642" s="4" t="n"/>
      <c r="H642" s="5" t="str">
        <f>IF(E642="","",IF(AND(F642="نعم",G642="نعم"),"جرد + مراجعة",IF(F642="نعم","جرد فقط",IF(G642="نعم","مراجعة فقط",""))))</f>
        <v/>
      </c>
      <c r="I642" s="9">
        <f>IF(H642="جرد + مراجعة",الإعدادات!$B$2,IF(H642="مراجعة فقط",الإعدادات!$B$3,IF(H642="جرد فقط",الإعدادات!$B$4,0)))</f>
        <v>0</v>
      </c>
    </row>
    <row r="643">
      <c r="A643" s="4" t="n"/>
      <c r="B643" s="5" t="str">
        <f>IF(A643="","",IFERROR(INDEX('جدول الجرد'!$A$2:$A$29,MATCH(A643,'جدول الجرد'!$B$2:$B$29,0)),""))</f>
        <v/>
      </c>
      <c r="C643" s="5" t="str">
        <f>IF(A643="","",IFERROR(INDEX('جدول الجرد'!$E$2:$E$29,MATCH(A643,'جدول الجرد'!$B$2:$B$29,0)),""))</f>
        <v/>
      </c>
      <c r="D643" s="4" t="n"/>
      <c r="E643" s="4" t="n"/>
      <c r="F643" s="4" t="n"/>
      <c r="G643" s="4" t="n"/>
      <c r="H643" s="5" t="str">
        <f>IF(E643="","",IF(AND(F643="نعم",G643="نعم"),"جرد + مراجعة",IF(F643="نعم","جرد فقط",IF(G643="نعم","مراجعة فقط",""))))</f>
        <v/>
      </c>
      <c r="I643" s="9">
        <f>IF(H643="جرد + مراجعة",الإعدادات!$B$2,IF(H643="مراجعة فقط",الإعدادات!$B$3,IF(H643="جرد فقط",الإعدادات!$B$4,0)))</f>
        <v>0</v>
      </c>
    </row>
    <row r="644">
      <c r="A644" s="4" t="n"/>
      <c r="B644" s="5" t="str">
        <f>IF(A644="","",IFERROR(INDEX('جدول الجرد'!$A$2:$A$29,MATCH(A644,'جدول الجرد'!$B$2:$B$29,0)),""))</f>
        <v/>
      </c>
      <c r="C644" s="5" t="str">
        <f>IF(A644="","",IFERROR(INDEX('جدول الجرد'!$E$2:$E$29,MATCH(A644,'جدول الجرد'!$B$2:$B$29,0)),""))</f>
        <v/>
      </c>
      <c r="D644" s="4" t="n"/>
      <c r="E644" s="4" t="n"/>
      <c r="F644" s="4" t="n"/>
      <c r="G644" s="4" t="n"/>
      <c r="H644" s="5" t="str">
        <f>IF(E644="","",IF(AND(F644="نعم",G644="نعم"),"جرد + مراجعة",IF(F644="نعم","جرد فقط",IF(G644="نعم","مراجعة فقط",""))))</f>
        <v/>
      </c>
      <c r="I644" s="9">
        <f>IF(H644="جرد + مراجعة",الإعدادات!$B$2,IF(H644="مراجعة فقط",الإعدادات!$B$3,IF(H644="جرد فقط",الإعدادات!$B$4,0)))</f>
        <v>0</v>
      </c>
    </row>
    <row r="645">
      <c r="A645" s="4" t="n"/>
      <c r="B645" s="5" t="str">
        <f>IF(A645="","",IFERROR(INDEX('جدول الجرد'!$A$2:$A$29,MATCH(A645,'جدول الجرد'!$B$2:$B$29,0)),""))</f>
        <v/>
      </c>
      <c r="C645" s="5" t="str">
        <f>IF(A645="","",IFERROR(INDEX('جدول الجرد'!$E$2:$E$29,MATCH(A645,'جدول الجرد'!$B$2:$B$29,0)),""))</f>
        <v/>
      </c>
      <c r="D645" s="4" t="n"/>
      <c r="E645" s="4" t="n"/>
      <c r="F645" s="4" t="n"/>
      <c r="G645" s="4" t="n"/>
      <c r="H645" s="5" t="str">
        <f>IF(E645="","",IF(AND(F645="نعم",G645="نعم"),"جرد + مراجعة",IF(F645="نعم","جرد فقط",IF(G645="نعم","مراجعة فقط",""))))</f>
        <v/>
      </c>
      <c r="I645" s="9">
        <f>IF(H645="جرد + مراجعة",الإعدادات!$B$2,IF(H645="مراجعة فقط",الإعدادات!$B$3,IF(H645="جرد فقط",الإعدادات!$B$4,0)))</f>
        <v>0</v>
      </c>
    </row>
    <row r="646">
      <c r="A646" s="4" t="n"/>
      <c r="B646" s="5" t="str">
        <f>IF(A646="","",IFERROR(INDEX('جدول الجرد'!$A$2:$A$29,MATCH(A646,'جدول الجرد'!$B$2:$B$29,0)),""))</f>
        <v/>
      </c>
      <c r="C646" s="5" t="str">
        <f>IF(A646="","",IFERROR(INDEX('جدول الجرد'!$E$2:$E$29,MATCH(A646,'جدول الجرد'!$B$2:$B$29,0)),""))</f>
        <v/>
      </c>
      <c r="D646" s="4" t="n"/>
      <c r="E646" s="4" t="n"/>
      <c r="F646" s="4" t="n"/>
      <c r="G646" s="4" t="n"/>
      <c r="H646" s="5" t="str">
        <f>IF(E646="","",IF(AND(F646="نعم",G646="نعم"),"جرد + مراجعة",IF(F646="نعم","جرد فقط",IF(G646="نعم","مراجعة فقط",""))))</f>
        <v/>
      </c>
      <c r="I646" s="9">
        <f>IF(H646="جرد + مراجعة",الإعدادات!$B$2,IF(H646="مراجعة فقط",الإعدادات!$B$3,IF(H646="جرد فقط",الإعدادات!$B$4,0)))</f>
        <v>0</v>
      </c>
    </row>
    <row r="647">
      <c r="A647" s="4" t="n"/>
      <c r="B647" s="5" t="str">
        <f>IF(A647="","",IFERROR(INDEX('جدول الجرد'!$A$2:$A$29,MATCH(A647,'جدول الجرد'!$B$2:$B$29,0)),""))</f>
        <v/>
      </c>
      <c r="C647" s="5" t="str">
        <f>IF(A647="","",IFERROR(INDEX('جدول الجرد'!$E$2:$E$29,MATCH(A647,'جدول الجرد'!$B$2:$B$29,0)),""))</f>
        <v/>
      </c>
      <c r="D647" s="4" t="n"/>
      <c r="E647" s="4" t="n"/>
      <c r="F647" s="4" t="n"/>
      <c r="G647" s="4" t="n"/>
      <c r="H647" s="5" t="str">
        <f>IF(E647="","",IF(AND(F647="نعم",G647="نعم"),"جرد + مراجعة",IF(F647="نعم","جرد فقط",IF(G647="نعم","مراجعة فقط",""))))</f>
        <v/>
      </c>
      <c r="I647" s="9">
        <f>IF(H647="جرد + مراجعة",الإعدادات!$B$2,IF(H647="مراجعة فقط",الإعدادات!$B$3,IF(H647="جرد فقط",الإعدادات!$B$4,0)))</f>
        <v>0</v>
      </c>
    </row>
    <row r="648">
      <c r="A648" s="4" t="n"/>
      <c r="B648" s="5" t="str">
        <f>IF(A648="","",IFERROR(INDEX('جدول الجرد'!$A$2:$A$29,MATCH(A648,'جدول الجرد'!$B$2:$B$29,0)),""))</f>
        <v/>
      </c>
      <c r="C648" s="5" t="str">
        <f>IF(A648="","",IFERROR(INDEX('جدول الجرد'!$E$2:$E$29,MATCH(A648,'جدول الجرد'!$B$2:$B$29,0)),""))</f>
        <v/>
      </c>
      <c r="D648" s="4" t="n"/>
      <c r="E648" s="4" t="n"/>
      <c r="F648" s="4" t="n"/>
      <c r="G648" s="4" t="n"/>
      <c r="H648" s="5" t="str">
        <f>IF(E648="","",IF(AND(F648="نعم",G648="نعم"),"جرد + مراجعة",IF(F648="نعم","جرد فقط",IF(G648="نعم","مراجعة فقط",""))))</f>
        <v/>
      </c>
      <c r="I648" s="9">
        <f>IF(H648="جرد + مراجعة",الإعدادات!$B$2,IF(H648="مراجعة فقط",الإعدادات!$B$3,IF(H648="جرد فقط",الإعدادات!$B$4,0)))</f>
        <v>0</v>
      </c>
    </row>
    <row r="649">
      <c r="A649" s="4" t="n"/>
      <c r="B649" s="5" t="str">
        <f>IF(A649="","",IFERROR(INDEX('جدول الجرد'!$A$2:$A$29,MATCH(A649,'جدول الجرد'!$B$2:$B$29,0)),""))</f>
        <v/>
      </c>
      <c r="C649" s="5" t="str">
        <f>IF(A649="","",IFERROR(INDEX('جدول الجرد'!$E$2:$E$29,MATCH(A649,'جدول الجرد'!$B$2:$B$29,0)),""))</f>
        <v/>
      </c>
      <c r="D649" s="4" t="n"/>
      <c r="E649" s="4" t="n"/>
      <c r="F649" s="4" t="n"/>
      <c r="G649" s="4" t="n"/>
      <c r="H649" s="5" t="str">
        <f>IF(E649="","",IF(AND(F649="نعم",G649="نعم"),"جرد + مراجعة",IF(F649="نعم","جرد فقط",IF(G649="نعم","مراجعة فقط",""))))</f>
        <v/>
      </c>
      <c r="I649" s="9">
        <f>IF(H649="جرد + مراجعة",الإعدادات!$B$2,IF(H649="مراجعة فقط",الإعدادات!$B$3,IF(H649="جرد فقط",الإعدادات!$B$4,0)))</f>
        <v>0</v>
      </c>
    </row>
    <row r="650">
      <c r="A650" s="4" t="n"/>
      <c r="B650" s="5" t="str">
        <f>IF(A650="","",IFERROR(INDEX('جدول الجرد'!$A$2:$A$29,MATCH(A650,'جدول الجرد'!$B$2:$B$29,0)),""))</f>
        <v/>
      </c>
      <c r="C650" s="5" t="str">
        <f>IF(A650="","",IFERROR(INDEX('جدول الجرد'!$E$2:$E$29,MATCH(A650,'جدول الجرد'!$B$2:$B$29,0)),""))</f>
        <v/>
      </c>
      <c r="D650" s="4" t="n"/>
      <c r="E650" s="4" t="n"/>
      <c r="F650" s="4" t="n"/>
      <c r="G650" s="4" t="n"/>
      <c r="H650" s="5" t="str">
        <f>IF(E650="","",IF(AND(F650="نعم",G650="نعم"),"جرد + مراجعة",IF(F650="نعم","جرد فقط",IF(G650="نعم","مراجعة فقط",""))))</f>
        <v/>
      </c>
      <c r="I650" s="9">
        <f>IF(H650="جرد + مراجعة",الإعدادات!$B$2,IF(H650="مراجعة فقط",الإعدادات!$B$3,IF(H650="جرد فقط",الإعدادات!$B$4,0)))</f>
        <v>0</v>
      </c>
    </row>
    <row r="651">
      <c r="A651" s="4" t="n"/>
      <c r="B651" s="5" t="str">
        <f>IF(A651="","",IFERROR(INDEX('جدول الجرد'!$A$2:$A$29,MATCH(A651,'جدول الجرد'!$B$2:$B$29,0)),""))</f>
        <v/>
      </c>
      <c r="C651" s="5" t="str">
        <f>IF(A651="","",IFERROR(INDEX('جدول الجرد'!$E$2:$E$29,MATCH(A651,'جدول الجرد'!$B$2:$B$29,0)),""))</f>
        <v/>
      </c>
      <c r="D651" s="4" t="n"/>
      <c r="E651" s="4" t="n"/>
      <c r="F651" s="4" t="n"/>
      <c r="G651" s="4" t="n"/>
      <c r="H651" s="5" t="str">
        <f>IF(E651="","",IF(AND(F651="نعم",G651="نعم"),"جرد + مراجعة",IF(F651="نعم","جرد فقط",IF(G651="نعم","مراجعة فقط",""))))</f>
        <v/>
      </c>
      <c r="I651" s="9">
        <f>IF(H651="جرد + مراجعة",الإعدادات!$B$2,IF(H651="مراجعة فقط",الإعدادات!$B$3,IF(H651="جرد فقط",الإعدادات!$B$4,0)))</f>
        <v>0</v>
      </c>
    </row>
    <row r="652">
      <c r="A652" s="4" t="n"/>
      <c r="B652" s="5" t="str">
        <f>IF(A652="","",IFERROR(INDEX('جدول الجرد'!$A$2:$A$29,MATCH(A652,'جدول الجرد'!$B$2:$B$29,0)),""))</f>
        <v/>
      </c>
      <c r="C652" s="5" t="str">
        <f>IF(A652="","",IFERROR(INDEX('جدول الجرد'!$E$2:$E$29,MATCH(A652,'جدول الجرد'!$B$2:$B$29,0)),""))</f>
        <v/>
      </c>
      <c r="D652" s="4" t="n"/>
      <c r="E652" s="4" t="n"/>
      <c r="F652" s="4" t="n"/>
      <c r="G652" s="4" t="n"/>
      <c r="H652" s="5" t="str">
        <f>IF(E652="","",IF(AND(F652="نعم",G652="نعم"),"جرد + مراجعة",IF(F652="نعم","جرد فقط",IF(G652="نعم","مراجعة فقط",""))))</f>
        <v/>
      </c>
      <c r="I652" s="9">
        <f>IF(H652="جرد + مراجعة",الإعدادات!$B$2,IF(H652="مراجعة فقط",الإعدادات!$B$3,IF(H652="جرد فقط",الإعدادات!$B$4,0)))</f>
        <v>0</v>
      </c>
    </row>
    <row r="653">
      <c r="A653" s="4" t="n"/>
      <c r="B653" s="5" t="str">
        <f>IF(A653="","",IFERROR(INDEX('جدول الجرد'!$A$2:$A$29,MATCH(A653,'جدول الجرد'!$B$2:$B$29,0)),""))</f>
        <v/>
      </c>
      <c r="C653" s="5" t="str">
        <f>IF(A653="","",IFERROR(INDEX('جدول الجرد'!$E$2:$E$29,MATCH(A653,'جدول الجرد'!$B$2:$B$29,0)),""))</f>
        <v/>
      </c>
      <c r="D653" s="4" t="n"/>
      <c r="E653" s="4" t="n"/>
      <c r="F653" s="4" t="n"/>
      <c r="G653" s="4" t="n"/>
      <c r="H653" s="5" t="str">
        <f>IF(E653="","",IF(AND(F653="نعم",G653="نعم"),"جرد + مراجعة",IF(F653="نعم","جرد فقط",IF(G653="نعم","مراجعة فقط",""))))</f>
        <v/>
      </c>
      <c r="I653" s="9">
        <f>IF(H653="جرد + مراجعة",الإعدادات!$B$2,IF(H653="مراجعة فقط",الإعدادات!$B$3,IF(H653="جرد فقط",الإعدادات!$B$4,0)))</f>
        <v>0</v>
      </c>
    </row>
    <row r="654">
      <c r="A654" s="4" t="n"/>
      <c r="B654" s="5" t="str">
        <f>IF(A654="","",IFERROR(INDEX('جدول الجرد'!$A$2:$A$29,MATCH(A654,'جدول الجرد'!$B$2:$B$29,0)),""))</f>
        <v/>
      </c>
      <c r="C654" s="5" t="str">
        <f>IF(A654="","",IFERROR(INDEX('جدول الجرد'!$E$2:$E$29,MATCH(A654,'جدول الجرد'!$B$2:$B$29,0)),""))</f>
        <v/>
      </c>
      <c r="D654" s="4" t="n"/>
      <c r="E654" s="4" t="n"/>
      <c r="F654" s="4" t="n"/>
      <c r="G654" s="4" t="n"/>
      <c r="H654" s="5" t="str">
        <f>IF(E654="","",IF(AND(F654="نعم",G654="نعم"),"جرد + مراجعة",IF(F654="نعم","جرد فقط",IF(G654="نعم","مراجعة فقط",""))))</f>
        <v/>
      </c>
      <c r="I654" s="9">
        <f>IF(H654="جرد + مراجعة",الإعدادات!$B$2,IF(H654="مراجعة فقط",الإعدادات!$B$3,IF(H654="جرد فقط",الإعدادات!$B$4,0)))</f>
        <v>0</v>
      </c>
    </row>
    <row r="655">
      <c r="A655" s="4" t="n"/>
      <c r="B655" s="5" t="str">
        <f>IF(A655="","",IFERROR(INDEX('جدول الجرد'!$A$2:$A$29,MATCH(A655,'جدول الجرد'!$B$2:$B$29,0)),""))</f>
        <v/>
      </c>
      <c r="C655" s="5" t="str">
        <f>IF(A655="","",IFERROR(INDEX('جدول الجرد'!$E$2:$E$29,MATCH(A655,'جدول الجرد'!$B$2:$B$29,0)),""))</f>
        <v/>
      </c>
      <c r="D655" s="4" t="n"/>
      <c r="E655" s="4" t="n"/>
      <c r="F655" s="4" t="n"/>
      <c r="G655" s="4" t="n"/>
      <c r="H655" s="5" t="str">
        <f>IF(E655="","",IF(AND(F655="نعم",G655="نعم"),"جرد + مراجعة",IF(F655="نعم","جرد فقط",IF(G655="نعم","مراجعة فقط",""))))</f>
        <v/>
      </c>
      <c r="I655" s="9">
        <f>IF(H655="جرد + مراجعة",الإعدادات!$B$2,IF(H655="مراجعة فقط",الإعدادات!$B$3,IF(H655="جرد فقط",الإعدادات!$B$4,0)))</f>
        <v>0</v>
      </c>
    </row>
    <row r="656">
      <c r="A656" s="4" t="n"/>
      <c r="B656" s="5" t="str">
        <f>IF(A656="","",IFERROR(INDEX('جدول الجرد'!$A$2:$A$29,MATCH(A656,'جدول الجرد'!$B$2:$B$29,0)),""))</f>
        <v/>
      </c>
      <c r="C656" s="5" t="str">
        <f>IF(A656="","",IFERROR(INDEX('جدول الجرد'!$E$2:$E$29,MATCH(A656,'جدول الجرد'!$B$2:$B$29,0)),""))</f>
        <v/>
      </c>
      <c r="D656" s="4" t="n"/>
      <c r="E656" s="4" t="n"/>
      <c r="F656" s="4" t="n"/>
      <c r="G656" s="4" t="n"/>
      <c r="H656" s="5" t="str">
        <f>IF(E656="","",IF(AND(F656="نعم",G656="نعم"),"جرد + مراجعة",IF(F656="نعم","جرد فقط",IF(G656="نعم","مراجعة فقط",""))))</f>
        <v/>
      </c>
      <c r="I656" s="9">
        <f>IF(H656="جرد + مراجعة",الإعدادات!$B$2,IF(H656="مراجعة فقط",الإعدادات!$B$3,IF(H656="جرد فقط",الإعدادات!$B$4,0)))</f>
        <v>0</v>
      </c>
    </row>
    <row r="657">
      <c r="A657" s="4" t="n"/>
      <c r="B657" s="5" t="str">
        <f>IF(A657="","",IFERROR(INDEX('جدول الجرد'!$A$2:$A$29,MATCH(A657,'جدول الجرد'!$B$2:$B$29,0)),""))</f>
        <v/>
      </c>
      <c r="C657" s="5" t="str">
        <f>IF(A657="","",IFERROR(INDEX('جدول الجرد'!$E$2:$E$29,MATCH(A657,'جدول الجرد'!$B$2:$B$29,0)),""))</f>
        <v/>
      </c>
      <c r="D657" s="4" t="n"/>
      <c r="E657" s="4" t="n"/>
      <c r="F657" s="4" t="n"/>
      <c r="G657" s="4" t="n"/>
      <c r="H657" s="5" t="str">
        <f>IF(E657="","",IF(AND(F657="نعم",G657="نعم"),"جرد + مراجعة",IF(F657="نعم","جرد فقط",IF(G657="نعم","مراجعة فقط",""))))</f>
        <v/>
      </c>
      <c r="I657" s="9">
        <f>IF(H657="جرد + مراجعة",الإعدادات!$B$2,IF(H657="مراجعة فقط",الإعدادات!$B$3,IF(H657="جرد فقط",الإعدادات!$B$4,0)))</f>
        <v>0</v>
      </c>
    </row>
    <row r="658">
      <c r="A658" s="4" t="n"/>
      <c r="B658" s="5" t="str">
        <f>IF(A658="","",IFERROR(INDEX('جدول الجرد'!$A$2:$A$29,MATCH(A658,'جدول الجرد'!$B$2:$B$29,0)),""))</f>
        <v/>
      </c>
      <c r="C658" s="5" t="str">
        <f>IF(A658="","",IFERROR(INDEX('جدول الجرد'!$E$2:$E$29,MATCH(A658,'جدول الجرد'!$B$2:$B$29,0)),""))</f>
        <v/>
      </c>
      <c r="D658" s="4" t="n"/>
      <c r="E658" s="4" t="n"/>
      <c r="F658" s="4" t="n"/>
      <c r="G658" s="4" t="n"/>
      <c r="H658" s="5" t="str">
        <f>IF(E658="","",IF(AND(F658="نعم",G658="نعم"),"جرد + مراجعة",IF(F658="نعم","جرد فقط",IF(G658="نعم","مراجعة فقط",""))))</f>
        <v/>
      </c>
      <c r="I658" s="9">
        <f>IF(H658="جرد + مراجعة",الإعدادات!$B$2,IF(H658="مراجعة فقط",الإعدادات!$B$3,IF(H658="جرد فقط",الإعدادات!$B$4,0)))</f>
        <v>0</v>
      </c>
    </row>
    <row r="659">
      <c r="A659" s="4" t="n"/>
      <c r="B659" s="5" t="str">
        <f>IF(A659="","",IFERROR(INDEX('جدول الجرد'!$A$2:$A$29,MATCH(A659,'جدول الجرد'!$B$2:$B$29,0)),""))</f>
        <v/>
      </c>
      <c r="C659" s="5" t="str">
        <f>IF(A659="","",IFERROR(INDEX('جدول الجرد'!$E$2:$E$29,MATCH(A659,'جدول الجرد'!$B$2:$B$29,0)),""))</f>
        <v/>
      </c>
      <c r="D659" s="4" t="n"/>
      <c r="E659" s="4" t="n"/>
      <c r="F659" s="4" t="n"/>
      <c r="G659" s="4" t="n"/>
      <c r="H659" s="5" t="str">
        <f>IF(E659="","",IF(AND(F659="نعم",G659="نعم"),"جرد + مراجعة",IF(F659="نعم","جرد فقط",IF(G659="نعم","مراجعة فقط",""))))</f>
        <v/>
      </c>
      <c r="I659" s="9">
        <f>IF(H659="جرد + مراجعة",الإعدادات!$B$2,IF(H659="مراجعة فقط",الإعدادات!$B$3,IF(H659="جرد فقط",الإعدادات!$B$4,0)))</f>
        <v>0</v>
      </c>
    </row>
    <row r="660">
      <c r="A660" s="4" t="n"/>
      <c r="B660" s="5" t="str">
        <f>IF(A660="","",IFERROR(INDEX('جدول الجرد'!$A$2:$A$29,MATCH(A660,'جدول الجرد'!$B$2:$B$29,0)),""))</f>
        <v/>
      </c>
      <c r="C660" s="5" t="str">
        <f>IF(A660="","",IFERROR(INDEX('جدول الجرد'!$E$2:$E$29,MATCH(A660,'جدول الجرد'!$B$2:$B$29,0)),""))</f>
        <v/>
      </c>
      <c r="D660" s="4" t="n"/>
      <c r="E660" s="4" t="n"/>
      <c r="F660" s="4" t="n"/>
      <c r="G660" s="4" t="n"/>
      <c r="H660" s="5" t="str">
        <f>IF(E660="","",IF(AND(F660="نعم",G660="نعم"),"جرد + مراجعة",IF(F660="نعم","جرد فقط",IF(G660="نعم","مراجعة فقط",""))))</f>
        <v/>
      </c>
      <c r="I660" s="9">
        <f>IF(H660="جرد + مراجعة",الإعدادات!$B$2,IF(H660="مراجعة فقط",الإعدادات!$B$3,IF(H660="جرد فقط",الإعدادات!$B$4,0)))</f>
        <v>0</v>
      </c>
    </row>
    <row r="661">
      <c r="A661" s="4" t="n"/>
      <c r="B661" s="5" t="str">
        <f>IF(A661="","",IFERROR(INDEX('جدول الجرد'!$A$2:$A$29,MATCH(A661,'جدول الجرد'!$B$2:$B$29,0)),""))</f>
        <v/>
      </c>
      <c r="C661" s="5" t="str">
        <f>IF(A661="","",IFERROR(INDEX('جدول الجرد'!$E$2:$E$29,MATCH(A661,'جدول الجرد'!$B$2:$B$29,0)),""))</f>
        <v/>
      </c>
      <c r="D661" s="4" t="n"/>
      <c r="E661" s="4" t="n"/>
      <c r="F661" s="4" t="n"/>
      <c r="G661" s="4" t="n"/>
      <c r="H661" s="5" t="str">
        <f>IF(E661="","",IF(AND(F661="نعم",G661="نعم"),"جرد + مراجعة",IF(F661="نعم","جرد فقط",IF(G661="نعم","مراجعة فقط",""))))</f>
        <v/>
      </c>
      <c r="I661" s="9">
        <f>IF(H661="جرد + مراجعة",الإعدادات!$B$2,IF(H661="مراجعة فقط",الإعدادات!$B$3,IF(H661="جرد فقط",الإعدادات!$B$4,0)))</f>
        <v>0</v>
      </c>
    </row>
    <row r="662">
      <c r="A662" s="4" t="n"/>
      <c r="B662" s="5" t="str">
        <f>IF(A662="","",IFERROR(INDEX('جدول الجرد'!$A$2:$A$29,MATCH(A662,'جدول الجرد'!$B$2:$B$29,0)),""))</f>
        <v/>
      </c>
      <c r="C662" s="5" t="str">
        <f>IF(A662="","",IFERROR(INDEX('جدول الجرد'!$E$2:$E$29,MATCH(A662,'جدول الجرد'!$B$2:$B$29,0)),""))</f>
        <v/>
      </c>
      <c r="D662" s="4" t="n"/>
      <c r="E662" s="4" t="n"/>
      <c r="F662" s="4" t="n"/>
      <c r="G662" s="4" t="n"/>
      <c r="H662" s="5" t="str">
        <f>IF(E662="","",IF(AND(F662="نعم",G662="نعم"),"جرد + مراجعة",IF(F662="نعم","جرد فقط",IF(G662="نعم","مراجعة فقط",""))))</f>
        <v/>
      </c>
      <c r="I662" s="9">
        <f>IF(H662="جرد + مراجعة",الإعدادات!$B$2,IF(H662="مراجعة فقط",الإعدادات!$B$3,IF(H662="جرد فقط",الإعدادات!$B$4,0)))</f>
        <v>0</v>
      </c>
    </row>
    <row r="663">
      <c r="A663" s="4" t="n"/>
      <c r="B663" s="5" t="str">
        <f>IF(A663="","",IFERROR(INDEX('جدول الجرد'!$A$2:$A$29,MATCH(A663,'جدول الجرد'!$B$2:$B$29,0)),""))</f>
        <v/>
      </c>
      <c r="C663" s="5" t="str">
        <f>IF(A663="","",IFERROR(INDEX('جدول الجرد'!$E$2:$E$29,MATCH(A663,'جدول الجرد'!$B$2:$B$29,0)),""))</f>
        <v/>
      </c>
      <c r="D663" s="4" t="n"/>
      <c r="E663" s="4" t="n"/>
      <c r="F663" s="4" t="n"/>
      <c r="G663" s="4" t="n"/>
      <c r="H663" s="5" t="str">
        <f>IF(E663="","",IF(AND(F663="نعم",G663="نعم"),"جرد + مراجعة",IF(F663="نعم","جرد فقط",IF(G663="نعم","مراجعة فقط",""))))</f>
        <v/>
      </c>
      <c r="I663" s="9">
        <f>IF(H663="جرد + مراجعة",الإعدادات!$B$2,IF(H663="مراجعة فقط",الإعدادات!$B$3,IF(H663="جرد فقط",الإعدادات!$B$4,0)))</f>
        <v>0</v>
      </c>
    </row>
    <row r="664">
      <c r="A664" s="4" t="n"/>
      <c r="B664" s="5" t="str">
        <f>IF(A664="","",IFERROR(INDEX('جدول الجرد'!$A$2:$A$29,MATCH(A664,'جدول الجرد'!$B$2:$B$29,0)),""))</f>
        <v/>
      </c>
      <c r="C664" s="5" t="str">
        <f>IF(A664="","",IFERROR(INDEX('جدول الجرد'!$E$2:$E$29,MATCH(A664,'جدول الجرد'!$B$2:$B$29,0)),""))</f>
        <v/>
      </c>
      <c r="D664" s="4" t="n"/>
      <c r="E664" s="4" t="n"/>
      <c r="F664" s="4" t="n"/>
      <c r="G664" s="4" t="n"/>
      <c r="H664" s="5" t="str">
        <f>IF(E664="","",IF(AND(F664="نعم",G664="نعم"),"جرد + مراجعة",IF(F664="نعم","جرد فقط",IF(G664="نعم","مراجعة فقط",""))))</f>
        <v/>
      </c>
      <c r="I664" s="9">
        <f>IF(H664="جرد + مراجعة",الإعدادات!$B$2,IF(H664="مراجعة فقط",الإعدادات!$B$3,IF(H664="جرد فقط",الإعدادات!$B$4,0)))</f>
        <v>0</v>
      </c>
    </row>
    <row r="665">
      <c r="A665" s="4" t="n"/>
      <c r="B665" s="5" t="str">
        <f>IF(A665="","",IFERROR(INDEX('جدول الجرد'!$A$2:$A$29,MATCH(A665,'جدول الجرد'!$B$2:$B$29,0)),""))</f>
        <v/>
      </c>
      <c r="C665" s="5" t="str">
        <f>IF(A665="","",IFERROR(INDEX('جدول الجرد'!$E$2:$E$29,MATCH(A665,'جدول الجرد'!$B$2:$B$29,0)),""))</f>
        <v/>
      </c>
      <c r="D665" s="4" t="n"/>
      <c r="E665" s="4" t="n"/>
      <c r="F665" s="4" t="n"/>
      <c r="G665" s="4" t="n"/>
      <c r="H665" s="5" t="str">
        <f>IF(E665="","",IF(AND(F665="نعم",G665="نعم"),"جرد + مراجعة",IF(F665="نعم","جرد فقط",IF(G665="نعم","مراجعة فقط",""))))</f>
        <v/>
      </c>
      <c r="I665" s="9">
        <f>IF(H665="جرد + مراجعة",الإعدادات!$B$2,IF(H665="مراجعة فقط",الإعدادات!$B$3,IF(H665="جرد فقط",الإعدادات!$B$4,0)))</f>
        <v>0</v>
      </c>
    </row>
    <row r="666">
      <c r="A666" s="4" t="n"/>
      <c r="B666" s="5" t="str">
        <f>IF(A666="","",IFERROR(INDEX('جدول الجرد'!$A$2:$A$29,MATCH(A666,'جدول الجرد'!$B$2:$B$29,0)),""))</f>
        <v/>
      </c>
      <c r="C666" s="5" t="str">
        <f>IF(A666="","",IFERROR(INDEX('جدول الجرد'!$E$2:$E$29,MATCH(A666,'جدول الجرد'!$B$2:$B$29,0)),""))</f>
        <v/>
      </c>
      <c r="D666" s="4" t="n"/>
      <c r="E666" s="4" t="n"/>
      <c r="F666" s="4" t="n"/>
      <c r="G666" s="4" t="n"/>
      <c r="H666" s="5" t="str">
        <f>IF(E666="","",IF(AND(F666="نعم",G666="نعم"),"جرد + مراجعة",IF(F666="نعم","جرد فقط",IF(G666="نعم","مراجعة فقط",""))))</f>
        <v/>
      </c>
      <c r="I666" s="9">
        <f>IF(H666="جرد + مراجعة",الإعدادات!$B$2,IF(H666="مراجعة فقط",الإعدادات!$B$3,IF(H666="جرد فقط",الإعدادات!$B$4,0)))</f>
        <v>0</v>
      </c>
    </row>
    <row r="667">
      <c r="A667" s="4" t="n"/>
      <c r="B667" s="5" t="str">
        <f>IF(A667="","",IFERROR(INDEX('جدول الجرد'!$A$2:$A$29,MATCH(A667,'جدول الجرد'!$B$2:$B$29,0)),""))</f>
        <v/>
      </c>
      <c r="C667" s="5" t="str">
        <f>IF(A667="","",IFERROR(INDEX('جدول الجرد'!$E$2:$E$29,MATCH(A667,'جدول الجرد'!$B$2:$B$29,0)),""))</f>
        <v/>
      </c>
      <c r="D667" s="4" t="n"/>
      <c r="E667" s="4" t="n"/>
      <c r="F667" s="4" t="n"/>
      <c r="G667" s="4" t="n"/>
      <c r="H667" s="5" t="str">
        <f>IF(E667="","",IF(AND(F667="نعم",G667="نعم"),"جرد + مراجعة",IF(F667="نعم","جرد فقط",IF(G667="نعم","مراجعة فقط",""))))</f>
        <v/>
      </c>
      <c r="I667" s="9">
        <f>IF(H667="جرد + مراجعة",الإعدادات!$B$2,IF(H667="مراجعة فقط",الإعدادات!$B$3,IF(H667="جرد فقط",الإعدادات!$B$4,0)))</f>
        <v>0</v>
      </c>
    </row>
    <row r="668">
      <c r="A668" s="4" t="n"/>
      <c r="B668" s="5" t="str">
        <f>IF(A668="","",IFERROR(INDEX('جدول الجرد'!$A$2:$A$29,MATCH(A668,'جدول الجرد'!$B$2:$B$29,0)),""))</f>
        <v/>
      </c>
      <c r="C668" s="5" t="str">
        <f>IF(A668="","",IFERROR(INDEX('جدول الجرد'!$E$2:$E$29,MATCH(A668,'جدول الجرد'!$B$2:$B$29,0)),""))</f>
        <v/>
      </c>
      <c r="D668" s="4" t="n"/>
      <c r="E668" s="4" t="n"/>
      <c r="F668" s="4" t="n"/>
      <c r="G668" s="4" t="n"/>
      <c r="H668" s="5" t="str">
        <f>IF(E668="","",IF(AND(F668="نعم",G668="نعم"),"جرد + مراجعة",IF(F668="نعم","جرد فقط",IF(G668="نعم","مراجعة فقط",""))))</f>
        <v/>
      </c>
      <c r="I668" s="9">
        <f>IF(H668="جرد + مراجعة",الإعدادات!$B$2,IF(H668="مراجعة فقط",الإعدادات!$B$3,IF(H668="جرد فقط",الإعدادات!$B$4,0)))</f>
        <v>0</v>
      </c>
    </row>
    <row r="669">
      <c r="A669" s="4" t="n"/>
      <c r="B669" s="5" t="str">
        <f>IF(A669="","",IFERROR(INDEX('جدول الجرد'!$A$2:$A$29,MATCH(A669,'جدول الجرد'!$B$2:$B$29,0)),""))</f>
        <v/>
      </c>
      <c r="C669" s="5" t="str">
        <f>IF(A669="","",IFERROR(INDEX('جدول الجرد'!$E$2:$E$29,MATCH(A669,'جدول الجرد'!$B$2:$B$29,0)),""))</f>
        <v/>
      </c>
      <c r="D669" s="4" t="n"/>
      <c r="E669" s="4" t="n"/>
      <c r="F669" s="4" t="n"/>
      <c r="G669" s="4" t="n"/>
      <c r="H669" s="5" t="str">
        <f>IF(E669="","",IF(AND(F669="نعم",G669="نعم"),"جرد + مراجعة",IF(F669="نعم","جرد فقط",IF(G669="نعم","مراجعة فقط",""))))</f>
        <v/>
      </c>
      <c r="I669" s="9">
        <f>IF(H669="جرد + مراجعة",الإعدادات!$B$2,IF(H669="مراجعة فقط",الإعدادات!$B$3,IF(H669="جرد فقط",الإعدادات!$B$4,0)))</f>
        <v>0</v>
      </c>
    </row>
    <row r="670">
      <c r="A670" s="4" t="n"/>
      <c r="B670" s="5" t="str">
        <f>IF(A670="","",IFERROR(INDEX('جدول الجرد'!$A$2:$A$29,MATCH(A670,'جدول الجرد'!$B$2:$B$29,0)),""))</f>
        <v/>
      </c>
      <c r="C670" s="5" t="str">
        <f>IF(A670="","",IFERROR(INDEX('جدول الجرد'!$E$2:$E$29,MATCH(A670,'جدول الجرد'!$B$2:$B$29,0)),""))</f>
        <v/>
      </c>
      <c r="D670" s="4" t="n"/>
      <c r="E670" s="4" t="n"/>
      <c r="F670" s="4" t="n"/>
      <c r="G670" s="4" t="n"/>
      <c r="H670" s="5" t="str">
        <f>IF(E670="","",IF(AND(F670="نعم",G670="نعم"),"جرد + مراجعة",IF(F670="نعم","جرد فقط",IF(G670="نعم","مراجعة فقط",""))))</f>
        <v/>
      </c>
      <c r="I670" s="9">
        <f>IF(H670="جرد + مراجعة",الإعدادات!$B$2,IF(H670="مراجعة فقط",الإعدادات!$B$3,IF(H670="جرد فقط",الإعدادات!$B$4,0)))</f>
        <v>0</v>
      </c>
    </row>
    <row r="671">
      <c r="A671" s="4" t="n"/>
      <c r="B671" s="5" t="str">
        <f>IF(A671="","",IFERROR(INDEX('جدول الجرد'!$A$2:$A$29,MATCH(A671,'جدول الجرد'!$B$2:$B$29,0)),""))</f>
        <v/>
      </c>
      <c r="C671" s="5" t="str">
        <f>IF(A671="","",IFERROR(INDEX('جدول الجرد'!$E$2:$E$29,MATCH(A671,'جدول الجرد'!$B$2:$B$29,0)),""))</f>
        <v/>
      </c>
      <c r="D671" s="4" t="n"/>
      <c r="E671" s="4" t="n"/>
      <c r="F671" s="4" t="n"/>
      <c r="G671" s="4" t="n"/>
      <c r="H671" s="5" t="str">
        <f>IF(E671="","",IF(AND(F671="نعم",G671="نعم"),"جرد + مراجعة",IF(F671="نعم","جرد فقط",IF(G671="نعم","مراجعة فقط",""))))</f>
        <v/>
      </c>
      <c r="I671" s="9">
        <f>IF(H671="جرد + مراجعة",الإعدادات!$B$2,IF(H671="مراجعة فقط",الإعدادات!$B$3,IF(H671="جرد فقط",الإعدادات!$B$4,0)))</f>
        <v>0</v>
      </c>
    </row>
    <row r="672">
      <c r="A672" s="4" t="n"/>
      <c r="B672" s="5" t="str">
        <f>IF(A672="","",IFERROR(INDEX('جدول الجرد'!$A$2:$A$29,MATCH(A672,'جدول الجرد'!$B$2:$B$29,0)),""))</f>
        <v/>
      </c>
      <c r="C672" s="5" t="str">
        <f>IF(A672="","",IFERROR(INDEX('جدول الجرد'!$E$2:$E$29,MATCH(A672,'جدول الجرد'!$B$2:$B$29,0)),""))</f>
        <v/>
      </c>
      <c r="D672" s="4" t="n"/>
      <c r="E672" s="4" t="n"/>
      <c r="F672" s="4" t="n"/>
      <c r="G672" s="4" t="n"/>
      <c r="H672" s="5" t="str">
        <f>IF(E672="","",IF(AND(F672="نعم",G672="نعم"),"جرد + مراجعة",IF(F672="نعم","جرد فقط",IF(G672="نعم","مراجعة فقط",""))))</f>
        <v/>
      </c>
      <c r="I672" s="9">
        <f>IF(H672="جرد + مراجعة",الإعدادات!$B$2,IF(H672="مراجعة فقط",الإعدادات!$B$3,IF(H672="جرد فقط",الإعدادات!$B$4,0)))</f>
        <v>0</v>
      </c>
    </row>
    <row r="673">
      <c r="A673" s="4" t="n"/>
      <c r="B673" s="5" t="str">
        <f>IF(A673="","",IFERROR(INDEX('جدول الجرد'!$A$2:$A$29,MATCH(A673,'جدول الجرد'!$B$2:$B$29,0)),""))</f>
        <v/>
      </c>
      <c r="C673" s="5" t="str">
        <f>IF(A673="","",IFERROR(INDEX('جدول الجرد'!$E$2:$E$29,MATCH(A673,'جدول الجرد'!$B$2:$B$29,0)),""))</f>
        <v/>
      </c>
      <c r="D673" s="4" t="n"/>
      <c r="E673" s="4" t="n"/>
      <c r="F673" s="4" t="n"/>
      <c r="G673" s="4" t="n"/>
      <c r="H673" s="5" t="str">
        <f>IF(E673="","",IF(AND(F673="نعم",G673="نعم"),"جرد + مراجعة",IF(F673="نعم","جرد فقط",IF(G673="نعم","مراجعة فقط",""))))</f>
        <v/>
      </c>
      <c r="I673" s="9">
        <f>IF(H673="جرد + مراجعة",الإعدادات!$B$2,IF(H673="مراجعة فقط",الإعدادات!$B$3,IF(H673="جرد فقط",الإعدادات!$B$4,0)))</f>
        <v>0</v>
      </c>
    </row>
    <row r="674">
      <c r="A674" s="4" t="n"/>
      <c r="B674" s="5" t="str">
        <f>IF(A674="","",IFERROR(INDEX('جدول الجرد'!$A$2:$A$29,MATCH(A674,'جدول الجرد'!$B$2:$B$29,0)),""))</f>
        <v/>
      </c>
      <c r="C674" s="5" t="str">
        <f>IF(A674="","",IFERROR(INDEX('جدول الجرد'!$E$2:$E$29,MATCH(A674,'جدول الجرد'!$B$2:$B$29,0)),""))</f>
        <v/>
      </c>
      <c r="D674" s="4" t="n"/>
      <c r="E674" s="4" t="n"/>
      <c r="F674" s="4" t="n"/>
      <c r="G674" s="4" t="n"/>
      <c r="H674" s="5" t="str">
        <f>IF(E674="","",IF(AND(F674="نعم",G674="نعم"),"جرد + مراجعة",IF(F674="نعم","جرد فقط",IF(G674="نعم","مراجعة فقط",""))))</f>
        <v/>
      </c>
      <c r="I674" s="9">
        <f>IF(H674="جرد + مراجعة",الإعدادات!$B$2,IF(H674="مراجعة فقط",الإعدادات!$B$3,IF(H674="جرد فقط",الإعدادات!$B$4,0)))</f>
        <v>0</v>
      </c>
    </row>
    <row r="675">
      <c r="A675" s="4" t="n"/>
      <c r="B675" s="5" t="str">
        <f>IF(A675="","",IFERROR(INDEX('جدول الجرد'!$A$2:$A$29,MATCH(A675,'جدول الجرد'!$B$2:$B$29,0)),""))</f>
        <v/>
      </c>
      <c r="C675" s="5" t="str">
        <f>IF(A675="","",IFERROR(INDEX('جدول الجرد'!$E$2:$E$29,MATCH(A675,'جدول الجرد'!$B$2:$B$29,0)),""))</f>
        <v/>
      </c>
      <c r="D675" s="4" t="n"/>
      <c r="E675" s="4" t="n"/>
      <c r="F675" s="4" t="n"/>
      <c r="G675" s="4" t="n"/>
      <c r="H675" s="5" t="str">
        <f>IF(E675="","",IF(AND(F675="نعم",G675="نعم"),"جرد + مراجعة",IF(F675="نعم","جرد فقط",IF(G675="نعم","مراجعة فقط",""))))</f>
        <v/>
      </c>
      <c r="I675" s="9">
        <f>IF(H675="جرد + مراجعة",الإعدادات!$B$2,IF(H675="مراجعة فقط",الإعدادات!$B$3,IF(H675="جرد فقط",الإعدادات!$B$4,0)))</f>
        <v>0</v>
      </c>
    </row>
    <row r="676">
      <c r="A676" s="4" t="n"/>
      <c r="B676" s="5" t="str">
        <f>IF(A676="","",IFERROR(INDEX('جدول الجرد'!$A$2:$A$29,MATCH(A676,'جدول الجرد'!$B$2:$B$29,0)),""))</f>
        <v/>
      </c>
      <c r="C676" s="5" t="str">
        <f>IF(A676="","",IFERROR(INDEX('جدول الجرد'!$E$2:$E$29,MATCH(A676,'جدول الجرد'!$B$2:$B$29,0)),""))</f>
        <v/>
      </c>
      <c r="D676" s="4" t="n"/>
      <c r="E676" s="4" t="n"/>
      <c r="F676" s="4" t="n"/>
      <c r="G676" s="4" t="n"/>
      <c r="H676" s="5" t="str">
        <f>IF(E676="","",IF(AND(F676="نعم",G676="نعم"),"جرد + مراجعة",IF(F676="نعم","جرد فقط",IF(G676="نعم","مراجعة فقط",""))))</f>
        <v/>
      </c>
      <c r="I676" s="9">
        <f>IF(H676="جرد + مراجعة",الإعدادات!$B$2,IF(H676="مراجعة فقط",الإعدادات!$B$3,IF(H676="جرد فقط",الإعدادات!$B$4,0)))</f>
        <v>0</v>
      </c>
    </row>
    <row r="677">
      <c r="A677" s="4" t="n"/>
      <c r="B677" s="5" t="str">
        <f>IF(A677="","",IFERROR(INDEX('جدول الجرد'!$A$2:$A$29,MATCH(A677,'جدول الجرد'!$B$2:$B$29,0)),""))</f>
        <v/>
      </c>
      <c r="C677" s="5" t="str">
        <f>IF(A677="","",IFERROR(INDEX('جدول الجرد'!$E$2:$E$29,MATCH(A677,'جدول الجرد'!$B$2:$B$29,0)),""))</f>
        <v/>
      </c>
      <c r="D677" s="4" t="n"/>
      <c r="E677" s="4" t="n"/>
      <c r="F677" s="4" t="n"/>
      <c r="G677" s="4" t="n"/>
      <c r="H677" s="5" t="str">
        <f>IF(E677="","",IF(AND(F677="نعم",G677="نعم"),"جرد + مراجعة",IF(F677="نعم","جرد فقط",IF(G677="نعم","مراجعة فقط",""))))</f>
        <v/>
      </c>
      <c r="I677" s="9">
        <f>IF(H677="جرد + مراجعة",الإعدادات!$B$2,IF(H677="مراجعة فقط",الإعدادات!$B$3,IF(H677="جرد فقط",الإعدادات!$B$4,0)))</f>
        <v>0</v>
      </c>
    </row>
    <row r="678">
      <c r="A678" s="4" t="n"/>
      <c r="B678" s="5" t="str">
        <f>IF(A678="","",IFERROR(INDEX('جدول الجرد'!$A$2:$A$29,MATCH(A678,'جدول الجرد'!$B$2:$B$29,0)),""))</f>
        <v/>
      </c>
      <c r="C678" s="5" t="str">
        <f>IF(A678="","",IFERROR(INDEX('جدول الجرد'!$E$2:$E$29,MATCH(A678,'جدول الجرد'!$B$2:$B$29,0)),""))</f>
        <v/>
      </c>
      <c r="D678" s="4" t="n"/>
      <c r="E678" s="4" t="n"/>
      <c r="F678" s="4" t="n"/>
      <c r="G678" s="4" t="n"/>
      <c r="H678" s="5" t="str">
        <f>IF(E678="","",IF(AND(F678="نعم",G678="نعم"),"جرد + مراجعة",IF(F678="نعم","جرد فقط",IF(G678="نعم","مراجعة فقط",""))))</f>
        <v/>
      </c>
      <c r="I678" s="9">
        <f>IF(H678="جرد + مراجعة",الإعدادات!$B$2,IF(H678="مراجعة فقط",الإعدادات!$B$3,IF(H678="جرد فقط",الإعدادات!$B$4,0)))</f>
        <v>0</v>
      </c>
    </row>
    <row r="679">
      <c r="A679" s="4" t="n"/>
      <c r="B679" s="5" t="str">
        <f>IF(A679="","",IFERROR(INDEX('جدول الجرد'!$A$2:$A$29,MATCH(A679,'جدول الجرد'!$B$2:$B$29,0)),""))</f>
        <v/>
      </c>
      <c r="C679" s="5" t="str">
        <f>IF(A679="","",IFERROR(INDEX('جدول الجرد'!$E$2:$E$29,MATCH(A679,'جدول الجرد'!$B$2:$B$29,0)),""))</f>
        <v/>
      </c>
      <c r="D679" s="4" t="n"/>
      <c r="E679" s="4" t="n"/>
      <c r="F679" s="4" t="n"/>
      <c r="G679" s="4" t="n"/>
      <c r="H679" s="5" t="str">
        <f>IF(E679="","",IF(AND(F679="نعم",G679="نعم"),"جرد + مراجعة",IF(F679="نعم","جرد فقط",IF(G679="نعم","مراجعة فقط",""))))</f>
        <v/>
      </c>
      <c r="I679" s="9">
        <f>IF(H679="جرد + مراجعة",الإعدادات!$B$2,IF(H679="مراجعة فقط",الإعدادات!$B$3,IF(H679="جرد فقط",الإعدادات!$B$4,0)))</f>
        <v>0</v>
      </c>
    </row>
    <row r="680">
      <c r="A680" s="4" t="n"/>
      <c r="B680" s="5" t="str">
        <f>IF(A680="","",IFERROR(INDEX('جدول الجرد'!$A$2:$A$29,MATCH(A680,'جدول الجرد'!$B$2:$B$29,0)),""))</f>
        <v/>
      </c>
      <c r="C680" s="5" t="str">
        <f>IF(A680="","",IFERROR(INDEX('جدول الجرد'!$E$2:$E$29,MATCH(A680,'جدول الجرد'!$B$2:$B$29,0)),""))</f>
        <v/>
      </c>
      <c r="D680" s="4" t="n"/>
      <c r="E680" s="4" t="n"/>
      <c r="F680" s="4" t="n"/>
      <c r="G680" s="4" t="n"/>
      <c r="H680" s="5" t="str">
        <f>IF(E680="","",IF(AND(F680="نعم",G680="نعم"),"جرد + مراجعة",IF(F680="نعم","جرد فقط",IF(G680="نعم","مراجعة فقط",""))))</f>
        <v/>
      </c>
      <c r="I680" s="9">
        <f>IF(H680="جرد + مراجعة",الإعدادات!$B$2,IF(H680="مراجعة فقط",الإعدادات!$B$3,IF(H680="جرد فقط",الإعدادات!$B$4,0)))</f>
        <v>0</v>
      </c>
    </row>
    <row r="681">
      <c r="A681" s="4" t="n"/>
      <c r="B681" s="5" t="str">
        <f>IF(A681="","",IFERROR(INDEX('جدول الجرد'!$A$2:$A$29,MATCH(A681,'جدول الجرد'!$B$2:$B$29,0)),""))</f>
        <v/>
      </c>
      <c r="C681" s="5" t="str">
        <f>IF(A681="","",IFERROR(INDEX('جدول الجرد'!$E$2:$E$29,MATCH(A681,'جدول الجرد'!$B$2:$B$29,0)),""))</f>
        <v/>
      </c>
      <c r="D681" s="4" t="n"/>
      <c r="E681" s="4" t="n"/>
      <c r="F681" s="4" t="n"/>
      <c r="G681" s="4" t="n"/>
      <c r="H681" s="5" t="str">
        <f>IF(E681="","",IF(AND(F681="نعم",G681="نعم"),"جرد + مراجعة",IF(F681="نعم","جرد فقط",IF(G681="نعم","مراجعة فقط",""))))</f>
        <v/>
      </c>
      <c r="I681" s="9">
        <f>IF(H681="جرد + مراجعة",الإعدادات!$B$2,IF(H681="مراجعة فقط",الإعدادات!$B$3,IF(H681="جرد فقط",الإعدادات!$B$4,0)))</f>
        <v>0</v>
      </c>
    </row>
    <row r="682">
      <c r="A682" s="4" t="n"/>
      <c r="B682" s="5" t="str">
        <f>IF(A682="","",IFERROR(INDEX('جدول الجرد'!$A$2:$A$29,MATCH(A682,'جدول الجرد'!$B$2:$B$29,0)),""))</f>
        <v/>
      </c>
      <c r="C682" s="5" t="str">
        <f>IF(A682="","",IFERROR(INDEX('جدول الجرد'!$E$2:$E$29,MATCH(A682,'جدول الجرد'!$B$2:$B$29,0)),""))</f>
        <v/>
      </c>
      <c r="D682" s="4" t="n"/>
      <c r="E682" s="4" t="n"/>
      <c r="F682" s="4" t="n"/>
      <c r="G682" s="4" t="n"/>
      <c r="H682" s="5" t="str">
        <f>IF(E682="","",IF(AND(F682="نعم",G682="نعم"),"جرد + مراجعة",IF(F682="نعم","جرد فقط",IF(G682="نعم","مراجعة فقط",""))))</f>
        <v/>
      </c>
      <c r="I682" s="9">
        <f>IF(H682="جرد + مراجعة",الإعدادات!$B$2,IF(H682="مراجعة فقط",الإعدادات!$B$3,IF(H682="جرد فقط",الإعدادات!$B$4,0)))</f>
        <v>0</v>
      </c>
    </row>
    <row r="683">
      <c r="A683" s="4" t="n"/>
      <c r="B683" s="5" t="str">
        <f>IF(A683="","",IFERROR(INDEX('جدول الجرد'!$A$2:$A$29,MATCH(A683,'جدول الجرد'!$B$2:$B$29,0)),""))</f>
        <v/>
      </c>
      <c r="C683" s="5" t="str">
        <f>IF(A683="","",IFERROR(INDEX('جدول الجرد'!$E$2:$E$29,MATCH(A683,'جدول الجرد'!$B$2:$B$29,0)),""))</f>
        <v/>
      </c>
      <c r="D683" s="4" t="n"/>
      <c r="E683" s="4" t="n"/>
      <c r="F683" s="4" t="n"/>
      <c r="G683" s="4" t="n"/>
      <c r="H683" s="5" t="str">
        <f>IF(E683="","",IF(AND(F683="نعم",G683="نعم"),"جرد + مراجعة",IF(F683="نعم","جرد فقط",IF(G683="نعم","مراجعة فقط",""))))</f>
        <v/>
      </c>
      <c r="I683" s="9">
        <f>IF(H683="جرد + مراجعة",الإعدادات!$B$2,IF(H683="مراجعة فقط",الإعدادات!$B$3,IF(H683="جرد فقط",الإعدادات!$B$4,0)))</f>
        <v>0</v>
      </c>
    </row>
    <row r="684">
      <c r="A684" s="4" t="n"/>
      <c r="B684" s="5" t="str">
        <f>IF(A684="","",IFERROR(INDEX('جدول الجرد'!$A$2:$A$29,MATCH(A684,'جدول الجرد'!$B$2:$B$29,0)),""))</f>
        <v/>
      </c>
      <c r="C684" s="5" t="str">
        <f>IF(A684="","",IFERROR(INDEX('جدول الجرد'!$E$2:$E$29,MATCH(A684,'جدول الجرد'!$B$2:$B$29,0)),""))</f>
        <v/>
      </c>
      <c r="D684" s="4" t="n"/>
      <c r="E684" s="4" t="n"/>
      <c r="F684" s="4" t="n"/>
      <c r="G684" s="4" t="n"/>
      <c r="H684" s="5" t="str">
        <f>IF(E684="","",IF(AND(F684="نعم",G684="نعم"),"جرد + مراجعة",IF(F684="نعم","جرد فقط",IF(G684="نعم","مراجعة فقط",""))))</f>
        <v/>
      </c>
      <c r="I684" s="9">
        <f>IF(H684="جرد + مراجعة",الإعدادات!$B$2,IF(H684="مراجعة فقط",الإعدادات!$B$3,IF(H684="جرد فقط",الإعدادات!$B$4,0)))</f>
        <v>0</v>
      </c>
    </row>
    <row r="685">
      <c r="A685" s="4" t="n"/>
      <c r="B685" s="5" t="str">
        <f>IF(A685="","",IFERROR(INDEX('جدول الجرد'!$A$2:$A$29,MATCH(A685,'جدول الجرد'!$B$2:$B$29,0)),""))</f>
        <v/>
      </c>
      <c r="C685" s="5" t="str">
        <f>IF(A685="","",IFERROR(INDEX('جدول الجرد'!$E$2:$E$29,MATCH(A685,'جدول الجرد'!$B$2:$B$29,0)),""))</f>
        <v/>
      </c>
      <c r="D685" s="4" t="n"/>
      <c r="E685" s="4" t="n"/>
      <c r="F685" s="4" t="n"/>
      <c r="G685" s="4" t="n"/>
      <c r="H685" s="5" t="str">
        <f>IF(E685="","",IF(AND(F685="نعم",G685="نعم"),"جرد + مراجعة",IF(F685="نعم","جرد فقط",IF(G685="نعم","مراجعة فقط",""))))</f>
        <v/>
      </c>
      <c r="I685" s="9">
        <f>IF(H685="جرد + مراجعة",الإعدادات!$B$2,IF(H685="مراجعة فقط",الإعدادات!$B$3,IF(H685="جرد فقط",الإعدادات!$B$4,0)))</f>
        <v>0</v>
      </c>
    </row>
    <row r="686">
      <c r="A686" s="4" t="n"/>
      <c r="B686" s="5" t="str">
        <f>IF(A686="","",IFERROR(INDEX('جدول الجرد'!$A$2:$A$29,MATCH(A686,'جدول الجرد'!$B$2:$B$29,0)),""))</f>
        <v/>
      </c>
      <c r="C686" s="5" t="str">
        <f>IF(A686="","",IFERROR(INDEX('جدول الجرد'!$E$2:$E$29,MATCH(A686,'جدول الجرد'!$B$2:$B$29,0)),""))</f>
        <v/>
      </c>
      <c r="D686" s="4" t="n"/>
      <c r="E686" s="4" t="n"/>
      <c r="F686" s="4" t="n"/>
      <c r="G686" s="4" t="n"/>
      <c r="H686" s="5" t="str">
        <f>IF(E686="","",IF(AND(F686="نعم",G686="نعم"),"جرد + مراجعة",IF(F686="نعم","جرد فقط",IF(G686="نعم","مراجعة فقط",""))))</f>
        <v/>
      </c>
      <c r="I686" s="9">
        <f>IF(H686="جرد + مراجعة",الإعدادات!$B$2,IF(H686="مراجعة فقط",الإعدادات!$B$3,IF(H686="جرد فقط",الإعدادات!$B$4,0)))</f>
        <v>0</v>
      </c>
    </row>
    <row r="687">
      <c r="A687" s="4" t="n"/>
      <c r="B687" s="5" t="str">
        <f>IF(A687="","",IFERROR(INDEX('جدول الجرد'!$A$2:$A$29,MATCH(A687,'جدول الجرد'!$B$2:$B$29,0)),""))</f>
        <v/>
      </c>
      <c r="C687" s="5" t="str">
        <f>IF(A687="","",IFERROR(INDEX('جدول الجرد'!$E$2:$E$29,MATCH(A687,'جدول الجرد'!$B$2:$B$29,0)),""))</f>
        <v/>
      </c>
      <c r="D687" s="4" t="n"/>
      <c r="E687" s="4" t="n"/>
      <c r="F687" s="4" t="n"/>
      <c r="G687" s="4" t="n"/>
      <c r="H687" s="5" t="str">
        <f>IF(E687="","",IF(AND(F687="نعم",G687="نعم"),"جرد + مراجعة",IF(F687="نعم","جرد فقط",IF(G687="نعم","مراجعة فقط",""))))</f>
        <v/>
      </c>
      <c r="I687" s="9">
        <f>IF(H687="جرد + مراجعة",الإعدادات!$B$2,IF(H687="مراجعة فقط",الإعدادات!$B$3,IF(H687="جرد فقط",الإعدادات!$B$4,0)))</f>
        <v>0</v>
      </c>
    </row>
    <row r="688">
      <c r="A688" s="4" t="n"/>
      <c r="B688" s="5" t="str">
        <f>IF(A688="","",IFERROR(INDEX('جدول الجرد'!$A$2:$A$29,MATCH(A688,'جدول الجرد'!$B$2:$B$29,0)),""))</f>
        <v/>
      </c>
      <c r="C688" s="5" t="str">
        <f>IF(A688="","",IFERROR(INDEX('جدول الجرد'!$E$2:$E$29,MATCH(A688,'جدول الجرد'!$B$2:$B$29,0)),""))</f>
        <v/>
      </c>
      <c r="D688" s="4" t="n"/>
      <c r="E688" s="4" t="n"/>
      <c r="F688" s="4" t="n"/>
      <c r="G688" s="4" t="n"/>
      <c r="H688" s="5" t="str">
        <f>IF(E688="","",IF(AND(F688="نعم",G688="نعم"),"جرد + مراجعة",IF(F688="نعم","جرد فقط",IF(G688="نعم","مراجعة فقط",""))))</f>
        <v/>
      </c>
      <c r="I688" s="9">
        <f>IF(H688="جرد + مراجعة",الإعدادات!$B$2,IF(H688="مراجعة فقط",الإعدادات!$B$3,IF(H688="جرد فقط",الإعدادات!$B$4,0)))</f>
        <v>0</v>
      </c>
    </row>
    <row r="689">
      <c r="A689" s="4" t="n"/>
      <c r="B689" s="5" t="str">
        <f>IF(A689="","",IFERROR(INDEX('جدول الجرد'!$A$2:$A$29,MATCH(A689,'جدول الجرد'!$B$2:$B$29,0)),""))</f>
        <v/>
      </c>
      <c r="C689" s="5" t="str">
        <f>IF(A689="","",IFERROR(INDEX('جدول الجرد'!$E$2:$E$29,MATCH(A689,'جدول الجرد'!$B$2:$B$29,0)),""))</f>
        <v/>
      </c>
      <c r="D689" s="4" t="n"/>
      <c r="E689" s="4" t="n"/>
      <c r="F689" s="4" t="n"/>
      <c r="G689" s="4" t="n"/>
      <c r="H689" s="5" t="str">
        <f>IF(E689="","",IF(AND(F689="نعم",G689="نعم"),"جرد + مراجعة",IF(F689="نعم","جرد فقط",IF(G689="نعم","مراجعة فقط",""))))</f>
        <v/>
      </c>
      <c r="I689" s="9">
        <f>IF(H689="جرد + مراجعة",الإعدادات!$B$2,IF(H689="مراجعة فقط",الإعدادات!$B$3,IF(H689="جرد فقط",الإعدادات!$B$4,0)))</f>
        <v>0</v>
      </c>
    </row>
    <row r="690">
      <c r="A690" s="4" t="n"/>
      <c r="B690" s="5" t="str">
        <f>IF(A690="","",IFERROR(INDEX('جدول الجرد'!$A$2:$A$29,MATCH(A690,'جدول الجرد'!$B$2:$B$29,0)),""))</f>
        <v/>
      </c>
      <c r="C690" s="5" t="str">
        <f>IF(A690="","",IFERROR(INDEX('جدول الجرد'!$E$2:$E$29,MATCH(A690,'جدول الجرد'!$B$2:$B$29,0)),""))</f>
        <v/>
      </c>
      <c r="D690" s="4" t="n"/>
      <c r="E690" s="4" t="n"/>
      <c r="F690" s="4" t="n"/>
      <c r="G690" s="4" t="n"/>
      <c r="H690" s="5" t="str">
        <f>IF(E690="","",IF(AND(F690="نعم",G690="نعم"),"جرد + مراجعة",IF(F690="نعم","جرد فقط",IF(G690="نعم","مراجعة فقط",""))))</f>
        <v/>
      </c>
      <c r="I690" s="9">
        <f>IF(H690="جرد + مراجعة",الإعدادات!$B$2,IF(H690="مراجعة فقط",الإعدادات!$B$3,IF(H690="جرد فقط",الإعدادات!$B$4,0)))</f>
        <v>0</v>
      </c>
    </row>
    <row r="691">
      <c r="A691" s="4" t="n"/>
      <c r="B691" s="5" t="str">
        <f>IF(A691="","",IFERROR(INDEX('جدول الجرد'!$A$2:$A$29,MATCH(A691,'جدول الجرد'!$B$2:$B$29,0)),""))</f>
        <v/>
      </c>
      <c r="C691" s="5" t="str">
        <f>IF(A691="","",IFERROR(INDEX('جدول الجرد'!$E$2:$E$29,MATCH(A691,'جدول الجرد'!$B$2:$B$29,0)),""))</f>
        <v/>
      </c>
      <c r="D691" s="4" t="n"/>
      <c r="E691" s="4" t="n"/>
      <c r="F691" s="4" t="n"/>
      <c r="G691" s="4" t="n"/>
      <c r="H691" s="5" t="str">
        <f>IF(E691="","",IF(AND(F691="نعم",G691="نعم"),"جرد + مراجعة",IF(F691="نعم","جرد فقط",IF(G691="نعم","مراجعة فقط",""))))</f>
        <v/>
      </c>
      <c r="I691" s="9">
        <f>IF(H691="جرد + مراجعة",الإعدادات!$B$2,IF(H691="مراجعة فقط",الإعدادات!$B$3,IF(H691="جرد فقط",الإعدادات!$B$4,0)))</f>
        <v>0</v>
      </c>
    </row>
    <row r="692">
      <c r="A692" s="4" t="n"/>
      <c r="B692" s="5" t="str">
        <f>IF(A692="","",IFERROR(INDEX('جدول الجرد'!$A$2:$A$29,MATCH(A692,'جدول الجرد'!$B$2:$B$29,0)),""))</f>
        <v/>
      </c>
      <c r="C692" s="5" t="str">
        <f>IF(A692="","",IFERROR(INDEX('جدول الجرد'!$E$2:$E$29,MATCH(A692,'جدول الجرد'!$B$2:$B$29,0)),""))</f>
        <v/>
      </c>
      <c r="D692" s="4" t="n"/>
      <c r="E692" s="4" t="n"/>
      <c r="F692" s="4" t="n"/>
      <c r="G692" s="4" t="n"/>
      <c r="H692" s="5" t="str">
        <f>IF(E692="","",IF(AND(F692="نعم",G692="نعم"),"جرد + مراجعة",IF(F692="نعم","جرد فقط",IF(G692="نعم","مراجعة فقط",""))))</f>
        <v/>
      </c>
      <c r="I692" s="9">
        <f>IF(H692="جرد + مراجعة",الإعدادات!$B$2,IF(H692="مراجعة فقط",الإعدادات!$B$3,IF(H692="جرد فقط",الإعدادات!$B$4,0)))</f>
        <v>0</v>
      </c>
    </row>
    <row r="693">
      <c r="A693" s="4" t="n"/>
      <c r="B693" s="5" t="str">
        <f>IF(A693="","",IFERROR(INDEX('جدول الجرد'!$A$2:$A$29,MATCH(A693,'جدول الجرد'!$B$2:$B$29,0)),""))</f>
        <v/>
      </c>
      <c r="C693" s="5" t="str">
        <f>IF(A693="","",IFERROR(INDEX('جدول الجرد'!$E$2:$E$29,MATCH(A693,'جدول الجرد'!$B$2:$B$29,0)),""))</f>
        <v/>
      </c>
      <c r="D693" s="4" t="n"/>
      <c r="E693" s="4" t="n"/>
      <c r="F693" s="4" t="n"/>
      <c r="G693" s="4" t="n"/>
      <c r="H693" s="5" t="str">
        <f>IF(E693="","",IF(AND(F693="نعم",G693="نعم"),"جرد + مراجعة",IF(F693="نعم","جرد فقط",IF(G693="نعم","مراجعة فقط",""))))</f>
        <v/>
      </c>
      <c r="I693" s="9">
        <f>IF(H693="جرد + مراجعة",الإعدادات!$B$2,IF(H693="مراجعة فقط",الإعدادات!$B$3,IF(H693="جرد فقط",الإعدادات!$B$4,0)))</f>
        <v>0</v>
      </c>
    </row>
    <row r="694">
      <c r="A694" s="4" t="n"/>
      <c r="B694" s="5" t="str">
        <f>IF(A694="","",IFERROR(INDEX('جدول الجرد'!$A$2:$A$29,MATCH(A694,'جدول الجرد'!$B$2:$B$29,0)),""))</f>
        <v/>
      </c>
      <c r="C694" s="5" t="str">
        <f>IF(A694="","",IFERROR(INDEX('جدول الجرد'!$E$2:$E$29,MATCH(A694,'جدول الجرد'!$B$2:$B$29,0)),""))</f>
        <v/>
      </c>
      <c r="D694" s="4" t="n"/>
      <c r="E694" s="4" t="n"/>
      <c r="F694" s="4" t="n"/>
      <c r="G694" s="4" t="n"/>
      <c r="H694" s="5" t="str">
        <f>IF(E694="","",IF(AND(F694="نعم",G694="نعم"),"جرد + مراجعة",IF(F694="نعم","جرد فقط",IF(G694="نعم","مراجعة فقط",""))))</f>
        <v/>
      </c>
      <c r="I694" s="9">
        <f>IF(H694="جرد + مراجعة",الإعدادات!$B$2,IF(H694="مراجعة فقط",الإعدادات!$B$3,IF(H694="جرد فقط",الإعدادات!$B$4,0)))</f>
        <v>0</v>
      </c>
    </row>
    <row r="695">
      <c r="A695" s="4" t="n"/>
      <c r="B695" s="5" t="str">
        <f>IF(A695="","",IFERROR(INDEX('جدول الجرد'!$A$2:$A$29,MATCH(A695,'جدول الجرد'!$B$2:$B$29,0)),""))</f>
        <v/>
      </c>
      <c r="C695" s="5" t="str">
        <f>IF(A695="","",IFERROR(INDEX('جدول الجرد'!$E$2:$E$29,MATCH(A695,'جدول الجرد'!$B$2:$B$29,0)),""))</f>
        <v/>
      </c>
      <c r="D695" s="4" t="n"/>
      <c r="E695" s="4" t="n"/>
      <c r="F695" s="4" t="n"/>
      <c r="G695" s="4" t="n"/>
      <c r="H695" s="5" t="str">
        <f>IF(E695="","",IF(AND(F695="نعم",G695="نعم"),"جرد + مراجعة",IF(F695="نعم","جرد فقط",IF(G695="نعم","مراجعة فقط",""))))</f>
        <v/>
      </c>
      <c r="I695" s="9">
        <f>IF(H695="جرد + مراجعة",الإعدادات!$B$2,IF(H695="مراجعة فقط",الإعدادات!$B$3,IF(H695="جرد فقط",الإعدادات!$B$4,0)))</f>
        <v>0</v>
      </c>
    </row>
    <row r="696">
      <c r="A696" s="4" t="n"/>
      <c r="B696" s="5" t="str">
        <f>IF(A696="","",IFERROR(INDEX('جدول الجرد'!$A$2:$A$29,MATCH(A696,'جدول الجرد'!$B$2:$B$29,0)),""))</f>
        <v/>
      </c>
      <c r="C696" s="5" t="str">
        <f>IF(A696="","",IFERROR(INDEX('جدول الجرد'!$E$2:$E$29,MATCH(A696,'جدول الجرد'!$B$2:$B$29,0)),""))</f>
        <v/>
      </c>
      <c r="D696" s="4" t="n"/>
      <c r="E696" s="4" t="n"/>
      <c r="F696" s="4" t="n"/>
      <c r="G696" s="4" t="n"/>
      <c r="H696" s="5" t="str">
        <f>IF(E696="","",IF(AND(F696="نعم",G696="نعم"),"جرد + مراجعة",IF(F696="نعم","جرد فقط",IF(G696="نعم","مراجعة فقط",""))))</f>
        <v/>
      </c>
      <c r="I696" s="9">
        <f>IF(H696="جرد + مراجعة",الإعدادات!$B$2,IF(H696="مراجعة فقط",الإعدادات!$B$3,IF(H696="جرد فقط",الإعدادات!$B$4,0)))</f>
        <v>0</v>
      </c>
    </row>
    <row r="697">
      <c r="A697" s="4" t="n"/>
      <c r="B697" s="5" t="str">
        <f>IF(A697="","",IFERROR(INDEX('جدول الجرد'!$A$2:$A$29,MATCH(A697,'جدول الجرد'!$B$2:$B$29,0)),""))</f>
        <v/>
      </c>
      <c r="C697" s="5" t="str">
        <f>IF(A697="","",IFERROR(INDEX('جدول الجرد'!$E$2:$E$29,MATCH(A697,'جدول الجرد'!$B$2:$B$29,0)),""))</f>
        <v/>
      </c>
      <c r="D697" s="4" t="n"/>
      <c r="E697" s="4" t="n"/>
      <c r="F697" s="4" t="n"/>
      <c r="G697" s="4" t="n"/>
      <c r="H697" s="5" t="str">
        <f>IF(E697="","",IF(AND(F697="نعم",G697="نعم"),"جرد + مراجعة",IF(F697="نعم","جرد فقط",IF(G697="نعم","مراجعة فقط",""))))</f>
        <v/>
      </c>
      <c r="I697" s="9">
        <f>IF(H697="جرد + مراجعة",الإعدادات!$B$2,IF(H697="مراجعة فقط",الإعدادات!$B$3,IF(H697="جرد فقط",الإعدادات!$B$4,0)))</f>
        <v>0</v>
      </c>
    </row>
    <row r="698">
      <c r="A698" s="4" t="n"/>
      <c r="B698" s="5" t="str">
        <f>IF(A698="","",IFERROR(INDEX('جدول الجرد'!$A$2:$A$29,MATCH(A698,'جدول الجرد'!$B$2:$B$29,0)),""))</f>
        <v/>
      </c>
      <c r="C698" s="5" t="str">
        <f>IF(A698="","",IFERROR(INDEX('جدول الجرد'!$E$2:$E$29,MATCH(A698,'جدول الجرد'!$B$2:$B$29,0)),""))</f>
        <v/>
      </c>
      <c r="D698" s="4" t="n"/>
      <c r="E698" s="4" t="n"/>
      <c r="F698" s="4" t="n"/>
      <c r="G698" s="4" t="n"/>
      <c r="H698" s="5" t="str">
        <f>IF(E698="","",IF(AND(F698="نعم",G698="نعم"),"جرد + مراجعة",IF(F698="نعم","جرد فقط",IF(G698="نعم","مراجعة فقط",""))))</f>
        <v/>
      </c>
      <c r="I698" s="9">
        <f>IF(H698="جرد + مراجعة",الإعدادات!$B$2,IF(H698="مراجعة فقط",الإعدادات!$B$3,IF(H698="جرد فقط",الإعدادات!$B$4,0)))</f>
        <v>0</v>
      </c>
    </row>
    <row r="699">
      <c r="A699" s="4" t="n"/>
      <c r="B699" s="5" t="str">
        <f>IF(A699="","",IFERROR(INDEX('جدول الجرد'!$A$2:$A$29,MATCH(A699,'جدول الجرد'!$B$2:$B$29,0)),""))</f>
        <v/>
      </c>
      <c r="C699" s="5" t="str">
        <f>IF(A699="","",IFERROR(INDEX('جدول الجرد'!$E$2:$E$29,MATCH(A699,'جدول الجرد'!$B$2:$B$29,0)),""))</f>
        <v/>
      </c>
      <c r="D699" s="4" t="n"/>
      <c r="E699" s="4" t="n"/>
      <c r="F699" s="4" t="n"/>
      <c r="G699" s="4" t="n"/>
      <c r="H699" s="5" t="str">
        <f>IF(E699="","",IF(AND(F699="نعم",G699="نعم"),"جرد + مراجعة",IF(F699="نعم","جرد فقط",IF(G699="نعم","مراجعة فقط",""))))</f>
        <v/>
      </c>
      <c r="I699" s="9">
        <f>IF(H699="جرد + مراجعة",الإعدادات!$B$2,IF(H699="مراجعة فقط",الإعدادات!$B$3,IF(H699="جرد فقط",الإعدادات!$B$4,0)))</f>
        <v>0</v>
      </c>
    </row>
    <row r="700">
      <c r="A700" s="4" t="n"/>
      <c r="B700" s="5" t="str">
        <f>IF(A700="","",IFERROR(INDEX('جدول الجرد'!$A$2:$A$29,MATCH(A700,'جدول الجرد'!$B$2:$B$29,0)),""))</f>
        <v/>
      </c>
      <c r="C700" s="5" t="str">
        <f>IF(A700="","",IFERROR(INDEX('جدول الجرد'!$E$2:$E$29,MATCH(A700,'جدول الجرد'!$B$2:$B$29,0)),""))</f>
        <v/>
      </c>
      <c r="D700" s="4" t="n"/>
      <c r="E700" s="4" t="n"/>
      <c r="F700" s="4" t="n"/>
      <c r="G700" s="4" t="n"/>
      <c r="H700" s="5" t="str">
        <f>IF(E700="","",IF(AND(F700="نعم",G700="نعم"),"جرد + مراجعة",IF(F700="نعم","جرد فقط",IF(G700="نعم","مراجعة فقط",""))))</f>
        <v/>
      </c>
      <c r="I700" s="9">
        <f>IF(H700="جرد + مراجعة",الإعدادات!$B$2,IF(H700="مراجعة فقط",الإعدادات!$B$3,IF(H700="جرد فقط",الإعدادات!$B$4,0)))</f>
        <v>0</v>
      </c>
    </row>
    <row r="701">
      <c r="A701" s="4" t="n"/>
      <c r="B701" s="5" t="str">
        <f>IF(A701="","",IFERROR(INDEX('جدول الجرد'!$A$2:$A$29,MATCH(A701,'جدول الجرد'!$B$2:$B$29,0)),""))</f>
        <v/>
      </c>
      <c r="C701" s="5" t="str">
        <f>IF(A701="","",IFERROR(INDEX('جدول الجرد'!$E$2:$E$29,MATCH(A701,'جدول الجرد'!$B$2:$B$29,0)),""))</f>
        <v/>
      </c>
      <c r="D701" s="4" t="n"/>
      <c r="E701" s="4" t="n"/>
      <c r="F701" s="4" t="n"/>
      <c r="G701" s="4" t="n"/>
      <c r="H701" s="5" t="str">
        <f>IF(E701="","",IF(AND(F701="نعم",G701="نعم"),"جرد + مراجعة",IF(F701="نعم","جرد فقط",IF(G701="نعم","مراجعة فقط",""))))</f>
        <v/>
      </c>
      <c r="I701" s="9">
        <f>IF(H701="جرد + مراجعة",الإعدادات!$B$2,IF(H701="مراجعة فقط",الإعدادات!$B$3,IF(H701="جرد فقط",الإعدادات!$B$4,0)))</f>
        <v>0</v>
      </c>
    </row>
    <row r="702">
      <c r="A702" s="4" t="n"/>
      <c r="B702" s="5" t="str">
        <f>IF(A702="","",IFERROR(INDEX('جدول الجرد'!$A$2:$A$29,MATCH(A702,'جدول الجرد'!$B$2:$B$29,0)),""))</f>
        <v/>
      </c>
      <c r="C702" s="5" t="str">
        <f>IF(A702="","",IFERROR(INDEX('جدول الجرد'!$E$2:$E$29,MATCH(A702,'جدول الجرد'!$B$2:$B$29,0)),""))</f>
        <v/>
      </c>
      <c r="D702" s="4" t="n"/>
      <c r="E702" s="4" t="n"/>
      <c r="F702" s="4" t="n"/>
      <c r="G702" s="4" t="n"/>
      <c r="H702" s="5" t="str">
        <f>IF(E702="","",IF(AND(F702="نعم",G702="نعم"),"جرد + مراجعة",IF(F702="نعم","جرد فقط",IF(G702="نعم","مراجعة فقط",""))))</f>
        <v/>
      </c>
      <c r="I702" s="9">
        <f>IF(H702="جرد + مراجعة",الإعدادات!$B$2,IF(H702="مراجعة فقط",الإعدادات!$B$3,IF(H702="جرد فقط",الإعدادات!$B$4,0)))</f>
        <v>0</v>
      </c>
    </row>
    <row r="703">
      <c r="A703" s="4" t="n"/>
      <c r="B703" s="5" t="str">
        <f>IF(A703="","",IFERROR(INDEX('جدول الجرد'!$A$2:$A$29,MATCH(A703,'جدول الجرد'!$B$2:$B$29,0)),""))</f>
        <v/>
      </c>
      <c r="C703" s="5" t="str">
        <f>IF(A703="","",IFERROR(INDEX('جدول الجرد'!$E$2:$E$29,MATCH(A703,'جدول الجرد'!$B$2:$B$29,0)),""))</f>
        <v/>
      </c>
      <c r="D703" s="4" t="n"/>
      <c r="E703" s="4" t="n"/>
      <c r="F703" s="4" t="n"/>
      <c r="G703" s="4" t="n"/>
      <c r="H703" s="5" t="str">
        <f>IF(E703="","",IF(AND(F703="نعم",G703="نعم"),"جرد + مراجعة",IF(F703="نعم","جرد فقط",IF(G703="نعم","مراجعة فقط",""))))</f>
        <v/>
      </c>
      <c r="I703" s="9">
        <f>IF(H703="جرد + مراجعة",الإعدادات!$B$2,IF(H703="مراجعة فقط",الإعدادات!$B$3,IF(H703="جرد فقط",الإعدادات!$B$4,0)))</f>
        <v>0</v>
      </c>
    </row>
    <row r="704">
      <c r="A704" s="4" t="n"/>
      <c r="B704" s="5" t="str">
        <f>IF(A704="","",IFERROR(INDEX('جدول الجرد'!$A$2:$A$29,MATCH(A704,'جدول الجرد'!$B$2:$B$29,0)),""))</f>
        <v/>
      </c>
      <c r="C704" s="5" t="str">
        <f>IF(A704="","",IFERROR(INDEX('جدول الجرد'!$E$2:$E$29,MATCH(A704,'جدول الجرد'!$B$2:$B$29,0)),""))</f>
        <v/>
      </c>
      <c r="D704" s="4" t="n"/>
      <c r="E704" s="4" t="n"/>
      <c r="F704" s="4" t="n"/>
      <c r="G704" s="4" t="n"/>
      <c r="H704" s="5" t="str">
        <f>IF(E704="","",IF(AND(F704="نعم",G704="نعم"),"جرد + مراجعة",IF(F704="نعم","جرد فقط",IF(G704="نعم","مراجعة فقط",""))))</f>
        <v/>
      </c>
      <c r="I704" s="9">
        <f>IF(H704="جرد + مراجعة",الإعدادات!$B$2,IF(H704="مراجعة فقط",الإعدادات!$B$3,IF(H704="جرد فقط",الإعدادات!$B$4,0)))</f>
        <v>0</v>
      </c>
    </row>
    <row r="705">
      <c r="A705" s="4" t="n"/>
      <c r="B705" s="5" t="str">
        <f>IF(A705="","",IFERROR(INDEX('جدول الجرد'!$A$2:$A$29,MATCH(A705,'جدول الجرد'!$B$2:$B$29,0)),""))</f>
        <v/>
      </c>
      <c r="C705" s="5" t="str">
        <f>IF(A705="","",IFERROR(INDEX('جدول الجرد'!$E$2:$E$29,MATCH(A705,'جدول الجرد'!$B$2:$B$29,0)),""))</f>
        <v/>
      </c>
      <c r="D705" s="4" t="n"/>
      <c r="E705" s="4" t="n"/>
      <c r="F705" s="4" t="n"/>
      <c r="G705" s="4" t="n"/>
      <c r="H705" s="5" t="str">
        <f>IF(E705="","",IF(AND(F705="نعم",G705="نعم"),"جرد + مراجعة",IF(F705="نعم","جرد فقط",IF(G705="نعم","مراجعة فقط",""))))</f>
        <v/>
      </c>
      <c r="I705" s="9">
        <f>IF(H705="جرد + مراجعة",الإعدادات!$B$2,IF(H705="مراجعة فقط",الإعدادات!$B$3,IF(H705="جرد فقط",الإعدادات!$B$4,0)))</f>
        <v>0</v>
      </c>
    </row>
    <row r="706">
      <c r="A706" s="4" t="n"/>
      <c r="B706" s="5" t="str">
        <f>IF(A706="","",IFERROR(INDEX('جدول الجرد'!$A$2:$A$29,MATCH(A706,'جدول الجرد'!$B$2:$B$29,0)),""))</f>
        <v/>
      </c>
      <c r="C706" s="5" t="str">
        <f>IF(A706="","",IFERROR(INDEX('جدول الجرد'!$E$2:$E$29,MATCH(A706,'جدول الجرد'!$B$2:$B$29,0)),""))</f>
        <v/>
      </c>
      <c r="D706" s="4" t="n"/>
      <c r="E706" s="4" t="n"/>
      <c r="F706" s="4" t="n"/>
      <c r="G706" s="4" t="n"/>
      <c r="H706" s="5" t="str">
        <f>IF(E706="","",IF(AND(F706="نعم",G706="نعم"),"جرد + مراجعة",IF(F706="نعم","جرد فقط",IF(G706="نعم","مراجعة فقط",""))))</f>
        <v/>
      </c>
      <c r="I706" s="9">
        <f>IF(H706="جرد + مراجعة",الإعدادات!$B$2,IF(H706="مراجعة فقط",الإعدادات!$B$3,IF(H706="جرد فقط",الإعدادات!$B$4,0)))</f>
        <v>0</v>
      </c>
    </row>
    <row r="707">
      <c r="A707" s="4" t="n"/>
      <c r="B707" s="5" t="str">
        <f>IF(A707="","",IFERROR(INDEX('جدول الجرد'!$A$2:$A$29,MATCH(A707,'جدول الجرد'!$B$2:$B$29,0)),""))</f>
        <v/>
      </c>
      <c r="C707" s="5" t="str">
        <f>IF(A707="","",IFERROR(INDEX('جدول الجرد'!$E$2:$E$29,MATCH(A707,'جدول الجرد'!$B$2:$B$29,0)),""))</f>
        <v/>
      </c>
      <c r="D707" s="4" t="n"/>
      <c r="E707" s="4" t="n"/>
      <c r="F707" s="4" t="n"/>
      <c r="G707" s="4" t="n"/>
      <c r="H707" s="5" t="str">
        <f>IF(E707="","",IF(AND(F707="نعم",G707="نعم"),"جرد + مراجعة",IF(F707="نعم","جرد فقط",IF(G707="نعم","مراجعة فقط",""))))</f>
        <v/>
      </c>
      <c r="I707" s="9">
        <f>IF(H707="جرد + مراجعة",الإعدادات!$B$2,IF(H707="مراجعة فقط",الإعدادات!$B$3,IF(H707="جرد فقط",الإعدادات!$B$4,0)))</f>
        <v>0</v>
      </c>
    </row>
    <row r="708">
      <c r="A708" s="4" t="n"/>
      <c r="B708" s="5" t="str">
        <f>IF(A708="","",IFERROR(INDEX('جدول الجرد'!$A$2:$A$29,MATCH(A708,'جدول الجرد'!$B$2:$B$29,0)),""))</f>
        <v/>
      </c>
      <c r="C708" s="5" t="str">
        <f>IF(A708="","",IFERROR(INDEX('جدول الجرد'!$E$2:$E$29,MATCH(A708,'جدول الجرد'!$B$2:$B$29,0)),""))</f>
        <v/>
      </c>
      <c r="D708" s="4" t="n"/>
      <c r="E708" s="4" t="n"/>
      <c r="F708" s="4" t="n"/>
      <c r="G708" s="4" t="n"/>
      <c r="H708" s="5" t="str">
        <f>IF(E708="","",IF(AND(F708="نعم",G708="نعم"),"جرد + مراجعة",IF(F708="نعم","جرد فقط",IF(G708="نعم","مراجعة فقط",""))))</f>
        <v/>
      </c>
      <c r="I708" s="9">
        <f>IF(H708="جرد + مراجعة",الإعدادات!$B$2,IF(H708="مراجعة فقط",الإعدادات!$B$3,IF(H708="جرد فقط",الإعدادات!$B$4,0)))</f>
        <v>0</v>
      </c>
    </row>
    <row r="709">
      <c r="A709" s="4" t="n"/>
      <c r="B709" s="5" t="str">
        <f>IF(A709="","",IFERROR(INDEX('جدول الجرد'!$A$2:$A$29,MATCH(A709,'جدول الجرد'!$B$2:$B$29,0)),""))</f>
        <v/>
      </c>
      <c r="C709" s="5" t="str">
        <f>IF(A709="","",IFERROR(INDEX('جدول الجرد'!$E$2:$E$29,MATCH(A709,'جدول الجرد'!$B$2:$B$29,0)),""))</f>
        <v/>
      </c>
      <c r="D709" s="4" t="n"/>
      <c r="E709" s="4" t="n"/>
      <c r="F709" s="4" t="n"/>
      <c r="G709" s="4" t="n"/>
      <c r="H709" s="5" t="str">
        <f>IF(E709="","",IF(AND(F709="نعم",G709="نعم"),"جرد + مراجعة",IF(F709="نعم","جرد فقط",IF(G709="نعم","مراجعة فقط",""))))</f>
        <v/>
      </c>
      <c r="I709" s="9">
        <f>IF(H709="جرد + مراجعة",الإعدادات!$B$2,IF(H709="مراجعة فقط",الإعدادات!$B$3,IF(H709="جرد فقط",الإعدادات!$B$4,0)))</f>
        <v>0</v>
      </c>
    </row>
    <row r="710">
      <c r="A710" s="4" t="n"/>
      <c r="B710" s="5" t="str">
        <f>IF(A710="","",IFERROR(INDEX('جدول الجرد'!$A$2:$A$29,MATCH(A710,'جدول الجرد'!$B$2:$B$29,0)),""))</f>
        <v/>
      </c>
      <c r="C710" s="5" t="str">
        <f>IF(A710="","",IFERROR(INDEX('جدول الجرد'!$E$2:$E$29,MATCH(A710,'جدول الجرد'!$B$2:$B$29,0)),""))</f>
        <v/>
      </c>
      <c r="D710" s="4" t="n"/>
      <c r="E710" s="4" t="n"/>
      <c r="F710" s="4" t="n"/>
      <c r="G710" s="4" t="n"/>
      <c r="H710" s="5" t="str">
        <f>IF(E710="","",IF(AND(F710="نعم",G710="نعم"),"جرد + مراجعة",IF(F710="نعم","جرد فقط",IF(G710="نعم","مراجعة فقط",""))))</f>
        <v/>
      </c>
      <c r="I710" s="9">
        <f>IF(H710="جرد + مراجعة",الإعدادات!$B$2,IF(H710="مراجعة فقط",الإعدادات!$B$3,IF(H710="جرد فقط",الإعدادات!$B$4,0)))</f>
        <v>0</v>
      </c>
    </row>
    <row r="711">
      <c r="A711" s="4" t="n"/>
      <c r="B711" s="5" t="str">
        <f>IF(A711="","",IFERROR(INDEX('جدول الجرد'!$A$2:$A$29,MATCH(A711,'جدول الجرد'!$B$2:$B$29,0)),""))</f>
        <v/>
      </c>
      <c r="C711" s="5" t="str">
        <f>IF(A711="","",IFERROR(INDEX('جدول الجرد'!$E$2:$E$29,MATCH(A711,'جدول الجرد'!$B$2:$B$29,0)),""))</f>
        <v/>
      </c>
      <c r="D711" s="4" t="n"/>
      <c r="E711" s="4" t="n"/>
      <c r="F711" s="4" t="n"/>
      <c r="G711" s="4" t="n"/>
      <c r="H711" s="5" t="str">
        <f>IF(E711="","",IF(AND(F711="نعم",G711="نعم"),"جرد + مراجعة",IF(F711="نعم","جرد فقط",IF(G711="نعم","مراجعة فقط",""))))</f>
        <v/>
      </c>
      <c r="I711" s="9">
        <f>IF(H711="جرد + مراجعة",الإعدادات!$B$2,IF(H711="مراجعة فقط",الإعدادات!$B$3,IF(H711="جرد فقط",الإعدادات!$B$4,0)))</f>
        <v>0</v>
      </c>
    </row>
    <row r="712">
      <c r="A712" s="4" t="n"/>
      <c r="B712" s="5" t="str">
        <f>IF(A712="","",IFERROR(INDEX('جدول الجرد'!$A$2:$A$29,MATCH(A712,'جدول الجرد'!$B$2:$B$29,0)),""))</f>
        <v/>
      </c>
      <c r="C712" s="5" t="str">
        <f>IF(A712="","",IFERROR(INDEX('جدول الجرد'!$E$2:$E$29,MATCH(A712,'جدول الجرد'!$B$2:$B$29,0)),""))</f>
        <v/>
      </c>
      <c r="D712" s="4" t="n"/>
      <c r="E712" s="4" t="n"/>
      <c r="F712" s="4" t="n"/>
      <c r="G712" s="4" t="n"/>
      <c r="H712" s="5" t="str">
        <f>IF(E712="","",IF(AND(F712="نعم",G712="نعم"),"جرد + مراجعة",IF(F712="نعم","جرد فقط",IF(G712="نعم","مراجعة فقط",""))))</f>
        <v/>
      </c>
      <c r="I712" s="9">
        <f>IF(H712="جرد + مراجعة",الإعدادات!$B$2,IF(H712="مراجعة فقط",الإعدادات!$B$3,IF(H712="جرد فقط",الإعدادات!$B$4,0)))</f>
        <v>0</v>
      </c>
    </row>
    <row r="713">
      <c r="A713" s="4" t="n"/>
      <c r="B713" s="5" t="str">
        <f>IF(A713="","",IFERROR(INDEX('جدول الجرد'!$A$2:$A$29,MATCH(A713,'جدول الجرد'!$B$2:$B$29,0)),""))</f>
        <v/>
      </c>
      <c r="C713" s="5" t="str">
        <f>IF(A713="","",IFERROR(INDEX('جدول الجرد'!$E$2:$E$29,MATCH(A713,'جدول الجرد'!$B$2:$B$29,0)),""))</f>
        <v/>
      </c>
      <c r="D713" s="4" t="n"/>
      <c r="E713" s="4" t="n"/>
      <c r="F713" s="4" t="n"/>
      <c r="G713" s="4" t="n"/>
      <c r="H713" s="5" t="str">
        <f>IF(E713="","",IF(AND(F713="نعم",G713="نعم"),"جرد + مراجعة",IF(F713="نعم","جرد فقط",IF(G713="نعم","مراجعة فقط",""))))</f>
        <v/>
      </c>
      <c r="I713" s="9">
        <f>IF(H713="جرد + مراجعة",الإعدادات!$B$2,IF(H713="مراجعة فقط",الإعدادات!$B$3,IF(H713="جرد فقط",الإعدادات!$B$4,0)))</f>
        <v>0</v>
      </c>
    </row>
    <row r="714">
      <c r="A714" s="4" t="n"/>
      <c r="B714" s="5" t="str">
        <f>IF(A714="","",IFERROR(INDEX('جدول الجرد'!$A$2:$A$29,MATCH(A714,'جدول الجرد'!$B$2:$B$29,0)),""))</f>
        <v/>
      </c>
      <c r="C714" s="5" t="str">
        <f>IF(A714="","",IFERROR(INDEX('جدول الجرد'!$E$2:$E$29,MATCH(A714,'جدول الجرد'!$B$2:$B$29,0)),""))</f>
        <v/>
      </c>
      <c r="D714" s="4" t="n"/>
      <c r="E714" s="4" t="n"/>
      <c r="F714" s="4" t="n"/>
      <c r="G714" s="4" t="n"/>
      <c r="H714" s="5" t="str">
        <f>IF(E714="","",IF(AND(F714="نعم",G714="نعم"),"جرد + مراجعة",IF(F714="نعم","جرد فقط",IF(G714="نعم","مراجعة فقط",""))))</f>
        <v/>
      </c>
      <c r="I714" s="9">
        <f>IF(H714="جرد + مراجعة",الإعدادات!$B$2,IF(H714="مراجعة فقط",الإعدادات!$B$3,IF(H714="جرد فقط",الإعدادات!$B$4,0)))</f>
        <v>0</v>
      </c>
    </row>
    <row r="715">
      <c r="A715" s="4" t="n"/>
      <c r="B715" s="5" t="str">
        <f>IF(A715="","",IFERROR(INDEX('جدول الجرد'!$A$2:$A$29,MATCH(A715,'جدول الجرد'!$B$2:$B$29,0)),""))</f>
        <v/>
      </c>
      <c r="C715" s="5" t="str">
        <f>IF(A715="","",IFERROR(INDEX('جدول الجرد'!$E$2:$E$29,MATCH(A715,'جدول الجرد'!$B$2:$B$29,0)),""))</f>
        <v/>
      </c>
      <c r="D715" s="4" t="n"/>
      <c r="E715" s="4" t="n"/>
      <c r="F715" s="4" t="n"/>
      <c r="G715" s="4" t="n"/>
      <c r="H715" s="5" t="str">
        <f>IF(E715="","",IF(AND(F715="نعم",G715="نعم"),"جرد + مراجعة",IF(F715="نعم","جرد فقط",IF(G715="نعم","مراجعة فقط",""))))</f>
        <v/>
      </c>
      <c r="I715" s="9">
        <f>IF(H715="جرد + مراجعة",الإعدادات!$B$2,IF(H715="مراجعة فقط",الإعدادات!$B$3,IF(H715="جرد فقط",الإعدادات!$B$4,0)))</f>
        <v>0</v>
      </c>
    </row>
    <row r="716">
      <c r="A716" s="4" t="n"/>
      <c r="B716" s="5" t="str">
        <f>IF(A716="","",IFERROR(INDEX('جدول الجرد'!$A$2:$A$29,MATCH(A716,'جدول الجرد'!$B$2:$B$29,0)),""))</f>
        <v/>
      </c>
      <c r="C716" s="5" t="str">
        <f>IF(A716="","",IFERROR(INDEX('جدول الجرد'!$E$2:$E$29,MATCH(A716,'جدول الجرد'!$B$2:$B$29,0)),""))</f>
        <v/>
      </c>
      <c r="D716" s="4" t="n"/>
      <c r="E716" s="4" t="n"/>
      <c r="F716" s="4" t="n"/>
      <c r="G716" s="4" t="n"/>
      <c r="H716" s="5" t="str">
        <f>IF(E716="","",IF(AND(F716="نعم",G716="نعم"),"جرد + مراجعة",IF(F716="نعم","جرد فقط",IF(G716="نعم","مراجعة فقط",""))))</f>
        <v/>
      </c>
      <c r="I716" s="9">
        <f>IF(H716="جرد + مراجعة",الإعدادات!$B$2,IF(H716="مراجعة فقط",الإعدادات!$B$3,IF(H716="جرد فقط",الإعدادات!$B$4,0)))</f>
        <v>0</v>
      </c>
    </row>
    <row r="717">
      <c r="A717" s="4" t="n"/>
      <c r="B717" s="5" t="str">
        <f>IF(A717="","",IFERROR(INDEX('جدول الجرد'!$A$2:$A$29,MATCH(A717,'جدول الجرد'!$B$2:$B$29,0)),""))</f>
        <v/>
      </c>
      <c r="C717" s="5" t="str">
        <f>IF(A717="","",IFERROR(INDEX('جدول الجرد'!$E$2:$E$29,MATCH(A717,'جدول الجرد'!$B$2:$B$29,0)),""))</f>
        <v/>
      </c>
      <c r="D717" s="4" t="n"/>
      <c r="E717" s="4" t="n"/>
      <c r="F717" s="4" t="n"/>
      <c r="G717" s="4" t="n"/>
      <c r="H717" s="5" t="str">
        <f>IF(E717="","",IF(AND(F717="نعم",G717="نعم"),"جرد + مراجعة",IF(F717="نعم","جرد فقط",IF(G717="نعم","مراجعة فقط",""))))</f>
        <v/>
      </c>
      <c r="I717" s="9">
        <f>IF(H717="جرد + مراجعة",الإعدادات!$B$2,IF(H717="مراجعة فقط",الإعدادات!$B$3,IF(H717="جرد فقط",الإعدادات!$B$4,0)))</f>
        <v>0</v>
      </c>
    </row>
    <row r="718">
      <c r="A718" s="4" t="n"/>
      <c r="B718" s="5" t="str">
        <f>IF(A718="","",IFERROR(INDEX('جدول الجرد'!$A$2:$A$29,MATCH(A718,'جدول الجرد'!$B$2:$B$29,0)),""))</f>
        <v/>
      </c>
      <c r="C718" s="5" t="str">
        <f>IF(A718="","",IFERROR(INDEX('جدول الجرد'!$E$2:$E$29,MATCH(A718,'جدول الجرد'!$B$2:$B$29,0)),""))</f>
        <v/>
      </c>
      <c r="D718" s="4" t="n"/>
      <c r="E718" s="4" t="n"/>
      <c r="F718" s="4" t="n"/>
      <c r="G718" s="4" t="n"/>
      <c r="H718" s="5" t="str">
        <f>IF(E718="","",IF(AND(F718="نعم",G718="نعم"),"جرد + مراجعة",IF(F718="نعم","جرد فقط",IF(G718="نعم","مراجعة فقط",""))))</f>
        <v/>
      </c>
      <c r="I718" s="9">
        <f>IF(H718="جرد + مراجعة",الإعدادات!$B$2,IF(H718="مراجعة فقط",الإعدادات!$B$3,IF(H718="جرد فقط",الإعدادات!$B$4,0)))</f>
        <v>0</v>
      </c>
    </row>
    <row r="719">
      <c r="A719" s="4" t="n"/>
      <c r="B719" s="5" t="str">
        <f>IF(A719="","",IFERROR(INDEX('جدول الجرد'!$A$2:$A$29,MATCH(A719,'جدول الجرد'!$B$2:$B$29,0)),""))</f>
        <v/>
      </c>
      <c r="C719" s="5" t="str">
        <f>IF(A719="","",IFERROR(INDEX('جدول الجرد'!$E$2:$E$29,MATCH(A719,'جدول الجرد'!$B$2:$B$29,0)),""))</f>
        <v/>
      </c>
      <c r="D719" s="4" t="n"/>
      <c r="E719" s="4" t="n"/>
      <c r="F719" s="4" t="n"/>
      <c r="G719" s="4" t="n"/>
      <c r="H719" s="5" t="str">
        <f>IF(E719="","",IF(AND(F719="نعم",G719="نعم"),"جرد + مراجعة",IF(F719="نعم","جرد فقط",IF(G719="نعم","مراجعة فقط",""))))</f>
        <v/>
      </c>
      <c r="I719" s="9">
        <f>IF(H719="جرد + مراجعة",الإعدادات!$B$2,IF(H719="مراجعة فقط",الإعدادات!$B$3,IF(H719="جرد فقط",الإعدادات!$B$4,0)))</f>
        <v>0</v>
      </c>
    </row>
    <row r="720">
      <c r="A720" s="4" t="n"/>
      <c r="B720" s="5" t="str">
        <f>IF(A720="","",IFERROR(INDEX('جدول الجرد'!$A$2:$A$29,MATCH(A720,'جدول الجرد'!$B$2:$B$29,0)),""))</f>
        <v/>
      </c>
      <c r="C720" s="5" t="str">
        <f>IF(A720="","",IFERROR(INDEX('جدول الجرد'!$E$2:$E$29,MATCH(A720,'جدول الجرد'!$B$2:$B$29,0)),""))</f>
        <v/>
      </c>
      <c r="D720" s="4" t="n"/>
      <c r="E720" s="4" t="n"/>
      <c r="F720" s="4" t="n"/>
      <c r="G720" s="4" t="n"/>
      <c r="H720" s="5" t="str">
        <f>IF(E720="","",IF(AND(F720="نعم",G720="نعم"),"جرد + مراجعة",IF(F720="نعم","جرد فقط",IF(G720="نعم","مراجعة فقط",""))))</f>
        <v/>
      </c>
      <c r="I720" s="9">
        <f>IF(H720="جرد + مراجعة",الإعدادات!$B$2,IF(H720="مراجعة فقط",الإعدادات!$B$3,IF(H720="جرد فقط",الإعدادات!$B$4,0)))</f>
        <v>0</v>
      </c>
    </row>
    <row r="721">
      <c r="A721" s="4" t="n"/>
      <c r="B721" s="5" t="str">
        <f>IF(A721="","",IFERROR(INDEX('جدول الجرد'!$A$2:$A$29,MATCH(A721,'جدول الجرد'!$B$2:$B$29,0)),""))</f>
        <v/>
      </c>
      <c r="C721" s="5" t="str">
        <f>IF(A721="","",IFERROR(INDEX('جدول الجرد'!$E$2:$E$29,MATCH(A721,'جدول الجرد'!$B$2:$B$29,0)),""))</f>
        <v/>
      </c>
      <c r="D721" s="4" t="n"/>
      <c r="E721" s="4" t="n"/>
      <c r="F721" s="4" t="n"/>
      <c r="G721" s="4" t="n"/>
      <c r="H721" s="5" t="str">
        <f>IF(E721="","",IF(AND(F721="نعم",G721="نعم"),"جرد + مراجعة",IF(F721="نعم","جرد فقط",IF(G721="نعم","مراجعة فقط",""))))</f>
        <v/>
      </c>
      <c r="I721" s="9">
        <f>IF(H721="جرد + مراجعة",الإعدادات!$B$2,IF(H721="مراجعة فقط",الإعدادات!$B$3,IF(H721="جرد فقط",الإعدادات!$B$4,0)))</f>
        <v>0</v>
      </c>
    </row>
    <row r="722">
      <c r="A722" s="4" t="n"/>
      <c r="B722" s="5" t="str">
        <f>IF(A722="","",IFERROR(INDEX('جدول الجرد'!$A$2:$A$29,MATCH(A722,'جدول الجرد'!$B$2:$B$29,0)),""))</f>
        <v/>
      </c>
      <c r="C722" s="5" t="str">
        <f>IF(A722="","",IFERROR(INDEX('جدول الجرد'!$E$2:$E$29,MATCH(A722,'جدول الجرد'!$B$2:$B$29,0)),""))</f>
        <v/>
      </c>
      <c r="D722" s="4" t="n"/>
      <c r="E722" s="4" t="n"/>
      <c r="F722" s="4" t="n"/>
      <c r="G722" s="4" t="n"/>
      <c r="H722" s="5" t="str">
        <f>IF(E722="","",IF(AND(F722="نعم",G722="نعم"),"جرد + مراجعة",IF(F722="نعم","جرد فقط",IF(G722="نعم","مراجعة فقط",""))))</f>
        <v/>
      </c>
      <c r="I722" s="9">
        <f>IF(H722="جرد + مراجعة",الإعدادات!$B$2,IF(H722="مراجعة فقط",الإعدادات!$B$3,IF(H722="جرد فقط",الإعدادات!$B$4,0)))</f>
        <v>0</v>
      </c>
    </row>
    <row r="723">
      <c r="A723" s="4" t="n"/>
      <c r="B723" s="5" t="str">
        <f>IF(A723="","",IFERROR(INDEX('جدول الجرد'!$A$2:$A$29,MATCH(A723,'جدول الجرد'!$B$2:$B$29,0)),""))</f>
        <v/>
      </c>
      <c r="C723" s="5" t="str">
        <f>IF(A723="","",IFERROR(INDEX('جدول الجرد'!$E$2:$E$29,MATCH(A723,'جدول الجرد'!$B$2:$B$29,0)),""))</f>
        <v/>
      </c>
      <c r="D723" s="4" t="n"/>
      <c r="E723" s="4" t="n"/>
      <c r="F723" s="4" t="n"/>
      <c r="G723" s="4" t="n"/>
      <c r="H723" s="5" t="str">
        <f>IF(E723="","",IF(AND(F723="نعم",G723="نعم"),"جرد + مراجعة",IF(F723="نعم","جرد فقط",IF(G723="نعم","مراجعة فقط",""))))</f>
        <v/>
      </c>
      <c r="I723" s="9">
        <f>IF(H723="جرد + مراجعة",الإعدادات!$B$2,IF(H723="مراجعة فقط",الإعدادات!$B$3,IF(H723="جرد فقط",الإعدادات!$B$4,0)))</f>
        <v>0</v>
      </c>
    </row>
    <row r="724">
      <c r="A724" s="4" t="n"/>
      <c r="B724" s="5" t="str">
        <f>IF(A724="","",IFERROR(INDEX('جدول الجرد'!$A$2:$A$29,MATCH(A724,'جدول الجرد'!$B$2:$B$29,0)),""))</f>
        <v/>
      </c>
      <c r="C724" s="5" t="str">
        <f>IF(A724="","",IFERROR(INDEX('جدول الجرد'!$E$2:$E$29,MATCH(A724,'جدول الجرد'!$B$2:$B$29,0)),""))</f>
        <v/>
      </c>
      <c r="D724" s="4" t="n"/>
      <c r="E724" s="4" t="n"/>
      <c r="F724" s="4" t="n"/>
      <c r="G724" s="4" t="n"/>
      <c r="H724" s="5" t="str">
        <f>IF(E724="","",IF(AND(F724="نعم",G724="نعم"),"جرد + مراجعة",IF(F724="نعم","جرد فقط",IF(G724="نعم","مراجعة فقط",""))))</f>
        <v/>
      </c>
      <c r="I724" s="9">
        <f>IF(H724="جرد + مراجعة",الإعدادات!$B$2,IF(H724="مراجعة فقط",الإعدادات!$B$3,IF(H724="جرد فقط",الإعدادات!$B$4,0)))</f>
        <v>0</v>
      </c>
    </row>
    <row r="725">
      <c r="A725" s="4" t="n"/>
      <c r="B725" s="5" t="str">
        <f>IF(A725="","",IFERROR(INDEX('جدول الجرد'!$A$2:$A$29,MATCH(A725,'جدول الجرد'!$B$2:$B$29,0)),""))</f>
        <v/>
      </c>
      <c r="C725" s="5" t="str">
        <f>IF(A725="","",IFERROR(INDEX('جدول الجرد'!$E$2:$E$29,MATCH(A725,'جدول الجرد'!$B$2:$B$29,0)),""))</f>
        <v/>
      </c>
      <c r="D725" s="4" t="n"/>
      <c r="E725" s="4" t="n"/>
      <c r="F725" s="4" t="n"/>
      <c r="G725" s="4" t="n"/>
      <c r="H725" s="5" t="str">
        <f>IF(E725="","",IF(AND(F725="نعم",G725="نعم"),"جرد + مراجعة",IF(F725="نعم","جرد فقط",IF(G725="نعم","مراجعة فقط",""))))</f>
        <v/>
      </c>
      <c r="I725" s="9">
        <f>IF(H725="جرد + مراجعة",الإعدادات!$B$2,IF(H725="مراجعة فقط",الإعدادات!$B$3,IF(H725="جرد فقط",الإعدادات!$B$4,0)))</f>
        <v>0</v>
      </c>
    </row>
    <row r="726">
      <c r="A726" s="4" t="n"/>
      <c r="B726" s="5" t="str">
        <f>IF(A726="","",IFERROR(INDEX('جدول الجرد'!$A$2:$A$29,MATCH(A726,'جدول الجرد'!$B$2:$B$29,0)),""))</f>
        <v/>
      </c>
      <c r="C726" s="5" t="str">
        <f>IF(A726="","",IFERROR(INDEX('جدول الجرد'!$E$2:$E$29,MATCH(A726,'جدول الجرد'!$B$2:$B$29,0)),""))</f>
        <v/>
      </c>
      <c r="D726" s="4" t="n"/>
      <c r="E726" s="4" t="n"/>
      <c r="F726" s="4" t="n"/>
      <c r="G726" s="4" t="n"/>
      <c r="H726" s="5" t="str">
        <f>IF(E726="","",IF(AND(F726="نعم",G726="نعم"),"جرد + مراجعة",IF(F726="نعم","جرد فقط",IF(G726="نعم","مراجعة فقط",""))))</f>
        <v/>
      </c>
      <c r="I726" s="9">
        <f>IF(H726="جرد + مراجعة",الإعدادات!$B$2,IF(H726="مراجعة فقط",الإعدادات!$B$3,IF(H726="جرد فقط",الإعدادات!$B$4,0)))</f>
        <v>0</v>
      </c>
    </row>
    <row r="727">
      <c r="A727" s="4" t="n"/>
      <c r="B727" s="5" t="str">
        <f>IF(A727="","",IFERROR(INDEX('جدول الجرد'!$A$2:$A$29,MATCH(A727,'جدول الجرد'!$B$2:$B$29,0)),""))</f>
        <v/>
      </c>
      <c r="C727" s="5" t="str">
        <f>IF(A727="","",IFERROR(INDEX('جدول الجرد'!$E$2:$E$29,MATCH(A727,'جدول الجرد'!$B$2:$B$29,0)),""))</f>
        <v/>
      </c>
      <c r="D727" s="4" t="n"/>
      <c r="E727" s="4" t="n"/>
      <c r="F727" s="4" t="n"/>
      <c r="G727" s="4" t="n"/>
      <c r="H727" s="5" t="str">
        <f>IF(E727="","",IF(AND(F727="نعم",G727="نعم"),"جرد + مراجعة",IF(F727="نعم","جرد فقط",IF(G727="نعم","مراجعة فقط",""))))</f>
        <v/>
      </c>
      <c r="I727" s="9">
        <f>IF(H727="جرد + مراجعة",الإعدادات!$B$2,IF(H727="مراجعة فقط",الإعدادات!$B$3,IF(H727="جرد فقط",الإعدادات!$B$4,0)))</f>
        <v>0</v>
      </c>
    </row>
    <row r="728">
      <c r="A728" s="4" t="n"/>
      <c r="B728" s="5" t="str">
        <f>IF(A728="","",IFERROR(INDEX('جدول الجرد'!$A$2:$A$29,MATCH(A728,'جدول الجرد'!$B$2:$B$29,0)),""))</f>
        <v/>
      </c>
      <c r="C728" s="5" t="str">
        <f>IF(A728="","",IFERROR(INDEX('جدول الجرد'!$E$2:$E$29,MATCH(A728,'جدول الجرد'!$B$2:$B$29,0)),""))</f>
        <v/>
      </c>
      <c r="D728" s="4" t="n"/>
      <c r="E728" s="4" t="n"/>
      <c r="F728" s="4" t="n"/>
      <c r="G728" s="4" t="n"/>
      <c r="H728" s="5" t="str">
        <f>IF(E728="","",IF(AND(F728="نعم",G728="نعم"),"جرد + مراجعة",IF(F728="نعم","جرد فقط",IF(G728="نعم","مراجعة فقط",""))))</f>
        <v/>
      </c>
      <c r="I728" s="9">
        <f>IF(H728="جرد + مراجعة",الإعدادات!$B$2,IF(H728="مراجعة فقط",الإعدادات!$B$3,IF(H728="جرد فقط",الإعدادات!$B$4,0)))</f>
        <v>0</v>
      </c>
    </row>
    <row r="729">
      <c r="A729" s="4" t="n"/>
      <c r="B729" s="5" t="str">
        <f>IF(A729="","",IFERROR(INDEX('جدول الجرد'!$A$2:$A$29,MATCH(A729,'جدول الجرد'!$B$2:$B$29,0)),""))</f>
        <v/>
      </c>
      <c r="C729" s="5" t="str">
        <f>IF(A729="","",IFERROR(INDEX('جدول الجرد'!$E$2:$E$29,MATCH(A729,'جدول الجرد'!$B$2:$B$29,0)),""))</f>
        <v/>
      </c>
      <c r="D729" s="4" t="n"/>
      <c r="E729" s="4" t="n"/>
      <c r="F729" s="4" t="n"/>
      <c r="G729" s="4" t="n"/>
      <c r="H729" s="5" t="str">
        <f>IF(E729="","",IF(AND(F729="نعم",G729="نعم"),"جرد + مراجعة",IF(F729="نعم","جرد فقط",IF(G729="نعم","مراجعة فقط",""))))</f>
        <v/>
      </c>
      <c r="I729" s="9">
        <f>IF(H729="جرد + مراجعة",الإعدادات!$B$2,IF(H729="مراجعة فقط",الإعدادات!$B$3,IF(H729="جرد فقط",الإعدادات!$B$4,0)))</f>
        <v>0</v>
      </c>
    </row>
    <row r="730">
      <c r="A730" s="4" t="n"/>
      <c r="B730" s="5" t="str">
        <f>IF(A730="","",IFERROR(INDEX('جدول الجرد'!$A$2:$A$29,MATCH(A730,'جدول الجرد'!$B$2:$B$29,0)),""))</f>
        <v/>
      </c>
      <c r="C730" s="5" t="str">
        <f>IF(A730="","",IFERROR(INDEX('جدول الجرد'!$E$2:$E$29,MATCH(A730,'جدول الجرد'!$B$2:$B$29,0)),""))</f>
        <v/>
      </c>
      <c r="D730" s="4" t="n"/>
      <c r="E730" s="4" t="n"/>
      <c r="F730" s="4" t="n"/>
      <c r="G730" s="4" t="n"/>
      <c r="H730" s="5" t="str">
        <f>IF(E730="","",IF(AND(F730="نعم",G730="نعم"),"جرد + مراجعة",IF(F730="نعم","جرد فقط",IF(G730="نعم","مراجعة فقط",""))))</f>
        <v/>
      </c>
      <c r="I730" s="9">
        <f>IF(H730="جرد + مراجعة",الإعدادات!$B$2,IF(H730="مراجعة فقط",الإعدادات!$B$3,IF(H730="جرد فقط",الإعدادات!$B$4,0)))</f>
        <v>0</v>
      </c>
    </row>
    <row r="731">
      <c r="A731" s="4" t="n"/>
      <c r="B731" s="5" t="str">
        <f>IF(A731="","",IFERROR(INDEX('جدول الجرد'!$A$2:$A$29,MATCH(A731,'جدول الجرد'!$B$2:$B$29,0)),""))</f>
        <v/>
      </c>
      <c r="C731" s="5" t="str">
        <f>IF(A731="","",IFERROR(INDEX('جدول الجرد'!$E$2:$E$29,MATCH(A731,'جدول الجرد'!$B$2:$B$29,0)),""))</f>
        <v/>
      </c>
      <c r="D731" s="4" t="n"/>
      <c r="E731" s="4" t="n"/>
      <c r="F731" s="4" t="n"/>
      <c r="G731" s="4" t="n"/>
      <c r="H731" s="5" t="str">
        <f>IF(E731="","",IF(AND(F731="نعم",G731="نعم"),"جرد + مراجعة",IF(F731="نعم","جرد فقط",IF(G731="نعم","مراجعة فقط",""))))</f>
        <v/>
      </c>
      <c r="I731" s="9">
        <f>IF(H731="جرد + مراجعة",الإعدادات!$B$2,IF(H731="مراجعة فقط",الإعدادات!$B$3,IF(H731="جرد فقط",الإعدادات!$B$4,0)))</f>
        <v>0</v>
      </c>
    </row>
    <row r="732">
      <c r="A732" s="4" t="n"/>
      <c r="B732" s="5" t="str">
        <f>IF(A732="","",IFERROR(INDEX('جدول الجرد'!$A$2:$A$29,MATCH(A732,'جدول الجرد'!$B$2:$B$29,0)),""))</f>
        <v/>
      </c>
      <c r="C732" s="5" t="str">
        <f>IF(A732="","",IFERROR(INDEX('جدول الجرد'!$E$2:$E$29,MATCH(A732,'جدول الجرد'!$B$2:$B$29,0)),""))</f>
        <v/>
      </c>
      <c r="D732" s="4" t="n"/>
      <c r="E732" s="4" t="n"/>
      <c r="F732" s="4" t="n"/>
      <c r="G732" s="4" t="n"/>
      <c r="H732" s="5" t="str">
        <f>IF(E732="","",IF(AND(F732="نعم",G732="نعم"),"جرد + مراجعة",IF(F732="نعم","جرد فقط",IF(G732="نعم","مراجعة فقط",""))))</f>
        <v/>
      </c>
      <c r="I732" s="9">
        <f>IF(H732="جرد + مراجعة",الإعدادات!$B$2,IF(H732="مراجعة فقط",الإعدادات!$B$3,IF(H732="جرد فقط",الإعدادات!$B$4,0)))</f>
        <v>0</v>
      </c>
    </row>
    <row r="733">
      <c r="A733" s="4" t="n"/>
      <c r="B733" s="5" t="str">
        <f>IF(A733="","",IFERROR(INDEX('جدول الجرد'!$A$2:$A$29,MATCH(A733,'جدول الجرد'!$B$2:$B$29,0)),""))</f>
        <v/>
      </c>
      <c r="C733" s="5" t="str">
        <f>IF(A733="","",IFERROR(INDEX('جدول الجرد'!$E$2:$E$29,MATCH(A733,'جدول الجرد'!$B$2:$B$29,0)),""))</f>
        <v/>
      </c>
      <c r="D733" s="4" t="n"/>
      <c r="E733" s="4" t="n"/>
      <c r="F733" s="4" t="n"/>
      <c r="G733" s="4" t="n"/>
      <c r="H733" s="5" t="str">
        <f>IF(E733="","",IF(AND(F733="نعم",G733="نعم"),"جرد + مراجعة",IF(F733="نعم","جرد فقط",IF(G733="نعم","مراجعة فقط",""))))</f>
        <v/>
      </c>
      <c r="I733" s="9">
        <f>IF(H733="جرد + مراجعة",الإعدادات!$B$2,IF(H733="مراجعة فقط",الإعدادات!$B$3,IF(H733="جرد فقط",الإعدادات!$B$4,0)))</f>
        <v>0</v>
      </c>
    </row>
    <row r="734">
      <c r="A734" s="4" t="n"/>
      <c r="B734" s="5" t="str">
        <f>IF(A734="","",IFERROR(INDEX('جدول الجرد'!$A$2:$A$29,MATCH(A734,'جدول الجرد'!$B$2:$B$29,0)),""))</f>
        <v/>
      </c>
      <c r="C734" s="5" t="str">
        <f>IF(A734="","",IFERROR(INDEX('جدول الجرد'!$E$2:$E$29,MATCH(A734,'جدول الجرد'!$B$2:$B$29,0)),""))</f>
        <v/>
      </c>
      <c r="D734" s="4" t="n"/>
      <c r="E734" s="4" t="n"/>
      <c r="F734" s="4" t="n"/>
      <c r="G734" s="4" t="n"/>
      <c r="H734" s="5" t="str">
        <f>IF(E734="","",IF(AND(F734="نعم",G734="نعم"),"جرد + مراجعة",IF(F734="نعم","جرد فقط",IF(G734="نعم","مراجعة فقط",""))))</f>
        <v/>
      </c>
      <c r="I734" s="9">
        <f>IF(H734="جرد + مراجعة",الإعدادات!$B$2,IF(H734="مراجعة فقط",الإعدادات!$B$3,IF(H734="جرد فقط",الإعدادات!$B$4,0)))</f>
        <v>0</v>
      </c>
    </row>
    <row r="735">
      <c r="A735" s="4" t="n"/>
      <c r="B735" s="5" t="str">
        <f>IF(A735="","",IFERROR(INDEX('جدول الجرد'!$A$2:$A$29,MATCH(A735,'جدول الجرد'!$B$2:$B$29,0)),""))</f>
        <v/>
      </c>
      <c r="C735" s="5" t="str">
        <f>IF(A735="","",IFERROR(INDEX('جدول الجرد'!$E$2:$E$29,MATCH(A735,'جدول الجرد'!$B$2:$B$29,0)),""))</f>
        <v/>
      </c>
      <c r="D735" s="4" t="n"/>
      <c r="E735" s="4" t="n"/>
      <c r="F735" s="4" t="n"/>
      <c r="G735" s="4" t="n"/>
      <c r="H735" s="5" t="str">
        <f>IF(E735="","",IF(AND(F735="نعم",G735="نعم"),"جرد + مراجعة",IF(F735="نعم","جرد فقط",IF(G735="نعم","مراجعة فقط",""))))</f>
        <v/>
      </c>
      <c r="I735" s="9">
        <f>IF(H735="جرد + مراجعة",الإعدادات!$B$2,IF(H735="مراجعة فقط",الإعدادات!$B$3,IF(H735="جرد فقط",الإعدادات!$B$4,0)))</f>
        <v>0</v>
      </c>
    </row>
    <row r="736">
      <c r="A736" s="4" t="n"/>
      <c r="B736" s="5" t="str">
        <f>IF(A736="","",IFERROR(INDEX('جدول الجرد'!$A$2:$A$29,MATCH(A736,'جدول الجرد'!$B$2:$B$29,0)),""))</f>
        <v/>
      </c>
      <c r="C736" s="5" t="str">
        <f>IF(A736="","",IFERROR(INDEX('جدول الجرد'!$E$2:$E$29,MATCH(A736,'جدول الجرد'!$B$2:$B$29,0)),""))</f>
        <v/>
      </c>
      <c r="D736" s="4" t="n"/>
      <c r="E736" s="4" t="n"/>
      <c r="F736" s="4" t="n"/>
      <c r="G736" s="4" t="n"/>
      <c r="H736" s="5" t="str">
        <f>IF(E736="","",IF(AND(F736="نعم",G736="نعم"),"جرد + مراجعة",IF(F736="نعم","جرد فقط",IF(G736="نعم","مراجعة فقط",""))))</f>
        <v/>
      </c>
      <c r="I736" s="9">
        <f>IF(H736="جرد + مراجعة",الإعدادات!$B$2,IF(H736="مراجعة فقط",الإعدادات!$B$3,IF(H736="جرد فقط",الإعدادات!$B$4,0)))</f>
        <v>0</v>
      </c>
    </row>
    <row r="737">
      <c r="A737" s="4" t="n"/>
      <c r="B737" s="5" t="str">
        <f>IF(A737="","",IFERROR(INDEX('جدول الجرد'!$A$2:$A$29,MATCH(A737,'جدول الجرد'!$B$2:$B$29,0)),""))</f>
        <v/>
      </c>
      <c r="C737" s="5" t="str">
        <f>IF(A737="","",IFERROR(INDEX('جدول الجرد'!$E$2:$E$29,MATCH(A737,'جدول الجرد'!$B$2:$B$29,0)),""))</f>
        <v/>
      </c>
      <c r="D737" s="4" t="n"/>
      <c r="E737" s="4" t="n"/>
      <c r="F737" s="4" t="n"/>
      <c r="G737" s="4" t="n"/>
      <c r="H737" s="5" t="str">
        <f>IF(E737="","",IF(AND(F737="نعم",G737="نعم"),"جرد + مراجعة",IF(F737="نعم","جرد فقط",IF(G737="نعم","مراجعة فقط",""))))</f>
        <v/>
      </c>
      <c r="I737" s="9">
        <f>IF(H737="جرد + مراجعة",الإعدادات!$B$2,IF(H737="مراجعة فقط",الإعدادات!$B$3,IF(H737="جرد فقط",الإعدادات!$B$4,0)))</f>
        <v>0</v>
      </c>
    </row>
    <row r="738">
      <c r="A738" s="4" t="n"/>
      <c r="B738" s="5" t="str">
        <f>IF(A738="","",IFERROR(INDEX('جدول الجرد'!$A$2:$A$29,MATCH(A738,'جدول الجرد'!$B$2:$B$29,0)),""))</f>
        <v/>
      </c>
      <c r="C738" s="5" t="str">
        <f>IF(A738="","",IFERROR(INDEX('جدول الجرد'!$E$2:$E$29,MATCH(A738,'جدول الجرد'!$B$2:$B$29,0)),""))</f>
        <v/>
      </c>
      <c r="D738" s="4" t="n"/>
      <c r="E738" s="4" t="n"/>
      <c r="F738" s="4" t="n"/>
      <c r="G738" s="4" t="n"/>
      <c r="H738" s="5" t="str">
        <f>IF(E738="","",IF(AND(F738="نعم",G738="نعم"),"جرد + مراجعة",IF(F738="نعم","جرد فقط",IF(G738="نعم","مراجعة فقط",""))))</f>
        <v/>
      </c>
      <c r="I738" s="9">
        <f>IF(H738="جرد + مراجعة",الإعدادات!$B$2,IF(H738="مراجعة فقط",الإعدادات!$B$3,IF(H738="جرد فقط",الإعدادات!$B$4,0)))</f>
        <v>0</v>
      </c>
    </row>
    <row r="739">
      <c r="A739" s="4" t="n"/>
      <c r="B739" s="5" t="str">
        <f>IF(A739="","",IFERROR(INDEX('جدول الجرد'!$A$2:$A$29,MATCH(A739,'جدول الجرد'!$B$2:$B$29,0)),""))</f>
        <v/>
      </c>
      <c r="C739" s="5" t="str">
        <f>IF(A739="","",IFERROR(INDEX('جدول الجرد'!$E$2:$E$29,MATCH(A739,'جدول الجرد'!$B$2:$B$29,0)),""))</f>
        <v/>
      </c>
      <c r="D739" s="4" t="n"/>
      <c r="E739" s="4" t="n"/>
      <c r="F739" s="4" t="n"/>
      <c r="G739" s="4" t="n"/>
      <c r="H739" s="5" t="str">
        <f>IF(E739="","",IF(AND(F739="نعم",G739="نعم"),"جرد + مراجعة",IF(F739="نعم","جرد فقط",IF(G739="نعم","مراجعة فقط",""))))</f>
        <v/>
      </c>
      <c r="I739" s="9">
        <f>IF(H739="جرد + مراجعة",الإعدادات!$B$2,IF(H739="مراجعة فقط",الإعدادات!$B$3,IF(H739="جرد فقط",الإعدادات!$B$4,0)))</f>
        <v>0</v>
      </c>
    </row>
    <row r="740">
      <c r="A740" s="4" t="n"/>
      <c r="B740" s="5" t="str">
        <f>IF(A740="","",IFERROR(INDEX('جدول الجرد'!$A$2:$A$29,MATCH(A740,'جدول الجرد'!$B$2:$B$29,0)),""))</f>
        <v/>
      </c>
      <c r="C740" s="5" t="str">
        <f>IF(A740="","",IFERROR(INDEX('جدول الجرد'!$E$2:$E$29,MATCH(A740,'جدول الجرد'!$B$2:$B$29,0)),""))</f>
        <v/>
      </c>
      <c r="D740" s="4" t="n"/>
      <c r="E740" s="4" t="n"/>
      <c r="F740" s="4" t="n"/>
      <c r="G740" s="4" t="n"/>
      <c r="H740" s="5" t="str">
        <f>IF(E740="","",IF(AND(F740="نعم",G740="نعم"),"جرد + مراجعة",IF(F740="نعم","جرد فقط",IF(G740="نعم","مراجعة فقط",""))))</f>
        <v/>
      </c>
      <c r="I740" s="9">
        <f>IF(H740="جرد + مراجعة",الإعدادات!$B$2,IF(H740="مراجعة فقط",الإعدادات!$B$3,IF(H740="جرد فقط",الإعدادات!$B$4,0)))</f>
        <v>0</v>
      </c>
    </row>
    <row r="741">
      <c r="A741" s="4" t="n"/>
      <c r="B741" s="5" t="str">
        <f>IF(A741="","",IFERROR(INDEX('جدول الجرد'!$A$2:$A$29,MATCH(A741,'جدول الجرد'!$B$2:$B$29,0)),""))</f>
        <v/>
      </c>
      <c r="C741" s="5" t="str">
        <f>IF(A741="","",IFERROR(INDEX('جدول الجرد'!$E$2:$E$29,MATCH(A741,'جدول الجرد'!$B$2:$B$29,0)),""))</f>
        <v/>
      </c>
      <c r="D741" s="4" t="n"/>
      <c r="E741" s="4" t="n"/>
      <c r="F741" s="4" t="n"/>
      <c r="G741" s="4" t="n"/>
      <c r="H741" s="5" t="str">
        <f>IF(E741="","",IF(AND(F741="نعم",G741="نعم"),"جرد + مراجعة",IF(F741="نعم","جرد فقط",IF(G741="نعم","مراجعة فقط",""))))</f>
        <v/>
      </c>
      <c r="I741" s="9">
        <f>IF(H741="جرد + مراجعة",الإعدادات!$B$2,IF(H741="مراجعة فقط",الإعدادات!$B$3,IF(H741="جرد فقط",الإعدادات!$B$4,0)))</f>
        <v>0</v>
      </c>
    </row>
    <row r="742">
      <c r="A742" s="4" t="n"/>
      <c r="B742" s="5" t="str">
        <f>IF(A742="","",IFERROR(INDEX('جدول الجرد'!$A$2:$A$29,MATCH(A742,'جدول الجرد'!$B$2:$B$29,0)),""))</f>
        <v/>
      </c>
      <c r="C742" s="5" t="str">
        <f>IF(A742="","",IFERROR(INDEX('جدول الجرد'!$E$2:$E$29,MATCH(A742,'جدول الجرد'!$B$2:$B$29,0)),""))</f>
        <v/>
      </c>
      <c r="D742" s="4" t="n"/>
      <c r="E742" s="4" t="n"/>
      <c r="F742" s="4" t="n"/>
      <c r="G742" s="4" t="n"/>
      <c r="H742" s="5" t="str">
        <f>IF(E742="","",IF(AND(F742="نعم",G742="نعم"),"جرد + مراجعة",IF(F742="نعم","جرد فقط",IF(G742="نعم","مراجعة فقط",""))))</f>
        <v/>
      </c>
      <c r="I742" s="9">
        <f>IF(H742="جرد + مراجعة",الإعدادات!$B$2,IF(H742="مراجعة فقط",الإعدادات!$B$3,IF(H742="جرد فقط",الإعدادات!$B$4,0)))</f>
        <v>0</v>
      </c>
    </row>
    <row r="743">
      <c r="A743" s="4" t="n"/>
      <c r="B743" s="5" t="str">
        <f>IF(A743="","",IFERROR(INDEX('جدول الجرد'!$A$2:$A$29,MATCH(A743,'جدول الجرد'!$B$2:$B$29,0)),""))</f>
        <v/>
      </c>
      <c r="C743" s="5" t="str">
        <f>IF(A743="","",IFERROR(INDEX('جدول الجرد'!$E$2:$E$29,MATCH(A743,'جدول الجرد'!$B$2:$B$29,0)),""))</f>
        <v/>
      </c>
      <c r="D743" s="4" t="n"/>
      <c r="E743" s="4" t="n"/>
      <c r="F743" s="4" t="n"/>
      <c r="G743" s="4" t="n"/>
      <c r="H743" s="5" t="str">
        <f>IF(E743="","",IF(AND(F743="نعم",G743="نعم"),"جرد + مراجعة",IF(F743="نعم","جرد فقط",IF(G743="نعم","مراجعة فقط",""))))</f>
        <v/>
      </c>
      <c r="I743" s="9">
        <f>IF(H743="جرد + مراجعة",الإعدادات!$B$2,IF(H743="مراجعة فقط",الإعدادات!$B$3,IF(H743="جرد فقط",الإعدادات!$B$4,0)))</f>
        <v>0</v>
      </c>
    </row>
    <row r="744">
      <c r="A744" s="4" t="n"/>
      <c r="B744" s="5" t="str">
        <f>IF(A744="","",IFERROR(INDEX('جدول الجرد'!$A$2:$A$29,MATCH(A744,'جدول الجرد'!$B$2:$B$29,0)),""))</f>
        <v/>
      </c>
      <c r="C744" s="5" t="str">
        <f>IF(A744="","",IFERROR(INDEX('جدول الجرد'!$E$2:$E$29,MATCH(A744,'جدول الجرد'!$B$2:$B$29,0)),""))</f>
        <v/>
      </c>
      <c r="D744" s="4" t="n"/>
      <c r="E744" s="4" t="n"/>
      <c r="F744" s="4" t="n"/>
      <c r="G744" s="4" t="n"/>
      <c r="H744" s="5" t="str">
        <f>IF(E744="","",IF(AND(F744="نعم",G744="نعم"),"جرد + مراجعة",IF(F744="نعم","جرد فقط",IF(G744="نعم","مراجعة فقط",""))))</f>
        <v/>
      </c>
      <c r="I744" s="9">
        <f>IF(H744="جرد + مراجعة",الإعدادات!$B$2,IF(H744="مراجعة فقط",الإعدادات!$B$3,IF(H744="جرد فقط",الإعدادات!$B$4,0)))</f>
        <v>0</v>
      </c>
    </row>
    <row r="745">
      <c r="A745" s="4" t="n"/>
      <c r="B745" s="5" t="str">
        <f>IF(A745="","",IFERROR(INDEX('جدول الجرد'!$A$2:$A$29,MATCH(A745,'جدول الجرد'!$B$2:$B$29,0)),""))</f>
        <v/>
      </c>
      <c r="C745" s="5" t="str">
        <f>IF(A745="","",IFERROR(INDEX('جدول الجرد'!$E$2:$E$29,MATCH(A745,'جدول الجرد'!$B$2:$B$29,0)),""))</f>
        <v/>
      </c>
      <c r="D745" s="4" t="n"/>
      <c r="E745" s="4" t="n"/>
      <c r="F745" s="4" t="n"/>
      <c r="G745" s="4" t="n"/>
      <c r="H745" s="5" t="str">
        <f>IF(E745="","",IF(AND(F745="نعم",G745="نعم"),"جرد + مراجعة",IF(F745="نعم","جرد فقط",IF(G745="نعم","مراجعة فقط",""))))</f>
        <v/>
      </c>
      <c r="I745" s="9">
        <f>IF(H745="جرد + مراجعة",الإعدادات!$B$2,IF(H745="مراجعة فقط",الإعدادات!$B$3,IF(H745="جرد فقط",الإعدادات!$B$4,0)))</f>
        <v>0</v>
      </c>
    </row>
    <row r="746">
      <c r="A746" s="4" t="n"/>
      <c r="B746" s="5" t="str">
        <f>IF(A746="","",IFERROR(INDEX('جدول الجرد'!$A$2:$A$29,MATCH(A746,'جدول الجرد'!$B$2:$B$29,0)),""))</f>
        <v/>
      </c>
      <c r="C746" s="5" t="str">
        <f>IF(A746="","",IFERROR(INDEX('جدول الجرد'!$E$2:$E$29,MATCH(A746,'جدول الجرد'!$B$2:$B$29,0)),""))</f>
        <v/>
      </c>
      <c r="D746" s="4" t="n"/>
      <c r="E746" s="4" t="n"/>
      <c r="F746" s="4" t="n"/>
      <c r="G746" s="4" t="n"/>
      <c r="H746" s="5" t="str">
        <f>IF(E746="","",IF(AND(F746="نعم",G746="نعم"),"جرد + مراجعة",IF(F746="نعم","جرد فقط",IF(G746="نعم","مراجعة فقط",""))))</f>
        <v/>
      </c>
      <c r="I746" s="9">
        <f>IF(H746="جرد + مراجعة",الإعدادات!$B$2,IF(H746="مراجعة فقط",الإعدادات!$B$3,IF(H746="جرد فقط",الإعدادات!$B$4,0)))</f>
        <v>0</v>
      </c>
    </row>
    <row r="747">
      <c r="A747" s="4" t="n"/>
      <c r="B747" s="5" t="str">
        <f>IF(A747="","",IFERROR(INDEX('جدول الجرد'!$A$2:$A$29,MATCH(A747,'جدول الجرد'!$B$2:$B$29,0)),""))</f>
        <v/>
      </c>
      <c r="C747" s="5" t="str">
        <f>IF(A747="","",IFERROR(INDEX('جدول الجرد'!$E$2:$E$29,MATCH(A747,'جدول الجرد'!$B$2:$B$29,0)),""))</f>
        <v/>
      </c>
      <c r="D747" s="4" t="n"/>
      <c r="E747" s="4" t="n"/>
      <c r="F747" s="4" t="n"/>
      <c r="G747" s="4" t="n"/>
      <c r="H747" s="5" t="str">
        <f>IF(E747="","",IF(AND(F747="نعم",G747="نعم"),"جرد + مراجعة",IF(F747="نعم","جرد فقط",IF(G747="نعم","مراجعة فقط",""))))</f>
        <v/>
      </c>
      <c r="I747" s="9">
        <f>IF(H747="جرد + مراجعة",الإعدادات!$B$2,IF(H747="مراجعة فقط",الإعدادات!$B$3,IF(H747="جرد فقط",الإعدادات!$B$4,0)))</f>
        <v>0</v>
      </c>
    </row>
    <row r="748">
      <c r="A748" s="4" t="n"/>
      <c r="B748" s="5" t="str">
        <f>IF(A748="","",IFERROR(INDEX('جدول الجرد'!$A$2:$A$29,MATCH(A748,'جدول الجرد'!$B$2:$B$29,0)),""))</f>
        <v/>
      </c>
      <c r="C748" s="5" t="str">
        <f>IF(A748="","",IFERROR(INDEX('جدول الجرد'!$E$2:$E$29,MATCH(A748,'جدول الجرد'!$B$2:$B$29,0)),""))</f>
        <v/>
      </c>
      <c r="D748" s="4" t="n"/>
      <c r="E748" s="4" t="n"/>
      <c r="F748" s="4" t="n"/>
      <c r="G748" s="4" t="n"/>
      <c r="H748" s="5" t="str">
        <f>IF(E748="","",IF(AND(F748="نعم",G748="نعم"),"جرد + مراجعة",IF(F748="نعم","جرد فقط",IF(G748="نعم","مراجعة فقط",""))))</f>
        <v/>
      </c>
      <c r="I748" s="9">
        <f>IF(H748="جرد + مراجعة",الإعدادات!$B$2,IF(H748="مراجعة فقط",الإعدادات!$B$3,IF(H748="جرد فقط",الإعدادات!$B$4,0)))</f>
        <v>0</v>
      </c>
    </row>
    <row r="749">
      <c r="A749" s="4" t="n"/>
      <c r="B749" s="5" t="str">
        <f>IF(A749="","",IFERROR(INDEX('جدول الجرد'!$A$2:$A$29,MATCH(A749,'جدول الجرد'!$B$2:$B$29,0)),""))</f>
        <v/>
      </c>
      <c r="C749" s="5" t="str">
        <f>IF(A749="","",IFERROR(INDEX('جدول الجرد'!$E$2:$E$29,MATCH(A749,'جدول الجرد'!$B$2:$B$29,0)),""))</f>
        <v/>
      </c>
      <c r="D749" s="4" t="n"/>
      <c r="E749" s="4" t="n"/>
      <c r="F749" s="4" t="n"/>
      <c r="G749" s="4" t="n"/>
      <c r="H749" s="5" t="str">
        <f>IF(E749="","",IF(AND(F749="نعم",G749="نعم"),"جرد + مراجعة",IF(F749="نعم","جرد فقط",IF(G749="نعم","مراجعة فقط",""))))</f>
        <v/>
      </c>
      <c r="I749" s="9">
        <f>IF(H749="جرد + مراجعة",الإعدادات!$B$2,IF(H749="مراجعة فقط",الإعدادات!$B$3,IF(H749="جرد فقط",الإعدادات!$B$4,0)))</f>
        <v>0</v>
      </c>
    </row>
    <row r="750">
      <c r="A750" s="4" t="n"/>
      <c r="B750" s="5" t="str">
        <f>IF(A750="","",IFERROR(INDEX('جدول الجرد'!$A$2:$A$29,MATCH(A750,'جدول الجرد'!$B$2:$B$29,0)),""))</f>
        <v/>
      </c>
      <c r="C750" s="5" t="str">
        <f>IF(A750="","",IFERROR(INDEX('جدول الجرد'!$E$2:$E$29,MATCH(A750,'جدول الجرد'!$B$2:$B$29,0)),""))</f>
        <v/>
      </c>
      <c r="D750" s="4" t="n"/>
      <c r="E750" s="4" t="n"/>
      <c r="F750" s="4" t="n"/>
      <c r="G750" s="4" t="n"/>
      <c r="H750" s="5" t="str">
        <f>IF(E750="","",IF(AND(F750="نعم",G750="نعم"),"جرد + مراجعة",IF(F750="نعم","جرد فقط",IF(G750="نعم","مراجعة فقط",""))))</f>
        <v/>
      </c>
      <c r="I750" s="9">
        <f>IF(H750="جرد + مراجعة",الإعدادات!$B$2,IF(H750="مراجعة فقط",الإعدادات!$B$3,IF(H750="جرد فقط",الإعدادات!$B$4,0)))</f>
        <v>0</v>
      </c>
    </row>
    <row r="751">
      <c r="A751" s="4" t="n"/>
      <c r="B751" s="5" t="str">
        <f>IF(A751="","",IFERROR(INDEX('جدول الجرد'!$A$2:$A$29,MATCH(A751,'جدول الجرد'!$B$2:$B$29,0)),""))</f>
        <v/>
      </c>
      <c r="C751" s="5" t="str">
        <f>IF(A751="","",IFERROR(INDEX('جدول الجرد'!$E$2:$E$29,MATCH(A751,'جدول الجرد'!$B$2:$B$29,0)),""))</f>
        <v/>
      </c>
      <c r="D751" s="4" t="n"/>
      <c r="E751" s="4" t="n"/>
      <c r="F751" s="4" t="n"/>
      <c r="G751" s="4" t="n"/>
      <c r="H751" s="5" t="str">
        <f>IF(E751="","",IF(AND(F751="نعم",G751="نعم"),"جرد + مراجعة",IF(F751="نعم","جرد فقط",IF(G751="نعم","مراجعة فقط",""))))</f>
        <v/>
      </c>
      <c r="I751" s="9">
        <f>IF(H751="جرد + مراجعة",الإعدادات!$B$2,IF(H751="مراجعة فقط",الإعدادات!$B$3,IF(H751="جرد فقط",الإعدادات!$B$4,0)))</f>
        <v>0</v>
      </c>
    </row>
    <row r="752">
      <c r="A752" s="4" t="n"/>
      <c r="B752" s="5" t="str">
        <f>IF(A752="","",IFERROR(INDEX('جدول الجرد'!$A$2:$A$29,MATCH(A752,'جدول الجرد'!$B$2:$B$29,0)),""))</f>
        <v/>
      </c>
      <c r="C752" s="5" t="str">
        <f>IF(A752="","",IFERROR(INDEX('جدول الجرد'!$E$2:$E$29,MATCH(A752,'جدول الجرد'!$B$2:$B$29,0)),""))</f>
        <v/>
      </c>
      <c r="D752" s="4" t="n"/>
      <c r="E752" s="4" t="n"/>
      <c r="F752" s="4" t="n"/>
      <c r="G752" s="4" t="n"/>
      <c r="H752" s="5" t="str">
        <f>IF(E752="","",IF(AND(F752="نعم",G752="نعم"),"جرد + مراجعة",IF(F752="نعم","جرد فقط",IF(G752="نعم","مراجعة فقط",""))))</f>
        <v/>
      </c>
      <c r="I752" s="9">
        <f>IF(H752="جرد + مراجعة",الإعدادات!$B$2,IF(H752="مراجعة فقط",الإعدادات!$B$3,IF(H752="جرد فقط",الإعدادات!$B$4,0)))</f>
        <v>0</v>
      </c>
    </row>
    <row r="753">
      <c r="A753" s="4" t="n"/>
      <c r="B753" s="5" t="str">
        <f>IF(A753="","",IFERROR(INDEX('جدول الجرد'!$A$2:$A$29,MATCH(A753,'جدول الجرد'!$B$2:$B$29,0)),""))</f>
        <v/>
      </c>
      <c r="C753" s="5" t="str">
        <f>IF(A753="","",IFERROR(INDEX('جدول الجرد'!$E$2:$E$29,MATCH(A753,'جدول الجرد'!$B$2:$B$29,0)),""))</f>
        <v/>
      </c>
      <c r="D753" s="4" t="n"/>
      <c r="E753" s="4" t="n"/>
      <c r="F753" s="4" t="n"/>
      <c r="G753" s="4" t="n"/>
      <c r="H753" s="5" t="str">
        <f>IF(E753="","",IF(AND(F753="نعم",G753="نعم"),"جرد + مراجعة",IF(F753="نعم","جرد فقط",IF(G753="نعم","مراجعة فقط",""))))</f>
        <v/>
      </c>
      <c r="I753" s="9">
        <f>IF(H753="جرد + مراجعة",الإعدادات!$B$2,IF(H753="مراجعة فقط",الإعدادات!$B$3,IF(H753="جرد فقط",الإعدادات!$B$4,0)))</f>
        <v>0</v>
      </c>
    </row>
    <row r="754">
      <c r="A754" s="4" t="n"/>
      <c r="B754" s="5" t="str">
        <f>IF(A754="","",IFERROR(INDEX('جدول الجرد'!$A$2:$A$29,MATCH(A754,'جدول الجرد'!$B$2:$B$29,0)),""))</f>
        <v/>
      </c>
      <c r="C754" s="5" t="str">
        <f>IF(A754="","",IFERROR(INDEX('جدول الجرد'!$E$2:$E$29,MATCH(A754,'جدول الجرد'!$B$2:$B$29,0)),""))</f>
        <v/>
      </c>
      <c r="D754" s="4" t="n"/>
      <c r="E754" s="4" t="n"/>
      <c r="F754" s="4" t="n"/>
      <c r="G754" s="4" t="n"/>
      <c r="H754" s="5" t="str">
        <f>IF(E754="","",IF(AND(F754="نعم",G754="نعم"),"جرد + مراجعة",IF(F754="نعم","جرد فقط",IF(G754="نعم","مراجعة فقط",""))))</f>
        <v/>
      </c>
      <c r="I754" s="9">
        <f>IF(H754="جرد + مراجعة",الإعدادات!$B$2,IF(H754="مراجعة فقط",الإعدادات!$B$3,IF(H754="جرد فقط",الإعدادات!$B$4,0)))</f>
        <v>0</v>
      </c>
    </row>
    <row r="755">
      <c r="A755" s="4" t="n"/>
      <c r="B755" s="5" t="str">
        <f>IF(A755="","",IFERROR(INDEX('جدول الجرد'!$A$2:$A$29,MATCH(A755,'جدول الجرد'!$B$2:$B$29,0)),""))</f>
        <v/>
      </c>
      <c r="C755" s="5" t="str">
        <f>IF(A755="","",IFERROR(INDEX('جدول الجرد'!$E$2:$E$29,MATCH(A755,'جدول الجرد'!$B$2:$B$29,0)),""))</f>
        <v/>
      </c>
      <c r="D755" s="4" t="n"/>
      <c r="E755" s="4" t="n"/>
      <c r="F755" s="4" t="n"/>
      <c r="G755" s="4" t="n"/>
      <c r="H755" s="5" t="str">
        <f>IF(E755="","",IF(AND(F755="نعم",G755="نعم"),"جرد + مراجعة",IF(F755="نعم","جرد فقط",IF(G755="نعم","مراجعة فقط",""))))</f>
        <v/>
      </c>
      <c r="I755" s="9">
        <f>IF(H755="جرد + مراجعة",الإعدادات!$B$2,IF(H755="مراجعة فقط",الإعدادات!$B$3,IF(H755="جرد فقط",الإعدادات!$B$4,0)))</f>
        <v>0</v>
      </c>
    </row>
    <row r="756">
      <c r="A756" s="4" t="n"/>
      <c r="B756" s="5" t="str">
        <f>IF(A756="","",IFERROR(INDEX('جدول الجرد'!$A$2:$A$29,MATCH(A756,'جدول الجرد'!$B$2:$B$29,0)),""))</f>
        <v/>
      </c>
      <c r="C756" s="5" t="str">
        <f>IF(A756="","",IFERROR(INDEX('جدول الجرد'!$E$2:$E$29,MATCH(A756,'جدول الجرد'!$B$2:$B$29,0)),""))</f>
        <v/>
      </c>
      <c r="D756" s="4" t="n"/>
      <c r="E756" s="4" t="n"/>
      <c r="F756" s="4" t="n"/>
      <c r="G756" s="4" t="n"/>
      <c r="H756" s="5" t="str">
        <f>IF(E756="","",IF(AND(F756="نعم",G756="نعم"),"جرد + مراجعة",IF(F756="نعم","جرد فقط",IF(G756="نعم","مراجعة فقط",""))))</f>
        <v/>
      </c>
      <c r="I756" s="9">
        <f>IF(H756="جرد + مراجعة",الإعدادات!$B$2,IF(H756="مراجعة فقط",الإعدادات!$B$3,IF(H756="جرد فقط",الإعدادات!$B$4,0)))</f>
        <v>0</v>
      </c>
    </row>
    <row r="757">
      <c r="A757" s="4" t="n"/>
      <c r="B757" s="5" t="str">
        <f>IF(A757="","",IFERROR(INDEX('جدول الجرد'!$A$2:$A$29,MATCH(A757,'جدول الجرد'!$B$2:$B$29,0)),""))</f>
        <v/>
      </c>
      <c r="C757" s="5" t="str">
        <f>IF(A757="","",IFERROR(INDEX('جدول الجرد'!$E$2:$E$29,MATCH(A757,'جدول الجرد'!$B$2:$B$29,0)),""))</f>
        <v/>
      </c>
      <c r="D757" s="4" t="n"/>
      <c r="E757" s="4" t="n"/>
      <c r="F757" s="4" t="n"/>
      <c r="G757" s="4" t="n"/>
      <c r="H757" s="5" t="str">
        <f>IF(E757="","",IF(AND(F757="نعم",G757="نعم"),"جرد + مراجعة",IF(F757="نعم","جرد فقط",IF(G757="نعم","مراجعة فقط",""))))</f>
        <v/>
      </c>
      <c r="I757" s="9">
        <f>IF(H757="جرد + مراجعة",الإعدادات!$B$2,IF(H757="مراجعة فقط",الإعدادات!$B$3,IF(H757="جرد فقط",الإعدادات!$B$4,0)))</f>
        <v>0</v>
      </c>
    </row>
    <row r="758">
      <c r="A758" s="4" t="n"/>
      <c r="B758" s="5" t="str">
        <f>IF(A758="","",IFERROR(INDEX('جدول الجرد'!$A$2:$A$29,MATCH(A758,'جدول الجرد'!$B$2:$B$29,0)),""))</f>
        <v/>
      </c>
      <c r="C758" s="5" t="str">
        <f>IF(A758="","",IFERROR(INDEX('جدول الجرد'!$E$2:$E$29,MATCH(A758,'جدول الجرد'!$B$2:$B$29,0)),""))</f>
        <v/>
      </c>
      <c r="D758" s="4" t="n"/>
      <c r="E758" s="4" t="n"/>
      <c r="F758" s="4" t="n"/>
      <c r="G758" s="4" t="n"/>
      <c r="H758" s="5" t="str">
        <f>IF(E758="","",IF(AND(F758="نعم",G758="نعم"),"جرد + مراجعة",IF(F758="نعم","جرد فقط",IF(G758="نعم","مراجعة فقط",""))))</f>
        <v/>
      </c>
      <c r="I758" s="9">
        <f>IF(H758="جرد + مراجعة",الإعدادات!$B$2,IF(H758="مراجعة فقط",الإعدادات!$B$3,IF(H758="جرد فقط",الإعدادات!$B$4,0)))</f>
        <v>0</v>
      </c>
    </row>
    <row r="759">
      <c r="A759" s="4" t="n"/>
      <c r="B759" s="5" t="str">
        <f>IF(A759="","",IFERROR(INDEX('جدول الجرد'!$A$2:$A$29,MATCH(A759,'جدول الجرد'!$B$2:$B$29,0)),""))</f>
        <v/>
      </c>
      <c r="C759" s="5" t="str">
        <f>IF(A759="","",IFERROR(INDEX('جدول الجرد'!$E$2:$E$29,MATCH(A759,'جدول الجرد'!$B$2:$B$29,0)),""))</f>
        <v/>
      </c>
      <c r="D759" s="4" t="n"/>
      <c r="E759" s="4" t="n"/>
      <c r="F759" s="4" t="n"/>
      <c r="G759" s="4" t="n"/>
      <c r="H759" s="5" t="str">
        <f>IF(E759="","",IF(AND(F759="نعم",G759="نعم"),"جرد + مراجعة",IF(F759="نعم","جرد فقط",IF(G759="نعم","مراجعة فقط",""))))</f>
        <v/>
      </c>
      <c r="I759" s="9">
        <f>IF(H759="جرد + مراجعة",الإعدادات!$B$2,IF(H759="مراجعة فقط",الإعدادات!$B$3,IF(H759="جرد فقط",الإعدادات!$B$4,0)))</f>
        <v>0</v>
      </c>
    </row>
    <row r="760">
      <c r="A760" s="4" t="n"/>
      <c r="B760" s="5" t="str">
        <f>IF(A760="","",IFERROR(INDEX('جدول الجرد'!$A$2:$A$29,MATCH(A760,'جدول الجرد'!$B$2:$B$29,0)),""))</f>
        <v/>
      </c>
      <c r="C760" s="5" t="str">
        <f>IF(A760="","",IFERROR(INDEX('جدول الجرد'!$E$2:$E$29,MATCH(A760,'جدول الجرد'!$B$2:$B$29,0)),""))</f>
        <v/>
      </c>
      <c r="D760" s="4" t="n"/>
      <c r="E760" s="4" t="n"/>
      <c r="F760" s="4" t="n"/>
      <c r="G760" s="4" t="n"/>
      <c r="H760" s="5" t="str">
        <f>IF(E760="","",IF(AND(F760="نعم",G760="نعم"),"جرد + مراجعة",IF(F760="نعم","جرد فقط",IF(G760="نعم","مراجعة فقط",""))))</f>
        <v/>
      </c>
      <c r="I760" s="9">
        <f>IF(H760="جرد + مراجعة",الإعدادات!$B$2,IF(H760="مراجعة فقط",الإعدادات!$B$3,IF(H760="جرد فقط",الإعدادات!$B$4,0)))</f>
        <v>0</v>
      </c>
    </row>
    <row r="761">
      <c r="A761" s="4" t="n"/>
      <c r="B761" s="5" t="str">
        <f>IF(A761="","",IFERROR(INDEX('جدول الجرد'!$A$2:$A$29,MATCH(A761,'جدول الجرد'!$B$2:$B$29,0)),""))</f>
        <v/>
      </c>
      <c r="C761" s="5" t="str">
        <f>IF(A761="","",IFERROR(INDEX('جدول الجرد'!$E$2:$E$29,MATCH(A761,'جدول الجرد'!$B$2:$B$29,0)),""))</f>
        <v/>
      </c>
      <c r="D761" s="4" t="n"/>
      <c r="E761" s="4" t="n"/>
      <c r="F761" s="4" t="n"/>
      <c r="G761" s="4" t="n"/>
      <c r="H761" s="5" t="str">
        <f>IF(E761="","",IF(AND(F761="نعم",G761="نعم"),"جرد + مراجعة",IF(F761="نعم","جرد فقط",IF(G761="نعم","مراجعة فقط",""))))</f>
        <v/>
      </c>
      <c r="I761" s="9">
        <f>IF(H761="جرد + مراجعة",الإعدادات!$B$2,IF(H761="مراجعة فقط",الإعدادات!$B$3,IF(H761="جرد فقط",الإعدادات!$B$4,0)))</f>
        <v>0</v>
      </c>
    </row>
    <row r="762">
      <c r="A762" s="4" t="n"/>
      <c r="B762" s="5" t="str">
        <f>IF(A762="","",IFERROR(INDEX('جدول الجرد'!$A$2:$A$29,MATCH(A762,'جدول الجرد'!$B$2:$B$29,0)),""))</f>
        <v/>
      </c>
      <c r="C762" s="5" t="str">
        <f>IF(A762="","",IFERROR(INDEX('جدول الجرد'!$E$2:$E$29,MATCH(A762,'جدول الجرد'!$B$2:$B$29,0)),""))</f>
        <v/>
      </c>
      <c r="D762" s="4" t="n"/>
      <c r="E762" s="4" t="n"/>
      <c r="F762" s="4" t="n"/>
      <c r="G762" s="4" t="n"/>
      <c r="H762" s="5" t="str">
        <f>IF(E762="","",IF(AND(F762="نعم",G762="نعم"),"جرد + مراجعة",IF(F762="نعم","جرد فقط",IF(G762="نعم","مراجعة فقط",""))))</f>
        <v/>
      </c>
      <c r="I762" s="9">
        <f>IF(H762="جرد + مراجعة",الإعدادات!$B$2,IF(H762="مراجعة فقط",الإعدادات!$B$3,IF(H762="جرد فقط",الإعدادات!$B$4,0)))</f>
        <v>0</v>
      </c>
    </row>
    <row r="763">
      <c r="A763" s="4" t="n"/>
      <c r="B763" s="5" t="str">
        <f>IF(A763="","",IFERROR(INDEX('جدول الجرد'!$A$2:$A$29,MATCH(A763,'جدول الجرد'!$B$2:$B$29,0)),""))</f>
        <v/>
      </c>
      <c r="C763" s="5" t="str">
        <f>IF(A763="","",IFERROR(INDEX('جدول الجرد'!$E$2:$E$29,MATCH(A763,'جدول الجرد'!$B$2:$B$29,0)),""))</f>
        <v/>
      </c>
      <c r="D763" s="4" t="n"/>
      <c r="E763" s="4" t="n"/>
      <c r="F763" s="4" t="n"/>
      <c r="G763" s="4" t="n"/>
      <c r="H763" s="5" t="str">
        <f>IF(E763="","",IF(AND(F763="نعم",G763="نعم"),"جرد + مراجعة",IF(F763="نعم","جرد فقط",IF(G763="نعم","مراجعة فقط",""))))</f>
        <v/>
      </c>
      <c r="I763" s="9">
        <f>IF(H763="جرد + مراجعة",الإعدادات!$B$2,IF(H763="مراجعة فقط",الإعدادات!$B$3,IF(H763="جرد فقط",الإعدادات!$B$4,0)))</f>
        <v>0</v>
      </c>
    </row>
    <row r="764">
      <c r="A764" s="4" t="n"/>
      <c r="B764" s="5" t="str">
        <f>IF(A764="","",IFERROR(INDEX('جدول الجرد'!$A$2:$A$29,MATCH(A764,'جدول الجرد'!$B$2:$B$29,0)),""))</f>
        <v/>
      </c>
      <c r="C764" s="5" t="str">
        <f>IF(A764="","",IFERROR(INDEX('جدول الجرد'!$E$2:$E$29,MATCH(A764,'جدول الجرد'!$B$2:$B$29,0)),""))</f>
        <v/>
      </c>
      <c r="D764" s="4" t="n"/>
      <c r="E764" s="4" t="n"/>
      <c r="F764" s="4" t="n"/>
      <c r="G764" s="4" t="n"/>
      <c r="H764" s="5" t="str">
        <f>IF(E764="","",IF(AND(F764="نعم",G764="نعم"),"جرد + مراجعة",IF(F764="نعم","جرد فقط",IF(G764="نعم","مراجعة فقط",""))))</f>
        <v/>
      </c>
      <c r="I764" s="9">
        <f>IF(H764="جرد + مراجعة",الإعدادات!$B$2,IF(H764="مراجعة فقط",الإعدادات!$B$3,IF(H764="جرد فقط",الإعدادات!$B$4,0)))</f>
        <v>0</v>
      </c>
    </row>
    <row r="765">
      <c r="A765" s="4" t="n"/>
      <c r="B765" s="5" t="str">
        <f>IF(A765="","",IFERROR(INDEX('جدول الجرد'!$A$2:$A$29,MATCH(A765,'جدول الجرد'!$B$2:$B$29,0)),""))</f>
        <v/>
      </c>
      <c r="C765" s="5" t="str">
        <f>IF(A765="","",IFERROR(INDEX('جدول الجرد'!$E$2:$E$29,MATCH(A765,'جدول الجرد'!$B$2:$B$29,0)),""))</f>
        <v/>
      </c>
      <c r="D765" s="4" t="n"/>
      <c r="E765" s="4" t="n"/>
      <c r="F765" s="4" t="n"/>
      <c r="G765" s="4" t="n"/>
      <c r="H765" s="5" t="str">
        <f>IF(E765="","",IF(AND(F765="نعم",G765="نعم"),"جرد + مراجعة",IF(F765="نعم","جرد فقط",IF(G765="نعم","مراجعة فقط",""))))</f>
        <v/>
      </c>
      <c r="I765" s="9">
        <f>IF(H765="جرد + مراجعة",الإعدادات!$B$2,IF(H765="مراجعة فقط",الإعدادات!$B$3,IF(H765="جرد فقط",الإعدادات!$B$4,0)))</f>
        <v>0</v>
      </c>
    </row>
    <row r="766">
      <c r="A766" s="4" t="n"/>
      <c r="B766" s="5" t="str">
        <f>IF(A766="","",IFERROR(INDEX('جدول الجرد'!$A$2:$A$29,MATCH(A766,'جدول الجرد'!$B$2:$B$29,0)),""))</f>
        <v/>
      </c>
      <c r="C766" s="5" t="str">
        <f>IF(A766="","",IFERROR(INDEX('جدول الجرد'!$E$2:$E$29,MATCH(A766,'جدول الجرد'!$B$2:$B$29,0)),""))</f>
        <v/>
      </c>
      <c r="D766" s="4" t="n"/>
      <c r="E766" s="4" t="n"/>
      <c r="F766" s="4" t="n"/>
      <c r="G766" s="4" t="n"/>
      <c r="H766" s="5" t="str">
        <f>IF(E766="","",IF(AND(F766="نعم",G766="نعم"),"جرد + مراجعة",IF(F766="نعم","جرد فقط",IF(G766="نعم","مراجعة فقط",""))))</f>
        <v/>
      </c>
      <c r="I766" s="9">
        <f>IF(H766="جرد + مراجعة",الإعدادات!$B$2,IF(H766="مراجعة فقط",الإعدادات!$B$3,IF(H766="جرد فقط",الإعدادات!$B$4,0)))</f>
        <v>0</v>
      </c>
    </row>
    <row r="767">
      <c r="A767" s="4" t="n"/>
      <c r="B767" s="5" t="str">
        <f>IF(A767="","",IFERROR(INDEX('جدول الجرد'!$A$2:$A$29,MATCH(A767,'جدول الجرد'!$B$2:$B$29,0)),""))</f>
        <v/>
      </c>
      <c r="C767" s="5" t="str">
        <f>IF(A767="","",IFERROR(INDEX('جدول الجرد'!$E$2:$E$29,MATCH(A767,'جدول الجرد'!$B$2:$B$29,0)),""))</f>
        <v/>
      </c>
      <c r="D767" s="4" t="n"/>
      <c r="E767" s="4" t="n"/>
      <c r="F767" s="4" t="n"/>
      <c r="G767" s="4" t="n"/>
      <c r="H767" s="5" t="str">
        <f>IF(E767="","",IF(AND(F767="نعم",G767="نعم"),"جرد + مراجعة",IF(F767="نعم","جرد فقط",IF(G767="نعم","مراجعة فقط",""))))</f>
        <v/>
      </c>
      <c r="I767" s="9">
        <f>IF(H767="جرد + مراجعة",الإعدادات!$B$2,IF(H767="مراجعة فقط",الإعدادات!$B$3,IF(H767="جرد فقط",الإعدادات!$B$4,0)))</f>
        <v>0</v>
      </c>
    </row>
    <row r="768">
      <c r="A768" s="4" t="n"/>
      <c r="B768" s="5" t="str">
        <f>IF(A768="","",IFERROR(INDEX('جدول الجرد'!$A$2:$A$29,MATCH(A768,'جدول الجرد'!$B$2:$B$29,0)),""))</f>
        <v/>
      </c>
      <c r="C768" s="5" t="str">
        <f>IF(A768="","",IFERROR(INDEX('جدول الجرد'!$E$2:$E$29,MATCH(A768,'جدول الجرد'!$B$2:$B$29,0)),""))</f>
        <v/>
      </c>
      <c r="D768" s="4" t="n"/>
      <c r="E768" s="4" t="n"/>
      <c r="F768" s="4" t="n"/>
      <c r="G768" s="4" t="n"/>
      <c r="H768" s="5" t="str">
        <f>IF(E768="","",IF(AND(F768="نعم",G768="نعم"),"جرد + مراجعة",IF(F768="نعم","جرد فقط",IF(G768="نعم","مراجعة فقط",""))))</f>
        <v/>
      </c>
      <c r="I768" s="9">
        <f>IF(H768="جرد + مراجعة",الإعدادات!$B$2,IF(H768="مراجعة فقط",الإعدادات!$B$3,IF(H768="جرد فقط",الإعدادات!$B$4,0)))</f>
        <v>0</v>
      </c>
    </row>
    <row r="769">
      <c r="A769" s="4" t="n"/>
      <c r="B769" s="5" t="str">
        <f>IF(A769="","",IFERROR(INDEX('جدول الجرد'!$A$2:$A$29,MATCH(A769,'جدول الجرد'!$B$2:$B$29,0)),""))</f>
        <v/>
      </c>
      <c r="C769" s="5" t="str">
        <f>IF(A769="","",IFERROR(INDEX('جدول الجرد'!$E$2:$E$29,MATCH(A769,'جدول الجرد'!$B$2:$B$29,0)),""))</f>
        <v/>
      </c>
      <c r="D769" s="4" t="n"/>
      <c r="E769" s="4" t="n"/>
      <c r="F769" s="4" t="n"/>
      <c r="G769" s="4" t="n"/>
      <c r="H769" s="5" t="str">
        <f>IF(E769="","",IF(AND(F769="نعم",G769="نعم"),"جرد + مراجعة",IF(F769="نعم","جرد فقط",IF(G769="نعم","مراجعة فقط",""))))</f>
        <v/>
      </c>
      <c r="I769" s="9">
        <f>IF(H769="جرد + مراجعة",الإعدادات!$B$2,IF(H769="مراجعة فقط",الإعدادات!$B$3,IF(H769="جرد فقط",الإعدادات!$B$4,0)))</f>
        <v>0</v>
      </c>
    </row>
    <row r="770">
      <c r="A770" s="4" t="n"/>
      <c r="B770" s="5" t="str">
        <f>IF(A770="","",IFERROR(INDEX('جدول الجرد'!$A$2:$A$29,MATCH(A770,'جدول الجرد'!$B$2:$B$29,0)),""))</f>
        <v/>
      </c>
      <c r="C770" s="5" t="str">
        <f>IF(A770="","",IFERROR(INDEX('جدول الجرد'!$E$2:$E$29,MATCH(A770,'جدول الجرد'!$B$2:$B$29,0)),""))</f>
        <v/>
      </c>
      <c r="D770" s="4" t="n"/>
      <c r="E770" s="4" t="n"/>
      <c r="F770" s="4" t="n"/>
      <c r="G770" s="4" t="n"/>
      <c r="H770" s="5" t="str">
        <f>IF(E770="","",IF(AND(F770="نعم",G770="نعم"),"جرد + مراجعة",IF(F770="نعم","جرد فقط",IF(G770="نعم","مراجعة فقط",""))))</f>
        <v/>
      </c>
      <c r="I770" s="9">
        <f>IF(H770="جرد + مراجعة",الإعدادات!$B$2,IF(H770="مراجعة فقط",الإعدادات!$B$3,IF(H770="جرد فقط",الإعدادات!$B$4,0)))</f>
        <v>0</v>
      </c>
    </row>
    <row r="771">
      <c r="A771" s="4" t="n"/>
      <c r="B771" s="5" t="str">
        <f>IF(A771="","",IFERROR(INDEX('جدول الجرد'!$A$2:$A$29,MATCH(A771,'جدول الجرد'!$B$2:$B$29,0)),""))</f>
        <v/>
      </c>
      <c r="C771" s="5" t="str">
        <f>IF(A771="","",IFERROR(INDEX('جدول الجرد'!$E$2:$E$29,MATCH(A771,'جدول الجرد'!$B$2:$B$29,0)),""))</f>
        <v/>
      </c>
      <c r="D771" s="4" t="n"/>
      <c r="E771" s="4" t="n"/>
      <c r="F771" s="4" t="n"/>
      <c r="G771" s="4" t="n"/>
      <c r="H771" s="5" t="str">
        <f>IF(E771="","",IF(AND(F771="نعم",G771="نعم"),"جرد + مراجعة",IF(F771="نعم","جرد فقط",IF(G771="نعم","مراجعة فقط",""))))</f>
        <v/>
      </c>
      <c r="I771" s="9">
        <f>IF(H771="جرد + مراجعة",الإعدادات!$B$2,IF(H771="مراجعة فقط",الإعدادات!$B$3,IF(H771="جرد فقط",الإعدادات!$B$4,0)))</f>
        <v>0</v>
      </c>
    </row>
    <row r="772">
      <c r="A772" s="4" t="n"/>
      <c r="B772" s="5" t="str">
        <f>IF(A772="","",IFERROR(INDEX('جدول الجرد'!$A$2:$A$29,MATCH(A772,'جدول الجرد'!$B$2:$B$29,0)),""))</f>
        <v/>
      </c>
      <c r="C772" s="5" t="str">
        <f>IF(A772="","",IFERROR(INDEX('جدول الجرد'!$E$2:$E$29,MATCH(A772,'جدول الجرد'!$B$2:$B$29,0)),""))</f>
        <v/>
      </c>
      <c r="D772" s="4" t="n"/>
      <c r="E772" s="4" t="n"/>
      <c r="F772" s="4" t="n"/>
      <c r="G772" s="4" t="n"/>
      <c r="H772" s="5" t="str">
        <f>IF(E772="","",IF(AND(F772="نعم",G772="نعم"),"جرد + مراجعة",IF(F772="نعم","جرد فقط",IF(G772="نعم","مراجعة فقط",""))))</f>
        <v/>
      </c>
      <c r="I772" s="9">
        <f>IF(H772="جرد + مراجعة",الإعدادات!$B$2,IF(H772="مراجعة فقط",الإعدادات!$B$3,IF(H772="جرد فقط",الإعدادات!$B$4,0)))</f>
        <v>0</v>
      </c>
    </row>
    <row r="773">
      <c r="A773" s="4" t="n"/>
      <c r="B773" s="5" t="str">
        <f>IF(A773="","",IFERROR(INDEX('جدول الجرد'!$A$2:$A$29,MATCH(A773,'جدول الجرد'!$B$2:$B$29,0)),""))</f>
        <v/>
      </c>
      <c r="C773" s="5" t="str">
        <f>IF(A773="","",IFERROR(INDEX('جدول الجرد'!$E$2:$E$29,MATCH(A773,'جدول الجرد'!$B$2:$B$29,0)),""))</f>
        <v/>
      </c>
      <c r="D773" s="4" t="n"/>
      <c r="E773" s="4" t="n"/>
      <c r="F773" s="4" t="n"/>
      <c r="G773" s="4" t="n"/>
      <c r="H773" s="5" t="str">
        <f>IF(E773="","",IF(AND(F773="نعم",G773="نعم"),"جرد + مراجعة",IF(F773="نعم","جرد فقط",IF(G773="نعم","مراجعة فقط",""))))</f>
        <v/>
      </c>
      <c r="I773" s="9">
        <f>IF(H773="جرد + مراجعة",الإعدادات!$B$2,IF(H773="مراجعة فقط",الإعدادات!$B$3,IF(H773="جرد فقط",الإعدادات!$B$4,0)))</f>
        <v>0</v>
      </c>
    </row>
    <row r="774">
      <c r="A774" s="4" t="n"/>
      <c r="B774" s="5" t="str">
        <f>IF(A774="","",IFERROR(INDEX('جدول الجرد'!$A$2:$A$29,MATCH(A774,'جدول الجرد'!$B$2:$B$29,0)),""))</f>
        <v/>
      </c>
      <c r="C774" s="5" t="str">
        <f>IF(A774="","",IFERROR(INDEX('جدول الجرد'!$E$2:$E$29,MATCH(A774,'جدول الجرد'!$B$2:$B$29,0)),""))</f>
        <v/>
      </c>
      <c r="D774" s="4" t="n"/>
      <c r="E774" s="4" t="n"/>
      <c r="F774" s="4" t="n"/>
      <c r="G774" s="4" t="n"/>
      <c r="H774" s="5" t="str">
        <f>IF(E774="","",IF(AND(F774="نعم",G774="نعم"),"جرد + مراجعة",IF(F774="نعم","جرد فقط",IF(G774="نعم","مراجعة فقط",""))))</f>
        <v/>
      </c>
      <c r="I774" s="9">
        <f>IF(H774="جرد + مراجعة",الإعدادات!$B$2,IF(H774="مراجعة فقط",الإعدادات!$B$3,IF(H774="جرد فقط",الإعدادات!$B$4,0)))</f>
        <v>0</v>
      </c>
    </row>
    <row r="775">
      <c r="A775" s="4" t="n"/>
      <c r="B775" s="5" t="str">
        <f>IF(A775="","",IFERROR(INDEX('جدول الجرد'!$A$2:$A$29,MATCH(A775,'جدول الجرد'!$B$2:$B$29,0)),""))</f>
        <v/>
      </c>
      <c r="C775" s="5" t="str">
        <f>IF(A775="","",IFERROR(INDEX('جدول الجرد'!$E$2:$E$29,MATCH(A775,'جدول الجرد'!$B$2:$B$29,0)),""))</f>
        <v/>
      </c>
      <c r="D775" s="4" t="n"/>
      <c r="E775" s="4" t="n"/>
      <c r="F775" s="4" t="n"/>
      <c r="G775" s="4" t="n"/>
      <c r="H775" s="5" t="str">
        <f>IF(E775="","",IF(AND(F775="نعم",G775="نعم"),"جرد + مراجعة",IF(F775="نعم","جرد فقط",IF(G775="نعم","مراجعة فقط",""))))</f>
        <v/>
      </c>
      <c r="I775" s="9">
        <f>IF(H775="جرد + مراجعة",الإعدادات!$B$2,IF(H775="مراجعة فقط",الإعدادات!$B$3,IF(H775="جرد فقط",الإعدادات!$B$4,0)))</f>
        <v>0</v>
      </c>
    </row>
    <row r="776">
      <c r="A776" s="4" t="n"/>
      <c r="B776" s="5" t="str">
        <f>IF(A776="","",IFERROR(INDEX('جدول الجرد'!$A$2:$A$29,MATCH(A776,'جدول الجرد'!$B$2:$B$29,0)),""))</f>
        <v/>
      </c>
      <c r="C776" s="5" t="str">
        <f>IF(A776="","",IFERROR(INDEX('جدول الجرد'!$E$2:$E$29,MATCH(A776,'جدول الجرد'!$B$2:$B$29,0)),""))</f>
        <v/>
      </c>
      <c r="D776" s="4" t="n"/>
      <c r="E776" s="4" t="n"/>
      <c r="F776" s="4" t="n"/>
      <c r="G776" s="4" t="n"/>
      <c r="H776" s="5" t="str">
        <f>IF(E776="","",IF(AND(F776="نعم",G776="نعم"),"جرد + مراجعة",IF(F776="نعم","جرد فقط",IF(G776="نعم","مراجعة فقط",""))))</f>
        <v/>
      </c>
      <c r="I776" s="9">
        <f>IF(H776="جرد + مراجعة",الإعدادات!$B$2,IF(H776="مراجعة فقط",الإعدادات!$B$3,IF(H776="جرد فقط",الإعدادات!$B$4,0)))</f>
        <v>0</v>
      </c>
    </row>
    <row r="777">
      <c r="A777" s="4" t="n"/>
      <c r="B777" s="5" t="str">
        <f>IF(A777="","",IFERROR(INDEX('جدول الجرد'!$A$2:$A$29,MATCH(A777,'جدول الجرد'!$B$2:$B$29,0)),""))</f>
        <v/>
      </c>
      <c r="C777" s="5" t="str">
        <f>IF(A777="","",IFERROR(INDEX('جدول الجرد'!$E$2:$E$29,MATCH(A777,'جدول الجرد'!$B$2:$B$29,0)),""))</f>
        <v/>
      </c>
      <c r="D777" s="4" t="n"/>
      <c r="E777" s="4" t="n"/>
      <c r="F777" s="4" t="n"/>
      <c r="G777" s="4" t="n"/>
      <c r="H777" s="5" t="str">
        <f>IF(E777="","",IF(AND(F777="نعم",G777="نعم"),"جرد + مراجعة",IF(F777="نعم","جرد فقط",IF(G777="نعم","مراجعة فقط",""))))</f>
        <v/>
      </c>
      <c r="I777" s="9">
        <f>IF(H777="جرد + مراجعة",الإعدادات!$B$2,IF(H777="مراجعة فقط",الإعدادات!$B$3,IF(H777="جرد فقط",الإعدادات!$B$4,0)))</f>
        <v>0</v>
      </c>
    </row>
    <row r="778">
      <c r="A778" s="4" t="n"/>
      <c r="B778" s="5" t="str">
        <f>IF(A778="","",IFERROR(INDEX('جدول الجرد'!$A$2:$A$29,MATCH(A778,'جدول الجرد'!$B$2:$B$29,0)),""))</f>
        <v/>
      </c>
      <c r="C778" s="5" t="str">
        <f>IF(A778="","",IFERROR(INDEX('جدول الجرد'!$E$2:$E$29,MATCH(A778,'جدول الجرد'!$B$2:$B$29,0)),""))</f>
        <v/>
      </c>
      <c r="D778" s="4" t="n"/>
      <c r="E778" s="4" t="n"/>
      <c r="F778" s="4" t="n"/>
      <c r="G778" s="4" t="n"/>
      <c r="H778" s="5" t="str">
        <f>IF(E778="","",IF(AND(F778="نعم",G778="نعم"),"جرد + مراجعة",IF(F778="نعم","جرد فقط",IF(G778="نعم","مراجعة فقط",""))))</f>
        <v/>
      </c>
      <c r="I778" s="9">
        <f>IF(H778="جرد + مراجعة",الإعدادات!$B$2,IF(H778="مراجعة فقط",الإعدادات!$B$3,IF(H778="جرد فقط",الإعدادات!$B$4,0)))</f>
        <v>0</v>
      </c>
    </row>
    <row r="779">
      <c r="A779" s="4" t="n"/>
      <c r="B779" s="5" t="str">
        <f>IF(A779="","",IFERROR(INDEX('جدول الجرد'!$A$2:$A$29,MATCH(A779,'جدول الجرد'!$B$2:$B$29,0)),""))</f>
        <v/>
      </c>
      <c r="C779" s="5" t="str">
        <f>IF(A779="","",IFERROR(INDEX('جدول الجرد'!$E$2:$E$29,MATCH(A779,'جدول الجرد'!$B$2:$B$29,0)),""))</f>
        <v/>
      </c>
      <c r="D779" s="4" t="n"/>
      <c r="E779" s="4" t="n"/>
      <c r="F779" s="4" t="n"/>
      <c r="G779" s="4" t="n"/>
      <c r="H779" s="5" t="str">
        <f>IF(E779="","",IF(AND(F779="نعم",G779="نعم"),"جرد + مراجعة",IF(F779="نعم","جرد فقط",IF(G779="نعم","مراجعة فقط",""))))</f>
        <v/>
      </c>
      <c r="I779" s="9">
        <f>IF(H779="جرد + مراجعة",الإعدادات!$B$2,IF(H779="مراجعة فقط",الإعدادات!$B$3,IF(H779="جرد فقط",الإعدادات!$B$4,0)))</f>
        <v>0</v>
      </c>
    </row>
    <row r="780">
      <c r="A780" s="4" t="n"/>
      <c r="B780" s="5" t="str">
        <f>IF(A780="","",IFERROR(INDEX('جدول الجرد'!$A$2:$A$29,MATCH(A780,'جدول الجرد'!$B$2:$B$29,0)),""))</f>
        <v/>
      </c>
      <c r="C780" s="5" t="str">
        <f>IF(A780="","",IFERROR(INDEX('جدول الجرد'!$E$2:$E$29,MATCH(A780,'جدول الجرد'!$B$2:$B$29,0)),""))</f>
        <v/>
      </c>
      <c r="D780" s="4" t="n"/>
      <c r="E780" s="4" t="n"/>
      <c r="F780" s="4" t="n"/>
      <c r="G780" s="4" t="n"/>
      <c r="H780" s="5" t="str">
        <f>IF(E780="","",IF(AND(F780="نعم",G780="نعم"),"جرد + مراجعة",IF(F780="نعم","جرد فقط",IF(G780="نعم","مراجعة فقط",""))))</f>
        <v/>
      </c>
      <c r="I780" s="9">
        <f>IF(H780="جرد + مراجعة",الإعدادات!$B$2,IF(H780="مراجعة فقط",الإعدادات!$B$3,IF(H780="جرد فقط",الإعدادات!$B$4,0)))</f>
        <v>0</v>
      </c>
    </row>
    <row r="781">
      <c r="A781" s="4" t="n"/>
      <c r="B781" s="5" t="str">
        <f>IF(A781="","",IFERROR(INDEX('جدول الجرد'!$A$2:$A$29,MATCH(A781,'جدول الجرد'!$B$2:$B$29,0)),""))</f>
        <v/>
      </c>
      <c r="C781" s="5" t="str">
        <f>IF(A781="","",IFERROR(INDEX('جدول الجرد'!$E$2:$E$29,MATCH(A781,'جدول الجرد'!$B$2:$B$29,0)),""))</f>
        <v/>
      </c>
      <c r="D781" s="4" t="n"/>
      <c r="E781" s="4" t="n"/>
      <c r="F781" s="4" t="n"/>
      <c r="G781" s="4" t="n"/>
      <c r="H781" s="5" t="str">
        <f>IF(E781="","",IF(AND(F781="نعم",G781="نعم"),"جرد + مراجعة",IF(F781="نعم","جرد فقط",IF(G781="نعم","مراجعة فقط",""))))</f>
        <v/>
      </c>
      <c r="I781" s="9">
        <f>IF(H781="جرد + مراجعة",الإعدادات!$B$2,IF(H781="مراجعة فقط",الإعدادات!$B$3,IF(H781="جرد فقط",الإعدادات!$B$4,0)))</f>
        <v>0</v>
      </c>
    </row>
    <row r="782">
      <c r="A782" s="4" t="n"/>
      <c r="B782" s="5" t="str">
        <f>IF(A782="","",IFERROR(INDEX('جدول الجرد'!$A$2:$A$29,MATCH(A782,'جدول الجرد'!$B$2:$B$29,0)),""))</f>
        <v/>
      </c>
      <c r="C782" s="5" t="str">
        <f>IF(A782="","",IFERROR(INDEX('جدول الجرد'!$E$2:$E$29,MATCH(A782,'جدول الجرد'!$B$2:$B$29,0)),""))</f>
        <v/>
      </c>
      <c r="D782" s="4" t="n"/>
      <c r="E782" s="4" t="n"/>
      <c r="F782" s="4" t="n"/>
      <c r="G782" s="4" t="n"/>
      <c r="H782" s="5" t="str">
        <f>IF(E782="","",IF(AND(F782="نعم",G782="نعم"),"جرد + مراجعة",IF(F782="نعم","جرد فقط",IF(G782="نعم","مراجعة فقط",""))))</f>
        <v/>
      </c>
      <c r="I782" s="9">
        <f>IF(H782="جرد + مراجعة",الإعدادات!$B$2,IF(H782="مراجعة فقط",الإعدادات!$B$3,IF(H782="جرد فقط",الإعدادات!$B$4,0)))</f>
        <v>0</v>
      </c>
    </row>
    <row r="783">
      <c r="A783" s="4" t="n"/>
      <c r="B783" s="5" t="str">
        <f>IF(A783="","",IFERROR(INDEX('جدول الجرد'!$A$2:$A$29,MATCH(A783,'جدول الجرد'!$B$2:$B$29,0)),""))</f>
        <v/>
      </c>
      <c r="C783" s="5" t="str">
        <f>IF(A783="","",IFERROR(INDEX('جدول الجرد'!$E$2:$E$29,MATCH(A783,'جدول الجرد'!$B$2:$B$29,0)),""))</f>
        <v/>
      </c>
      <c r="D783" s="4" t="n"/>
      <c r="E783" s="4" t="n"/>
      <c r="F783" s="4" t="n"/>
      <c r="G783" s="4" t="n"/>
      <c r="H783" s="5" t="str">
        <f>IF(E783="","",IF(AND(F783="نعم",G783="نعم"),"جرد + مراجعة",IF(F783="نعم","جرد فقط",IF(G783="نعم","مراجعة فقط",""))))</f>
        <v/>
      </c>
      <c r="I783" s="9">
        <f>IF(H783="جرد + مراجعة",الإعدادات!$B$2,IF(H783="مراجعة فقط",الإعدادات!$B$3,IF(H783="جرد فقط",الإعدادات!$B$4,0)))</f>
        <v>0</v>
      </c>
    </row>
    <row r="784">
      <c r="A784" s="4" t="n"/>
      <c r="B784" s="5" t="str">
        <f>IF(A784="","",IFERROR(INDEX('جدول الجرد'!$A$2:$A$29,MATCH(A784,'جدول الجرد'!$B$2:$B$29,0)),""))</f>
        <v/>
      </c>
      <c r="C784" s="5" t="str">
        <f>IF(A784="","",IFERROR(INDEX('جدول الجرد'!$E$2:$E$29,MATCH(A784,'جدول الجرد'!$B$2:$B$29,0)),""))</f>
        <v/>
      </c>
      <c r="D784" s="4" t="n"/>
      <c r="E784" s="4" t="n"/>
      <c r="F784" s="4" t="n"/>
      <c r="G784" s="4" t="n"/>
      <c r="H784" s="5" t="str">
        <f>IF(E784="","",IF(AND(F784="نعم",G784="نعم"),"جرد + مراجعة",IF(F784="نعم","جرد فقط",IF(G784="نعم","مراجعة فقط",""))))</f>
        <v/>
      </c>
      <c r="I784" s="9">
        <f>IF(H784="جرد + مراجعة",الإعدادات!$B$2,IF(H784="مراجعة فقط",الإعدادات!$B$3,IF(H784="جرد فقط",الإعدادات!$B$4,0)))</f>
        <v>0</v>
      </c>
    </row>
    <row r="785">
      <c r="A785" s="4" t="n"/>
      <c r="B785" s="5" t="str">
        <f>IF(A785="","",IFERROR(INDEX('جدول الجرد'!$A$2:$A$29,MATCH(A785,'جدول الجرد'!$B$2:$B$29,0)),""))</f>
        <v/>
      </c>
      <c r="C785" s="5" t="str">
        <f>IF(A785="","",IFERROR(INDEX('جدول الجرد'!$E$2:$E$29,MATCH(A785,'جدول الجرد'!$B$2:$B$29,0)),""))</f>
        <v/>
      </c>
      <c r="D785" s="4" t="n"/>
      <c r="E785" s="4" t="n"/>
      <c r="F785" s="4" t="n"/>
      <c r="G785" s="4" t="n"/>
      <c r="H785" s="5" t="str">
        <f>IF(E785="","",IF(AND(F785="نعم",G785="نعم"),"جرد + مراجعة",IF(F785="نعم","جرد فقط",IF(G785="نعم","مراجعة فقط",""))))</f>
        <v/>
      </c>
      <c r="I785" s="9">
        <f>IF(H785="جرد + مراجعة",الإعدادات!$B$2,IF(H785="مراجعة فقط",الإعدادات!$B$3,IF(H785="جرد فقط",الإعدادات!$B$4,0)))</f>
        <v>0</v>
      </c>
    </row>
    <row r="786">
      <c r="A786" s="4" t="n"/>
      <c r="B786" s="5" t="str">
        <f>IF(A786="","",IFERROR(INDEX('جدول الجرد'!$A$2:$A$29,MATCH(A786,'جدول الجرد'!$B$2:$B$29,0)),""))</f>
        <v/>
      </c>
      <c r="C786" s="5" t="str">
        <f>IF(A786="","",IFERROR(INDEX('جدول الجرد'!$E$2:$E$29,MATCH(A786,'جدول الجرد'!$B$2:$B$29,0)),""))</f>
        <v/>
      </c>
      <c r="D786" s="4" t="n"/>
      <c r="E786" s="4" t="n"/>
      <c r="F786" s="4" t="n"/>
      <c r="G786" s="4" t="n"/>
      <c r="H786" s="5" t="str">
        <f>IF(E786="","",IF(AND(F786="نعم",G786="نعم"),"جرد + مراجعة",IF(F786="نعم","جرد فقط",IF(G786="نعم","مراجعة فقط",""))))</f>
        <v/>
      </c>
      <c r="I786" s="9">
        <f>IF(H786="جرد + مراجعة",الإعدادات!$B$2,IF(H786="مراجعة فقط",الإعدادات!$B$3,IF(H786="جرد فقط",الإعدادات!$B$4,0)))</f>
        <v>0</v>
      </c>
    </row>
    <row r="787">
      <c r="A787" s="4" t="n"/>
      <c r="B787" s="5" t="str">
        <f>IF(A787="","",IFERROR(INDEX('جدول الجرد'!$A$2:$A$29,MATCH(A787,'جدول الجرد'!$B$2:$B$29,0)),""))</f>
        <v/>
      </c>
      <c r="C787" s="5" t="str">
        <f>IF(A787="","",IFERROR(INDEX('جدول الجرد'!$E$2:$E$29,MATCH(A787,'جدول الجرد'!$B$2:$B$29,0)),""))</f>
        <v/>
      </c>
      <c r="D787" s="4" t="n"/>
      <c r="E787" s="4" t="n"/>
      <c r="F787" s="4" t="n"/>
      <c r="G787" s="4" t="n"/>
      <c r="H787" s="5" t="str">
        <f>IF(E787="","",IF(AND(F787="نعم",G787="نعم"),"جرد + مراجعة",IF(F787="نعم","جرد فقط",IF(G787="نعم","مراجعة فقط",""))))</f>
        <v/>
      </c>
      <c r="I787" s="9">
        <f>IF(H787="جرد + مراجعة",الإعدادات!$B$2,IF(H787="مراجعة فقط",الإعدادات!$B$3,IF(H787="جرد فقط",الإعدادات!$B$4,0)))</f>
        <v>0</v>
      </c>
    </row>
    <row r="788">
      <c r="A788" s="4" t="n"/>
      <c r="B788" s="5" t="str">
        <f>IF(A788="","",IFERROR(INDEX('جدول الجرد'!$A$2:$A$29,MATCH(A788,'جدول الجرد'!$B$2:$B$29,0)),""))</f>
        <v/>
      </c>
      <c r="C788" s="5" t="str">
        <f>IF(A788="","",IFERROR(INDEX('جدول الجرد'!$E$2:$E$29,MATCH(A788,'جدول الجرد'!$B$2:$B$29,0)),""))</f>
        <v/>
      </c>
      <c r="D788" s="4" t="n"/>
      <c r="E788" s="4" t="n"/>
      <c r="F788" s="4" t="n"/>
      <c r="G788" s="4" t="n"/>
      <c r="H788" s="5" t="str">
        <f>IF(E788="","",IF(AND(F788="نعم",G788="نعم"),"جرد + مراجعة",IF(F788="نعم","جرد فقط",IF(G788="نعم","مراجعة فقط",""))))</f>
        <v/>
      </c>
      <c r="I788" s="9">
        <f>IF(H788="جرد + مراجعة",الإعدادات!$B$2,IF(H788="مراجعة فقط",الإعدادات!$B$3,IF(H788="جرد فقط",الإعدادات!$B$4,0)))</f>
        <v>0</v>
      </c>
    </row>
    <row r="789">
      <c r="A789" s="4" t="n"/>
      <c r="B789" s="5" t="str">
        <f>IF(A789="","",IFERROR(INDEX('جدول الجرد'!$A$2:$A$29,MATCH(A789,'جدول الجرد'!$B$2:$B$29,0)),""))</f>
        <v/>
      </c>
      <c r="C789" s="5" t="str">
        <f>IF(A789="","",IFERROR(INDEX('جدول الجرد'!$E$2:$E$29,MATCH(A789,'جدول الجرد'!$B$2:$B$29,0)),""))</f>
        <v/>
      </c>
      <c r="D789" s="4" t="n"/>
      <c r="E789" s="4" t="n"/>
      <c r="F789" s="4" t="n"/>
      <c r="G789" s="4" t="n"/>
      <c r="H789" s="5" t="str">
        <f>IF(E789="","",IF(AND(F789="نعم",G789="نعم"),"جرد + مراجعة",IF(F789="نعم","جرد فقط",IF(G789="نعم","مراجعة فقط",""))))</f>
        <v/>
      </c>
      <c r="I789" s="9">
        <f>IF(H789="جرد + مراجعة",الإعدادات!$B$2,IF(H789="مراجعة فقط",الإعدادات!$B$3,IF(H789="جرد فقط",الإعدادات!$B$4,0)))</f>
        <v>0</v>
      </c>
    </row>
    <row r="790">
      <c r="A790" s="4" t="n"/>
      <c r="B790" s="5" t="str">
        <f>IF(A790="","",IFERROR(INDEX('جدول الجرد'!$A$2:$A$29,MATCH(A790,'جدول الجرد'!$B$2:$B$29,0)),""))</f>
        <v/>
      </c>
      <c r="C790" s="5" t="str">
        <f>IF(A790="","",IFERROR(INDEX('جدول الجرد'!$E$2:$E$29,MATCH(A790,'جدول الجرد'!$B$2:$B$29,0)),""))</f>
        <v/>
      </c>
      <c r="D790" s="4" t="n"/>
      <c r="E790" s="4" t="n"/>
      <c r="F790" s="4" t="n"/>
      <c r="G790" s="4" t="n"/>
      <c r="H790" s="5" t="str">
        <f>IF(E790="","",IF(AND(F790="نعم",G790="نعم"),"جرد + مراجعة",IF(F790="نعم","جرد فقط",IF(G790="نعم","مراجعة فقط",""))))</f>
        <v/>
      </c>
      <c r="I790" s="9">
        <f>IF(H790="جرد + مراجعة",الإعدادات!$B$2,IF(H790="مراجعة فقط",الإعدادات!$B$3,IF(H790="جرد فقط",الإعدادات!$B$4,0)))</f>
        <v>0</v>
      </c>
    </row>
    <row r="791">
      <c r="A791" s="4" t="n"/>
      <c r="B791" s="5" t="str">
        <f>IF(A791="","",IFERROR(INDEX('جدول الجرد'!$A$2:$A$29,MATCH(A791,'جدول الجرد'!$B$2:$B$29,0)),""))</f>
        <v/>
      </c>
      <c r="C791" s="5" t="str">
        <f>IF(A791="","",IFERROR(INDEX('جدول الجرد'!$E$2:$E$29,MATCH(A791,'جدول الجرد'!$B$2:$B$29,0)),""))</f>
        <v/>
      </c>
      <c r="D791" s="4" t="n"/>
      <c r="E791" s="4" t="n"/>
      <c r="F791" s="4" t="n"/>
      <c r="G791" s="4" t="n"/>
      <c r="H791" s="5" t="str">
        <f>IF(E791="","",IF(AND(F791="نعم",G791="نعم"),"جرد + مراجعة",IF(F791="نعم","جرد فقط",IF(G791="نعم","مراجعة فقط",""))))</f>
        <v/>
      </c>
      <c r="I791" s="9">
        <f>IF(H791="جرد + مراجعة",الإعدادات!$B$2,IF(H791="مراجعة فقط",الإعدادات!$B$3,IF(H791="جرد فقط",الإعدادات!$B$4,0)))</f>
        <v>0</v>
      </c>
    </row>
    <row r="792">
      <c r="A792" s="4" t="n"/>
      <c r="B792" s="5" t="str">
        <f>IF(A792="","",IFERROR(INDEX('جدول الجرد'!$A$2:$A$29,MATCH(A792,'جدول الجرد'!$B$2:$B$29,0)),""))</f>
        <v/>
      </c>
      <c r="C792" s="5" t="str">
        <f>IF(A792="","",IFERROR(INDEX('جدول الجرد'!$E$2:$E$29,MATCH(A792,'جدول الجرد'!$B$2:$B$29,0)),""))</f>
        <v/>
      </c>
      <c r="D792" s="4" t="n"/>
      <c r="E792" s="4" t="n"/>
      <c r="F792" s="4" t="n"/>
      <c r="G792" s="4" t="n"/>
      <c r="H792" s="5" t="str">
        <f>IF(E792="","",IF(AND(F792="نعم",G792="نعم"),"جرد + مراجعة",IF(F792="نعم","جرد فقط",IF(G792="نعم","مراجعة فقط",""))))</f>
        <v/>
      </c>
      <c r="I792" s="9">
        <f>IF(H792="جرد + مراجعة",الإعدادات!$B$2,IF(H792="مراجعة فقط",الإعدادات!$B$3,IF(H792="جرد فقط",الإعدادات!$B$4,0)))</f>
        <v>0</v>
      </c>
    </row>
    <row r="793">
      <c r="A793" s="4" t="n"/>
      <c r="B793" s="5" t="str">
        <f>IF(A793="","",IFERROR(INDEX('جدول الجرد'!$A$2:$A$29,MATCH(A793,'جدول الجرد'!$B$2:$B$29,0)),""))</f>
        <v/>
      </c>
      <c r="C793" s="5" t="str">
        <f>IF(A793="","",IFERROR(INDEX('جدول الجرد'!$E$2:$E$29,MATCH(A793,'جدول الجرد'!$B$2:$B$29,0)),""))</f>
        <v/>
      </c>
      <c r="D793" s="4" t="n"/>
      <c r="E793" s="4" t="n"/>
      <c r="F793" s="4" t="n"/>
      <c r="G793" s="4" t="n"/>
      <c r="H793" s="5" t="str">
        <f>IF(E793="","",IF(AND(F793="نعم",G793="نعم"),"جرد + مراجعة",IF(F793="نعم","جرد فقط",IF(G793="نعم","مراجعة فقط",""))))</f>
        <v/>
      </c>
      <c r="I793" s="9">
        <f>IF(H793="جرد + مراجعة",الإعدادات!$B$2,IF(H793="مراجعة فقط",الإعدادات!$B$3,IF(H793="جرد فقط",الإعدادات!$B$4,0)))</f>
        <v>0</v>
      </c>
    </row>
    <row r="794">
      <c r="A794" s="4" t="n"/>
      <c r="B794" s="5" t="str">
        <f>IF(A794="","",IFERROR(INDEX('جدول الجرد'!$A$2:$A$29,MATCH(A794,'جدول الجرد'!$B$2:$B$29,0)),""))</f>
        <v/>
      </c>
      <c r="C794" s="5" t="str">
        <f>IF(A794="","",IFERROR(INDEX('جدول الجرد'!$E$2:$E$29,MATCH(A794,'جدول الجرد'!$B$2:$B$29,0)),""))</f>
        <v/>
      </c>
      <c r="D794" s="4" t="n"/>
      <c r="E794" s="4" t="n"/>
      <c r="F794" s="4" t="n"/>
      <c r="G794" s="4" t="n"/>
      <c r="H794" s="5" t="str">
        <f>IF(E794="","",IF(AND(F794="نعم",G794="نعم"),"جرد + مراجعة",IF(F794="نعم","جرد فقط",IF(G794="نعم","مراجعة فقط",""))))</f>
        <v/>
      </c>
      <c r="I794" s="9">
        <f>IF(H794="جرد + مراجعة",الإعدادات!$B$2,IF(H794="مراجعة فقط",الإعدادات!$B$3,IF(H794="جرد فقط",الإعدادات!$B$4,0)))</f>
        <v>0</v>
      </c>
    </row>
    <row r="795">
      <c r="A795" s="4" t="n"/>
      <c r="B795" s="5" t="str">
        <f>IF(A795="","",IFERROR(INDEX('جدول الجرد'!$A$2:$A$29,MATCH(A795,'جدول الجرد'!$B$2:$B$29,0)),""))</f>
        <v/>
      </c>
      <c r="C795" s="5" t="str">
        <f>IF(A795="","",IFERROR(INDEX('جدول الجرد'!$E$2:$E$29,MATCH(A795,'جدول الجرد'!$B$2:$B$29,0)),""))</f>
        <v/>
      </c>
      <c r="D795" s="4" t="n"/>
      <c r="E795" s="4" t="n"/>
      <c r="F795" s="4" t="n"/>
      <c r="G795" s="4" t="n"/>
      <c r="H795" s="5" t="str">
        <f>IF(E795="","",IF(AND(F795="نعم",G795="نعم"),"جرد + مراجعة",IF(F795="نعم","جرد فقط",IF(G795="نعم","مراجعة فقط",""))))</f>
        <v/>
      </c>
      <c r="I795" s="9">
        <f>IF(H795="جرد + مراجعة",الإعدادات!$B$2,IF(H795="مراجعة فقط",الإعدادات!$B$3,IF(H795="جرد فقط",الإعدادات!$B$4,0)))</f>
        <v>0</v>
      </c>
    </row>
    <row r="796">
      <c r="A796" s="4" t="n"/>
      <c r="B796" s="5" t="str">
        <f>IF(A796="","",IFERROR(INDEX('جدول الجرد'!$A$2:$A$29,MATCH(A796,'جدول الجرد'!$B$2:$B$29,0)),""))</f>
        <v/>
      </c>
      <c r="C796" s="5" t="str">
        <f>IF(A796="","",IFERROR(INDEX('جدول الجرد'!$E$2:$E$29,MATCH(A796,'جدول الجرد'!$B$2:$B$29,0)),""))</f>
        <v/>
      </c>
      <c r="D796" s="4" t="n"/>
      <c r="E796" s="4" t="n"/>
      <c r="F796" s="4" t="n"/>
      <c r="G796" s="4" t="n"/>
      <c r="H796" s="5" t="str">
        <f>IF(E796="","",IF(AND(F796="نعم",G796="نعم"),"جرد + مراجعة",IF(F796="نعم","جرد فقط",IF(G796="نعم","مراجعة فقط",""))))</f>
        <v/>
      </c>
      <c r="I796" s="9">
        <f>IF(H796="جرد + مراجعة",الإعدادات!$B$2,IF(H796="مراجعة فقط",الإعدادات!$B$3,IF(H796="جرد فقط",الإعدادات!$B$4,0)))</f>
        <v>0</v>
      </c>
    </row>
    <row r="797">
      <c r="A797" s="4" t="n"/>
      <c r="B797" s="5" t="str">
        <f>IF(A797="","",IFERROR(INDEX('جدول الجرد'!$A$2:$A$29,MATCH(A797,'جدول الجرد'!$B$2:$B$29,0)),""))</f>
        <v/>
      </c>
      <c r="C797" s="5" t="str">
        <f>IF(A797="","",IFERROR(INDEX('جدول الجرد'!$E$2:$E$29,MATCH(A797,'جدول الجرد'!$B$2:$B$29,0)),""))</f>
        <v/>
      </c>
      <c r="D797" s="4" t="n"/>
      <c r="E797" s="4" t="n"/>
      <c r="F797" s="4" t="n"/>
      <c r="G797" s="4" t="n"/>
      <c r="H797" s="5" t="str">
        <f>IF(E797="","",IF(AND(F797="نعم",G797="نعم"),"جرد + مراجعة",IF(F797="نعم","جرد فقط",IF(G797="نعم","مراجعة فقط",""))))</f>
        <v/>
      </c>
      <c r="I797" s="9">
        <f>IF(H797="جرد + مراجعة",الإعدادات!$B$2,IF(H797="مراجعة فقط",الإعدادات!$B$3,IF(H797="جرد فقط",الإعدادات!$B$4,0)))</f>
        <v>0</v>
      </c>
    </row>
    <row r="798">
      <c r="A798" s="4" t="n"/>
      <c r="B798" s="5" t="str">
        <f>IF(A798="","",IFERROR(INDEX('جدول الجرد'!$A$2:$A$29,MATCH(A798,'جدول الجرد'!$B$2:$B$29,0)),""))</f>
        <v/>
      </c>
      <c r="C798" s="5" t="str">
        <f>IF(A798="","",IFERROR(INDEX('جدول الجرد'!$E$2:$E$29,MATCH(A798,'جدول الجرد'!$B$2:$B$29,0)),""))</f>
        <v/>
      </c>
      <c r="D798" s="4" t="n"/>
      <c r="E798" s="4" t="n"/>
      <c r="F798" s="4" t="n"/>
      <c r="G798" s="4" t="n"/>
      <c r="H798" s="5" t="str">
        <f>IF(E798="","",IF(AND(F798="نعم",G798="نعم"),"جرد + مراجعة",IF(F798="نعم","جرد فقط",IF(G798="نعم","مراجعة فقط",""))))</f>
        <v/>
      </c>
      <c r="I798" s="9">
        <f>IF(H798="جرد + مراجعة",الإعدادات!$B$2,IF(H798="مراجعة فقط",الإعدادات!$B$3,IF(H798="جرد فقط",الإعدادات!$B$4,0)))</f>
        <v>0</v>
      </c>
    </row>
    <row r="799">
      <c r="A799" s="4" t="n"/>
      <c r="B799" s="5" t="str">
        <f>IF(A799="","",IFERROR(INDEX('جدول الجرد'!$A$2:$A$29,MATCH(A799,'جدول الجرد'!$B$2:$B$29,0)),""))</f>
        <v/>
      </c>
      <c r="C799" s="5" t="str">
        <f>IF(A799="","",IFERROR(INDEX('جدول الجرد'!$E$2:$E$29,MATCH(A799,'جدول الجرد'!$B$2:$B$29,0)),""))</f>
        <v/>
      </c>
      <c r="D799" s="4" t="n"/>
      <c r="E799" s="4" t="n"/>
      <c r="F799" s="4" t="n"/>
      <c r="G799" s="4" t="n"/>
      <c r="H799" s="5" t="str">
        <f>IF(E799="","",IF(AND(F799="نعم",G799="نعم"),"جرد + مراجعة",IF(F799="نعم","جرد فقط",IF(G799="نعم","مراجعة فقط",""))))</f>
        <v/>
      </c>
      <c r="I799" s="9">
        <f>IF(H799="جرد + مراجعة",الإعدادات!$B$2,IF(H799="مراجعة فقط",الإعدادات!$B$3,IF(H799="جرد فقط",الإعدادات!$B$4,0)))</f>
        <v>0</v>
      </c>
    </row>
    <row r="800">
      <c r="A800" s="4" t="n"/>
      <c r="B800" s="5" t="str">
        <f>IF(A800="","",IFERROR(INDEX('جدول الجرد'!$A$2:$A$29,MATCH(A800,'جدول الجرد'!$B$2:$B$29,0)),""))</f>
        <v/>
      </c>
      <c r="C800" s="5" t="str">
        <f>IF(A800="","",IFERROR(INDEX('جدول الجرد'!$E$2:$E$29,MATCH(A800,'جدول الجرد'!$B$2:$B$29,0)),""))</f>
        <v/>
      </c>
      <c r="D800" s="4" t="n"/>
      <c r="E800" s="4" t="n"/>
      <c r="F800" s="4" t="n"/>
      <c r="G800" s="4" t="n"/>
      <c r="H800" s="5" t="str">
        <f>IF(E800="","",IF(AND(F800="نعم",G800="نعم"),"جرد + مراجعة",IF(F800="نعم","جرد فقط",IF(G800="نعم","مراجعة فقط",""))))</f>
        <v/>
      </c>
      <c r="I800" s="9">
        <f>IF(H800="جرد + مراجعة",الإعدادات!$B$2,IF(H800="مراجعة فقط",الإعدادات!$B$3,IF(H800="جرد فقط",الإعدادات!$B$4,0)))</f>
        <v>0</v>
      </c>
    </row>
    <row r="801">
      <c r="A801" s="4" t="n"/>
      <c r="B801" s="5" t="str">
        <f>IF(A801="","",IFERROR(INDEX('جدول الجرد'!$A$2:$A$29,MATCH(A801,'جدول الجرد'!$B$2:$B$29,0)),""))</f>
        <v/>
      </c>
      <c r="C801" s="5" t="str">
        <f>IF(A801="","",IFERROR(INDEX('جدول الجرد'!$E$2:$E$29,MATCH(A801,'جدول الجرد'!$B$2:$B$29,0)),""))</f>
        <v/>
      </c>
      <c r="D801" s="4" t="n"/>
      <c r="E801" s="4" t="n"/>
      <c r="F801" s="4" t="n"/>
      <c r="G801" s="4" t="n"/>
      <c r="H801" s="5" t="str">
        <f>IF(E801="","",IF(AND(F801="نعم",G801="نعم"),"جرد + مراجعة",IF(F801="نعم","جرد فقط",IF(G801="نعم","مراجعة فقط",""))))</f>
        <v/>
      </c>
      <c r="I801" s="9">
        <f>IF(H801="جرد + مراجعة",الإعدادات!$B$2,IF(H801="مراجعة فقط",الإعدادات!$B$3,IF(H801="جرد فقط",الإعدادات!$B$4,0)))</f>
        <v>0</v>
      </c>
    </row>
    <row r="802">
      <c r="A802" s="4" t="n"/>
      <c r="B802" s="5" t="str">
        <f>IF(A802="","",IFERROR(INDEX('جدول الجرد'!$A$2:$A$29,MATCH(A802,'جدول الجرد'!$B$2:$B$29,0)),""))</f>
        <v/>
      </c>
      <c r="C802" s="5" t="str">
        <f>IF(A802="","",IFERROR(INDEX('جدول الجرد'!$E$2:$E$29,MATCH(A802,'جدول الجرد'!$B$2:$B$29,0)),""))</f>
        <v/>
      </c>
      <c r="D802" s="4" t="n"/>
      <c r="E802" s="4" t="n"/>
      <c r="F802" s="4" t="n"/>
      <c r="G802" s="4" t="n"/>
      <c r="H802" s="5" t="str">
        <f>IF(E802="","",IF(AND(F802="نعم",G802="نعم"),"جرد + مراجعة",IF(F802="نعم","جرد فقط",IF(G802="نعم","مراجعة فقط",""))))</f>
        <v/>
      </c>
      <c r="I802" s="9">
        <f>IF(H802="جرد + مراجعة",الإعدادات!$B$2,IF(H802="مراجعة فقط",الإعدادات!$B$3,IF(H802="جرد فقط",الإعدادات!$B$4,0)))</f>
        <v>0</v>
      </c>
    </row>
    <row r="803">
      <c r="A803" s="4" t="n"/>
      <c r="B803" s="5" t="str">
        <f>IF(A803="","",IFERROR(INDEX('جدول الجرد'!$A$2:$A$29,MATCH(A803,'جدول الجرد'!$B$2:$B$29,0)),""))</f>
        <v/>
      </c>
      <c r="C803" s="5" t="str">
        <f>IF(A803="","",IFERROR(INDEX('جدول الجرد'!$E$2:$E$29,MATCH(A803,'جدول الجرد'!$B$2:$B$29,0)),""))</f>
        <v/>
      </c>
      <c r="D803" s="4" t="n"/>
      <c r="E803" s="4" t="n"/>
      <c r="F803" s="4" t="n"/>
      <c r="G803" s="4" t="n"/>
      <c r="H803" s="5" t="str">
        <f>IF(E803="","",IF(AND(F803="نعم",G803="نعم"),"جرد + مراجعة",IF(F803="نعم","جرد فقط",IF(G803="نعم","مراجعة فقط",""))))</f>
        <v/>
      </c>
      <c r="I803" s="9">
        <f>IF(H803="جرد + مراجعة",الإعدادات!$B$2,IF(H803="مراجعة فقط",الإعدادات!$B$3,IF(H803="جرد فقط",الإعدادات!$B$4,0)))</f>
        <v>0</v>
      </c>
    </row>
    <row r="804">
      <c r="A804" s="4" t="n"/>
      <c r="B804" s="5" t="str">
        <f>IF(A804="","",IFERROR(INDEX('جدول الجرد'!$A$2:$A$29,MATCH(A804,'جدول الجرد'!$B$2:$B$29,0)),""))</f>
        <v/>
      </c>
      <c r="C804" s="5" t="str">
        <f>IF(A804="","",IFERROR(INDEX('جدول الجرد'!$E$2:$E$29,MATCH(A804,'جدول الجرد'!$B$2:$B$29,0)),""))</f>
        <v/>
      </c>
      <c r="D804" s="4" t="n"/>
      <c r="E804" s="4" t="n"/>
      <c r="F804" s="4" t="n"/>
      <c r="G804" s="4" t="n"/>
      <c r="H804" s="5" t="str">
        <f>IF(E804="","",IF(AND(F804="نعم",G804="نعم"),"جرد + مراجعة",IF(F804="نعم","جرد فقط",IF(G804="نعم","مراجعة فقط",""))))</f>
        <v/>
      </c>
      <c r="I804" s="9">
        <f>IF(H804="جرد + مراجعة",الإعدادات!$B$2,IF(H804="مراجعة فقط",الإعدادات!$B$3,IF(H804="جرد فقط",الإعدادات!$B$4,0)))</f>
        <v>0</v>
      </c>
    </row>
    <row r="805">
      <c r="A805" s="4" t="n"/>
      <c r="B805" s="5" t="str">
        <f>IF(A805="","",IFERROR(INDEX('جدول الجرد'!$A$2:$A$29,MATCH(A805,'جدول الجرد'!$B$2:$B$29,0)),""))</f>
        <v/>
      </c>
      <c r="C805" s="5" t="str">
        <f>IF(A805="","",IFERROR(INDEX('جدول الجرد'!$E$2:$E$29,MATCH(A805,'جدول الجرد'!$B$2:$B$29,0)),""))</f>
        <v/>
      </c>
      <c r="D805" s="4" t="n"/>
      <c r="E805" s="4" t="n"/>
      <c r="F805" s="4" t="n"/>
      <c r="G805" s="4" t="n"/>
      <c r="H805" s="5" t="str">
        <f>IF(E805="","",IF(AND(F805="نعم",G805="نعم"),"جرد + مراجعة",IF(F805="نعم","جرد فقط",IF(G805="نعم","مراجعة فقط",""))))</f>
        <v/>
      </c>
      <c r="I805" s="9">
        <f>IF(H805="جرد + مراجعة",الإعدادات!$B$2,IF(H805="مراجعة فقط",الإعدادات!$B$3,IF(H805="جرد فقط",الإعدادات!$B$4,0)))</f>
        <v>0</v>
      </c>
    </row>
    <row r="806">
      <c r="A806" s="4" t="n"/>
      <c r="B806" s="5" t="str">
        <f>IF(A806="","",IFERROR(INDEX('جدول الجرد'!$A$2:$A$29,MATCH(A806,'جدول الجرد'!$B$2:$B$29,0)),""))</f>
        <v/>
      </c>
      <c r="C806" s="5" t="str">
        <f>IF(A806="","",IFERROR(INDEX('جدول الجرد'!$E$2:$E$29,MATCH(A806,'جدول الجرد'!$B$2:$B$29,0)),""))</f>
        <v/>
      </c>
      <c r="D806" s="4" t="n"/>
      <c r="E806" s="4" t="n"/>
      <c r="F806" s="4" t="n"/>
      <c r="G806" s="4" t="n"/>
      <c r="H806" s="5" t="str">
        <f>IF(E806="","",IF(AND(F806="نعم",G806="نعم"),"جرد + مراجعة",IF(F806="نعم","جرد فقط",IF(G806="نعم","مراجعة فقط",""))))</f>
        <v/>
      </c>
      <c r="I806" s="9">
        <f>IF(H806="جرد + مراجعة",الإعدادات!$B$2,IF(H806="مراجعة فقط",الإعدادات!$B$3,IF(H806="جرد فقط",الإعدادات!$B$4,0)))</f>
        <v>0</v>
      </c>
    </row>
    <row r="807">
      <c r="A807" s="4" t="n"/>
      <c r="B807" s="5" t="str">
        <f>IF(A807="","",IFERROR(INDEX('جدول الجرد'!$A$2:$A$29,MATCH(A807,'جدول الجرد'!$B$2:$B$29,0)),""))</f>
        <v/>
      </c>
      <c r="C807" s="5" t="str">
        <f>IF(A807="","",IFERROR(INDEX('جدول الجرد'!$E$2:$E$29,MATCH(A807,'جدول الجرد'!$B$2:$B$29,0)),""))</f>
        <v/>
      </c>
      <c r="D807" s="4" t="n"/>
      <c r="E807" s="4" t="n"/>
      <c r="F807" s="4" t="n"/>
      <c r="G807" s="4" t="n"/>
      <c r="H807" s="5" t="str">
        <f>IF(E807="","",IF(AND(F807="نعم",G807="نعم"),"جرد + مراجعة",IF(F807="نعم","جرد فقط",IF(G807="نعم","مراجعة فقط",""))))</f>
        <v/>
      </c>
      <c r="I807" s="9">
        <f>IF(H807="جرد + مراجعة",الإعدادات!$B$2,IF(H807="مراجعة فقط",الإعدادات!$B$3,IF(H807="جرد فقط",الإعدادات!$B$4,0)))</f>
        <v>0</v>
      </c>
    </row>
    <row r="808">
      <c r="A808" s="4" t="n"/>
      <c r="B808" s="5" t="str">
        <f>IF(A808="","",IFERROR(INDEX('جدول الجرد'!$A$2:$A$29,MATCH(A808,'جدول الجرد'!$B$2:$B$29,0)),""))</f>
        <v/>
      </c>
      <c r="C808" s="5" t="str">
        <f>IF(A808="","",IFERROR(INDEX('جدول الجرد'!$E$2:$E$29,MATCH(A808,'جدول الجرد'!$B$2:$B$29,0)),""))</f>
        <v/>
      </c>
      <c r="D808" s="4" t="n"/>
      <c r="E808" s="4" t="n"/>
      <c r="F808" s="4" t="n"/>
      <c r="G808" s="4" t="n"/>
      <c r="H808" s="5" t="str">
        <f>IF(E808="","",IF(AND(F808="نعم",G808="نعم"),"جرد + مراجعة",IF(F808="نعم","جرد فقط",IF(G808="نعم","مراجعة فقط",""))))</f>
        <v/>
      </c>
      <c r="I808" s="9">
        <f>IF(H808="جرد + مراجعة",الإعدادات!$B$2,IF(H808="مراجعة فقط",الإعدادات!$B$3,IF(H808="جرد فقط",الإعدادات!$B$4,0)))</f>
        <v>0</v>
      </c>
    </row>
    <row r="809">
      <c r="A809" s="4" t="n"/>
      <c r="B809" s="5" t="str">
        <f>IF(A809="","",IFERROR(INDEX('جدول الجرد'!$A$2:$A$29,MATCH(A809,'جدول الجرد'!$B$2:$B$29,0)),""))</f>
        <v/>
      </c>
      <c r="C809" s="5" t="str">
        <f>IF(A809="","",IFERROR(INDEX('جدول الجرد'!$E$2:$E$29,MATCH(A809,'جدول الجرد'!$B$2:$B$29,0)),""))</f>
        <v/>
      </c>
      <c r="D809" s="4" t="n"/>
      <c r="E809" s="4" t="n"/>
      <c r="F809" s="4" t="n"/>
      <c r="G809" s="4" t="n"/>
      <c r="H809" s="5" t="str">
        <f>IF(E809="","",IF(AND(F809="نعم",G809="نعم"),"جرد + مراجعة",IF(F809="نعم","جرد فقط",IF(G809="نعم","مراجعة فقط",""))))</f>
        <v/>
      </c>
      <c r="I809" s="9">
        <f>IF(H809="جرد + مراجعة",الإعدادات!$B$2,IF(H809="مراجعة فقط",الإعدادات!$B$3,IF(H809="جرد فقط",الإعدادات!$B$4,0)))</f>
        <v>0</v>
      </c>
    </row>
    <row r="810">
      <c r="A810" s="4" t="n"/>
      <c r="B810" s="5" t="str">
        <f>IF(A810="","",IFERROR(INDEX('جدول الجرد'!$A$2:$A$29,MATCH(A810,'جدول الجرد'!$B$2:$B$29,0)),""))</f>
        <v/>
      </c>
      <c r="C810" s="5" t="str">
        <f>IF(A810="","",IFERROR(INDEX('جدول الجرد'!$E$2:$E$29,MATCH(A810,'جدول الجرد'!$B$2:$B$29,0)),""))</f>
        <v/>
      </c>
      <c r="D810" s="4" t="n"/>
      <c r="E810" s="4" t="n"/>
      <c r="F810" s="4" t="n"/>
      <c r="G810" s="4" t="n"/>
      <c r="H810" s="5" t="str">
        <f>IF(E810="","",IF(AND(F810="نعم",G810="نعم"),"جرد + مراجعة",IF(F810="نعم","جرد فقط",IF(G810="نعم","مراجعة فقط",""))))</f>
        <v/>
      </c>
      <c r="I810" s="9">
        <f>IF(H810="جرد + مراجعة",الإعدادات!$B$2,IF(H810="مراجعة فقط",الإعدادات!$B$3,IF(H810="جرد فقط",الإعدادات!$B$4,0)))</f>
        <v>0</v>
      </c>
    </row>
    <row r="811">
      <c r="A811" s="4" t="n"/>
      <c r="B811" s="5" t="str">
        <f>IF(A811="","",IFERROR(INDEX('جدول الجرد'!$A$2:$A$29,MATCH(A811,'جدول الجرد'!$B$2:$B$29,0)),""))</f>
        <v/>
      </c>
      <c r="C811" s="5" t="str">
        <f>IF(A811="","",IFERROR(INDEX('جدول الجرد'!$E$2:$E$29,MATCH(A811,'جدول الجرد'!$B$2:$B$29,0)),""))</f>
        <v/>
      </c>
      <c r="D811" s="4" t="n"/>
      <c r="E811" s="4" t="n"/>
      <c r="F811" s="4" t="n"/>
      <c r="G811" s="4" t="n"/>
      <c r="H811" s="5" t="str">
        <f>IF(E811="","",IF(AND(F811="نعم",G811="نعم"),"جرد + مراجعة",IF(F811="نعم","جرد فقط",IF(G811="نعم","مراجعة فقط",""))))</f>
        <v/>
      </c>
      <c r="I811" s="9">
        <f>IF(H811="جرد + مراجعة",الإعدادات!$B$2,IF(H811="مراجعة فقط",الإعدادات!$B$3,IF(H811="جرد فقط",الإعدادات!$B$4,0)))</f>
        <v>0</v>
      </c>
    </row>
    <row r="812">
      <c r="A812" s="4" t="n"/>
      <c r="B812" s="5" t="str">
        <f>IF(A812="","",IFERROR(INDEX('جدول الجرد'!$A$2:$A$29,MATCH(A812,'جدول الجرد'!$B$2:$B$29,0)),""))</f>
        <v/>
      </c>
      <c r="C812" s="5" t="str">
        <f>IF(A812="","",IFERROR(INDEX('جدول الجرد'!$E$2:$E$29,MATCH(A812,'جدول الجرد'!$B$2:$B$29,0)),""))</f>
        <v/>
      </c>
      <c r="D812" s="4" t="n"/>
      <c r="E812" s="4" t="n"/>
      <c r="F812" s="4" t="n"/>
      <c r="G812" s="4" t="n"/>
      <c r="H812" s="5" t="str">
        <f>IF(E812="","",IF(AND(F812="نعم",G812="نعم"),"جرد + مراجعة",IF(F812="نعم","جرد فقط",IF(G812="نعم","مراجعة فقط",""))))</f>
        <v/>
      </c>
      <c r="I812" s="9">
        <f>IF(H812="جرد + مراجعة",الإعدادات!$B$2,IF(H812="مراجعة فقط",الإعدادات!$B$3,IF(H812="جرد فقط",الإعدادات!$B$4,0)))</f>
        <v>0</v>
      </c>
    </row>
    <row r="813">
      <c r="A813" s="4" t="n"/>
      <c r="B813" s="5" t="str">
        <f>IF(A813="","",IFERROR(INDEX('جدول الجرد'!$A$2:$A$29,MATCH(A813,'جدول الجرد'!$B$2:$B$29,0)),""))</f>
        <v/>
      </c>
      <c r="C813" s="5" t="str">
        <f>IF(A813="","",IFERROR(INDEX('جدول الجرد'!$E$2:$E$29,MATCH(A813,'جدول الجرد'!$B$2:$B$29,0)),""))</f>
        <v/>
      </c>
      <c r="D813" s="4" t="n"/>
      <c r="E813" s="4" t="n"/>
      <c r="F813" s="4" t="n"/>
      <c r="G813" s="4" t="n"/>
      <c r="H813" s="5" t="str">
        <f>IF(E813="","",IF(AND(F813="نعم",G813="نعم"),"جرد + مراجعة",IF(F813="نعم","جرد فقط",IF(G813="نعم","مراجعة فقط",""))))</f>
        <v/>
      </c>
      <c r="I813" s="9">
        <f>IF(H813="جرد + مراجعة",الإعدادات!$B$2,IF(H813="مراجعة فقط",الإعدادات!$B$3,IF(H813="جرد فقط",الإعدادات!$B$4,0)))</f>
        <v>0</v>
      </c>
    </row>
    <row r="814">
      <c r="A814" s="4" t="n"/>
      <c r="B814" s="5" t="str">
        <f>IF(A814="","",IFERROR(INDEX('جدول الجرد'!$A$2:$A$29,MATCH(A814,'جدول الجرد'!$B$2:$B$29,0)),""))</f>
        <v/>
      </c>
      <c r="C814" s="5" t="str">
        <f>IF(A814="","",IFERROR(INDEX('جدول الجرد'!$E$2:$E$29,MATCH(A814,'جدول الجرد'!$B$2:$B$29,0)),""))</f>
        <v/>
      </c>
      <c r="D814" s="4" t="n"/>
      <c r="E814" s="4" t="n"/>
      <c r="F814" s="4" t="n"/>
      <c r="G814" s="4" t="n"/>
      <c r="H814" s="5" t="str">
        <f>IF(E814="","",IF(AND(F814="نعم",G814="نعم"),"جرد + مراجعة",IF(F814="نعم","جرد فقط",IF(G814="نعم","مراجعة فقط",""))))</f>
        <v/>
      </c>
      <c r="I814" s="9">
        <f>IF(H814="جرد + مراجعة",الإعدادات!$B$2,IF(H814="مراجعة فقط",الإعدادات!$B$3,IF(H814="جرد فقط",الإعدادات!$B$4,0)))</f>
        <v>0</v>
      </c>
    </row>
    <row r="815">
      <c r="A815" s="4" t="n"/>
      <c r="B815" s="5" t="str">
        <f>IF(A815="","",IFERROR(INDEX('جدول الجرد'!$A$2:$A$29,MATCH(A815,'جدول الجرد'!$B$2:$B$29,0)),""))</f>
        <v/>
      </c>
      <c r="C815" s="5" t="str">
        <f>IF(A815="","",IFERROR(INDEX('جدول الجرد'!$E$2:$E$29,MATCH(A815,'جدول الجرد'!$B$2:$B$29,0)),""))</f>
        <v/>
      </c>
      <c r="D815" s="4" t="n"/>
      <c r="E815" s="4" t="n"/>
      <c r="F815" s="4" t="n"/>
      <c r="G815" s="4" t="n"/>
      <c r="H815" s="5" t="str">
        <f>IF(E815="","",IF(AND(F815="نعم",G815="نعم"),"جرد + مراجعة",IF(F815="نعم","جرد فقط",IF(G815="نعم","مراجعة فقط",""))))</f>
        <v/>
      </c>
      <c r="I815" s="9">
        <f>IF(H815="جرد + مراجعة",الإعدادات!$B$2,IF(H815="مراجعة فقط",الإعدادات!$B$3,IF(H815="جرد فقط",الإعدادات!$B$4,0)))</f>
        <v>0</v>
      </c>
    </row>
    <row r="816">
      <c r="A816" s="4" t="n"/>
      <c r="B816" s="5" t="str">
        <f>IF(A816="","",IFERROR(INDEX('جدول الجرد'!$A$2:$A$29,MATCH(A816,'جدول الجرد'!$B$2:$B$29,0)),""))</f>
        <v/>
      </c>
      <c r="C816" s="5" t="str">
        <f>IF(A816="","",IFERROR(INDEX('جدول الجرد'!$E$2:$E$29,MATCH(A816,'جدول الجرد'!$B$2:$B$29,0)),""))</f>
        <v/>
      </c>
      <c r="D816" s="4" t="n"/>
      <c r="E816" s="4" t="n"/>
      <c r="F816" s="4" t="n"/>
      <c r="G816" s="4" t="n"/>
      <c r="H816" s="5" t="str">
        <f>IF(E816="","",IF(AND(F816="نعم",G816="نعم"),"جرد + مراجعة",IF(F816="نعم","جرد فقط",IF(G816="نعم","مراجعة فقط",""))))</f>
        <v/>
      </c>
      <c r="I816" s="9">
        <f>IF(H816="جرد + مراجعة",الإعدادات!$B$2,IF(H816="مراجعة فقط",الإعدادات!$B$3,IF(H816="جرد فقط",الإعدادات!$B$4,0)))</f>
        <v>0</v>
      </c>
    </row>
    <row r="817">
      <c r="A817" s="4" t="n"/>
      <c r="B817" s="5" t="str">
        <f>IF(A817="","",IFERROR(INDEX('جدول الجرد'!$A$2:$A$29,MATCH(A817,'جدول الجرد'!$B$2:$B$29,0)),""))</f>
        <v/>
      </c>
      <c r="C817" s="5" t="str">
        <f>IF(A817="","",IFERROR(INDEX('جدول الجرد'!$E$2:$E$29,MATCH(A817,'جدول الجرد'!$B$2:$B$29,0)),""))</f>
        <v/>
      </c>
      <c r="D817" s="4" t="n"/>
      <c r="E817" s="4" t="n"/>
      <c r="F817" s="4" t="n"/>
      <c r="G817" s="4" t="n"/>
      <c r="H817" s="5" t="str">
        <f>IF(E817="","",IF(AND(F817="نعم",G817="نعم"),"جرد + مراجعة",IF(F817="نعم","جرد فقط",IF(G817="نعم","مراجعة فقط",""))))</f>
        <v/>
      </c>
      <c r="I817" s="9">
        <f>IF(H817="جرد + مراجعة",الإعدادات!$B$2,IF(H817="مراجعة فقط",الإعدادات!$B$3,IF(H817="جرد فقط",الإعدادات!$B$4,0)))</f>
        <v>0</v>
      </c>
    </row>
    <row r="818">
      <c r="A818" s="4" t="n"/>
      <c r="B818" s="5" t="str">
        <f>IF(A818="","",IFERROR(INDEX('جدول الجرد'!$A$2:$A$29,MATCH(A818,'جدول الجرد'!$B$2:$B$29,0)),""))</f>
        <v/>
      </c>
      <c r="C818" s="5" t="str">
        <f>IF(A818="","",IFERROR(INDEX('جدول الجرد'!$E$2:$E$29,MATCH(A818,'جدول الجرد'!$B$2:$B$29,0)),""))</f>
        <v/>
      </c>
      <c r="D818" s="4" t="n"/>
      <c r="E818" s="4" t="n"/>
      <c r="F818" s="4" t="n"/>
      <c r="G818" s="4" t="n"/>
      <c r="H818" s="5" t="str">
        <f>IF(E818="","",IF(AND(F818="نعم",G818="نعم"),"جرد + مراجعة",IF(F818="نعم","جرد فقط",IF(G818="نعم","مراجعة فقط",""))))</f>
        <v/>
      </c>
      <c r="I818" s="9">
        <f>IF(H818="جرد + مراجعة",الإعدادات!$B$2,IF(H818="مراجعة فقط",الإعدادات!$B$3,IF(H818="جرد فقط",الإعدادات!$B$4,0)))</f>
        <v>0</v>
      </c>
    </row>
    <row r="819">
      <c r="A819" s="4" t="n"/>
      <c r="B819" s="5" t="str">
        <f>IF(A819="","",IFERROR(INDEX('جدول الجرد'!$A$2:$A$29,MATCH(A819,'جدول الجرد'!$B$2:$B$29,0)),""))</f>
        <v/>
      </c>
      <c r="C819" s="5" t="str">
        <f>IF(A819="","",IFERROR(INDEX('جدول الجرد'!$E$2:$E$29,MATCH(A819,'جدول الجرد'!$B$2:$B$29,0)),""))</f>
        <v/>
      </c>
      <c r="D819" s="4" t="n"/>
      <c r="E819" s="4" t="n"/>
      <c r="F819" s="4" t="n"/>
      <c r="G819" s="4" t="n"/>
      <c r="H819" s="5" t="str">
        <f>IF(E819="","",IF(AND(F819="نعم",G819="نعم"),"جرد + مراجعة",IF(F819="نعم","جرد فقط",IF(G819="نعم","مراجعة فقط",""))))</f>
        <v/>
      </c>
      <c r="I819" s="9">
        <f>IF(H819="جرد + مراجعة",الإعدادات!$B$2,IF(H819="مراجعة فقط",الإعدادات!$B$3,IF(H819="جرد فقط",الإعدادات!$B$4,0)))</f>
        <v>0</v>
      </c>
    </row>
    <row r="820">
      <c r="A820" s="4" t="n"/>
      <c r="B820" s="5" t="str">
        <f>IF(A820="","",IFERROR(INDEX('جدول الجرد'!$A$2:$A$29,MATCH(A820,'جدول الجرد'!$B$2:$B$29,0)),""))</f>
        <v/>
      </c>
      <c r="C820" s="5" t="str">
        <f>IF(A820="","",IFERROR(INDEX('جدول الجرد'!$E$2:$E$29,MATCH(A820,'جدول الجرد'!$B$2:$B$29,0)),""))</f>
        <v/>
      </c>
      <c r="D820" s="4" t="n"/>
      <c r="E820" s="4" t="n"/>
      <c r="F820" s="4" t="n"/>
      <c r="G820" s="4" t="n"/>
      <c r="H820" s="5" t="str">
        <f>IF(E820="","",IF(AND(F820="نعم",G820="نعم"),"جرد + مراجعة",IF(F820="نعم","جرد فقط",IF(G820="نعم","مراجعة فقط",""))))</f>
        <v/>
      </c>
      <c r="I820" s="9">
        <f>IF(H820="جرد + مراجعة",الإعدادات!$B$2,IF(H820="مراجعة فقط",الإعدادات!$B$3,IF(H820="جرد فقط",الإعدادات!$B$4,0)))</f>
        <v>0</v>
      </c>
    </row>
    <row r="821">
      <c r="A821" s="4" t="n"/>
      <c r="B821" s="5" t="str">
        <f>IF(A821="","",IFERROR(INDEX('جدول الجرد'!$A$2:$A$29,MATCH(A821,'جدول الجرد'!$B$2:$B$29,0)),""))</f>
        <v/>
      </c>
      <c r="C821" s="5" t="str">
        <f>IF(A821="","",IFERROR(INDEX('جدول الجرد'!$E$2:$E$29,MATCH(A821,'جدول الجرد'!$B$2:$B$29,0)),""))</f>
        <v/>
      </c>
      <c r="D821" s="4" t="n"/>
      <c r="E821" s="4" t="n"/>
      <c r="F821" s="4" t="n"/>
      <c r="G821" s="4" t="n"/>
      <c r="H821" s="5" t="str">
        <f>IF(E821="","",IF(AND(F821="نعم",G821="نعم"),"جرد + مراجعة",IF(F821="نعم","جرد فقط",IF(G821="نعم","مراجعة فقط",""))))</f>
        <v/>
      </c>
      <c r="I821" s="9">
        <f>IF(H821="جرد + مراجعة",الإعدادات!$B$2,IF(H821="مراجعة فقط",الإعدادات!$B$3,IF(H821="جرد فقط",الإعدادات!$B$4,0)))</f>
        <v>0</v>
      </c>
    </row>
    <row r="822">
      <c r="A822" s="4" t="n"/>
      <c r="B822" s="5" t="str">
        <f>IF(A822="","",IFERROR(INDEX('جدول الجرد'!$A$2:$A$29,MATCH(A822,'جدول الجرد'!$B$2:$B$29,0)),""))</f>
        <v/>
      </c>
      <c r="C822" s="5" t="str">
        <f>IF(A822="","",IFERROR(INDEX('جدول الجرد'!$E$2:$E$29,MATCH(A822,'جدول الجرد'!$B$2:$B$29,0)),""))</f>
        <v/>
      </c>
      <c r="D822" s="4" t="n"/>
      <c r="E822" s="4" t="n"/>
      <c r="F822" s="4" t="n"/>
      <c r="G822" s="4" t="n"/>
      <c r="H822" s="5" t="str">
        <f>IF(E822="","",IF(AND(F822="نعم",G822="نعم"),"جرد + مراجعة",IF(F822="نعم","جرد فقط",IF(G822="نعم","مراجعة فقط",""))))</f>
        <v/>
      </c>
      <c r="I822" s="9">
        <f>IF(H822="جرد + مراجعة",الإعدادات!$B$2,IF(H822="مراجعة فقط",الإعدادات!$B$3,IF(H822="جرد فقط",الإعدادات!$B$4,0)))</f>
        <v>0</v>
      </c>
    </row>
    <row r="823">
      <c r="A823" s="4" t="n"/>
      <c r="B823" s="5" t="str">
        <f>IF(A823="","",IFERROR(INDEX('جدول الجرد'!$A$2:$A$29,MATCH(A823,'جدول الجرد'!$B$2:$B$29,0)),""))</f>
        <v/>
      </c>
      <c r="C823" s="5" t="str">
        <f>IF(A823="","",IFERROR(INDEX('جدول الجرد'!$E$2:$E$29,MATCH(A823,'جدول الجرد'!$B$2:$B$29,0)),""))</f>
        <v/>
      </c>
      <c r="D823" s="4" t="n"/>
      <c r="E823" s="4" t="n"/>
      <c r="F823" s="4" t="n"/>
      <c r="G823" s="4" t="n"/>
      <c r="H823" s="5" t="str">
        <f>IF(E823="","",IF(AND(F823="نعم",G823="نعم"),"جرد + مراجعة",IF(F823="نعم","جرد فقط",IF(G823="نعم","مراجعة فقط",""))))</f>
        <v/>
      </c>
      <c r="I823" s="9">
        <f>IF(H823="جرد + مراجعة",الإعدادات!$B$2,IF(H823="مراجعة فقط",الإعدادات!$B$3,IF(H823="جرد فقط",الإعدادات!$B$4,0)))</f>
        <v>0</v>
      </c>
    </row>
    <row r="824">
      <c r="A824" s="4" t="n"/>
      <c r="B824" s="5" t="str">
        <f>IF(A824="","",IFERROR(INDEX('جدول الجرد'!$A$2:$A$29,MATCH(A824,'جدول الجرد'!$B$2:$B$29,0)),""))</f>
        <v/>
      </c>
      <c r="C824" s="5" t="str">
        <f>IF(A824="","",IFERROR(INDEX('جدول الجرد'!$E$2:$E$29,MATCH(A824,'جدول الجرد'!$B$2:$B$29,0)),""))</f>
        <v/>
      </c>
      <c r="D824" s="4" t="n"/>
      <c r="E824" s="4" t="n"/>
      <c r="F824" s="4" t="n"/>
      <c r="G824" s="4" t="n"/>
      <c r="H824" s="5" t="str">
        <f>IF(E824="","",IF(AND(F824="نعم",G824="نعم"),"جرد + مراجعة",IF(F824="نعم","جرد فقط",IF(G824="نعم","مراجعة فقط",""))))</f>
        <v/>
      </c>
      <c r="I824" s="9">
        <f>IF(H824="جرد + مراجعة",الإعدادات!$B$2,IF(H824="مراجعة فقط",الإعدادات!$B$3,IF(H824="جرد فقط",الإعدادات!$B$4,0)))</f>
        <v>0</v>
      </c>
    </row>
    <row r="825">
      <c r="A825" s="4" t="n"/>
      <c r="B825" s="5" t="str">
        <f>IF(A825="","",IFERROR(INDEX('جدول الجرد'!$A$2:$A$29,MATCH(A825,'جدول الجرد'!$B$2:$B$29,0)),""))</f>
        <v/>
      </c>
      <c r="C825" s="5" t="str">
        <f>IF(A825="","",IFERROR(INDEX('جدول الجرد'!$E$2:$E$29,MATCH(A825,'جدول الجرد'!$B$2:$B$29,0)),""))</f>
        <v/>
      </c>
      <c r="D825" s="4" t="n"/>
      <c r="E825" s="4" t="n"/>
      <c r="F825" s="4" t="n"/>
      <c r="G825" s="4" t="n"/>
      <c r="H825" s="5" t="str">
        <f>IF(E825="","",IF(AND(F825="نعم",G825="نعم"),"جرد + مراجعة",IF(F825="نعم","جرد فقط",IF(G825="نعم","مراجعة فقط",""))))</f>
        <v/>
      </c>
      <c r="I825" s="9">
        <f>IF(H825="جرد + مراجعة",الإعدادات!$B$2,IF(H825="مراجعة فقط",الإعدادات!$B$3,IF(H825="جرد فقط",الإعدادات!$B$4,0)))</f>
        <v>0</v>
      </c>
    </row>
    <row r="826">
      <c r="A826" s="4" t="n"/>
      <c r="B826" s="5" t="str">
        <f>IF(A826="","",IFERROR(INDEX('جدول الجرد'!$A$2:$A$29,MATCH(A826,'جدول الجرد'!$B$2:$B$29,0)),""))</f>
        <v/>
      </c>
      <c r="C826" s="5" t="str">
        <f>IF(A826="","",IFERROR(INDEX('جدول الجرد'!$E$2:$E$29,MATCH(A826,'جدول الجرد'!$B$2:$B$29,0)),""))</f>
        <v/>
      </c>
      <c r="D826" s="4" t="n"/>
      <c r="E826" s="4" t="n"/>
      <c r="F826" s="4" t="n"/>
      <c r="G826" s="4" t="n"/>
      <c r="H826" s="5" t="str">
        <f>IF(E826="","",IF(AND(F826="نعم",G826="نعم"),"جرد + مراجعة",IF(F826="نعم","جرد فقط",IF(G826="نعم","مراجعة فقط",""))))</f>
        <v/>
      </c>
      <c r="I826" s="9">
        <f>IF(H826="جرد + مراجعة",الإعدادات!$B$2,IF(H826="مراجعة فقط",الإعدادات!$B$3,IF(H826="جرد فقط",الإعدادات!$B$4,0)))</f>
        <v>0</v>
      </c>
    </row>
    <row r="827">
      <c r="A827" s="4" t="n"/>
      <c r="B827" s="5" t="str">
        <f>IF(A827="","",IFERROR(INDEX('جدول الجرد'!$A$2:$A$29,MATCH(A827,'جدول الجرد'!$B$2:$B$29,0)),""))</f>
        <v/>
      </c>
      <c r="C827" s="5" t="str">
        <f>IF(A827="","",IFERROR(INDEX('جدول الجرد'!$E$2:$E$29,MATCH(A827,'جدول الجرد'!$B$2:$B$29,0)),""))</f>
        <v/>
      </c>
      <c r="D827" s="4" t="n"/>
      <c r="E827" s="4" t="n"/>
      <c r="F827" s="4" t="n"/>
      <c r="G827" s="4" t="n"/>
      <c r="H827" s="5" t="str">
        <f>IF(E827="","",IF(AND(F827="نعم",G827="نعم"),"جرد + مراجعة",IF(F827="نعم","جرد فقط",IF(G827="نعم","مراجعة فقط",""))))</f>
        <v/>
      </c>
      <c r="I827" s="9">
        <f>IF(H827="جرد + مراجعة",الإعدادات!$B$2,IF(H827="مراجعة فقط",الإعدادات!$B$3,IF(H827="جرد فقط",الإعدادات!$B$4,0)))</f>
        <v>0</v>
      </c>
    </row>
    <row r="828">
      <c r="A828" s="4" t="n"/>
      <c r="B828" s="5" t="str">
        <f>IF(A828="","",IFERROR(INDEX('جدول الجرد'!$A$2:$A$29,MATCH(A828,'جدول الجرد'!$B$2:$B$29,0)),""))</f>
        <v/>
      </c>
      <c r="C828" s="5" t="str">
        <f>IF(A828="","",IFERROR(INDEX('جدول الجرد'!$E$2:$E$29,MATCH(A828,'جدول الجرد'!$B$2:$B$29,0)),""))</f>
        <v/>
      </c>
      <c r="D828" s="4" t="n"/>
      <c r="E828" s="4" t="n"/>
      <c r="F828" s="4" t="n"/>
      <c r="G828" s="4" t="n"/>
      <c r="H828" s="5" t="str">
        <f>IF(E828="","",IF(AND(F828="نعم",G828="نعم"),"جرد + مراجعة",IF(F828="نعم","جرد فقط",IF(G828="نعم","مراجعة فقط",""))))</f>
        <v/>
      </c>
      <c r="I828" s="9">
        <f>IF(H828="جرد + مراجعة",الإعدادات!$B$2,IF(H828="مراجعة فقط",الإعدادات!$B$3,IF(H828="جرد فقط",الإعدادات!$B$4,0)))</f>
        <v>0</v>
      </c>
    </row>
    <row r="829">
      <c r="A829" s="4" t="n"/>
      <c r="B829" s="5" t="str">
        <f>IF(A829="","",IFERROR(INDEX('جدول الجرد'!$A$2:$A$29,MATCH(A829,'جدول الجرد'!$B$2:$B$29,0)),""))</f>
        <v/>
      </c>
      <c r="C829" s="5" t="str">
        <f>IF(A829="","",IFERROR(INDEX('جدول الجرد'!$E$2:$E$29,MATCH(A829,'جدول الجرد'!$B$2:$B$29,0)),""))</f>
        <v/>
      </c>
      <c r="D829" s="4" t="n"/>
      <c r="E829" s="4" t="n"/>
      <c r="F829" s="4" t="n"/>
      <c r="G829" s="4" t="n"/>
      <c r="H829" s="5" t="str">
        <f>IF(E829="","",IF(AND(F829="نعم",G829="نعم"),"جرد + مراجعة",IF(F829="نعم","جرد فقط",IF(G829="نعم","مراجعة فقط",""))))</f>
        <v/>
      </c>
      <c r="I829" s="9">
        <f>IF(H829="جرد + مراجعة",الإعدادات!$B$2,IF(H829="مراجعة فقط",الإعدادات!$B$3,IF(H829="جرد فقط",الإعدادات!$B$4,0)))</f>
        <v>0</v>
      </c>
    </row>
    <row r="830">
      <c r="A830" s="4" t="n"/>
      <c r="B830" s="5" t="str">
        <f>IF(A830="","",IFERROR(INDEX('جدول الجرد'!$A$2:$A$29,MATCH(A830,'جدول الجرد'!$B$2:$B$29,0)),""))</f>
        <v/>
      </c>
      <c r="C830" s="5" t="str">
        <f>IF(A830="","",IFERROR(INDEX('جدول الجرد'!$E$2:$E$29,MATCH(A830,'جدول الجرد'!$B$2:$B$29,0)),""))</f>
        <v/>
      </c>
      <c r="D830" s="4" t="n"/>
      <c r="E830" s="4" t="n"/>
      <c r="F830" s="4" t="n"/>
      <c r="G830" s="4" t="n"/>
      <c r="H830" s="5" t="str">
        <f>IF(E830="","",IF(AND(F830="نعم",G830="نعم"),"جرد + مراجعة",IF(F830="نعم","جرد فقط",IF(G830="نعم","مراجعة فقط",""))))</f>
        <v/>
      </c>
      <c r="I830" s="9">
        <f>IF(H830="جرد + مراجعة",الإعدادات!$B$2,IF(H830="مراجعة فقط",الإعدادات!$B$3,IF(H830="جرد فقط",الإعدادات!$B$4,0)))</f>
        <v>0</v>
      </c>
    </row>
    <row r="831">
      <c r="A831" s="4" t="n"/>
      <c r="B831" s="5" t="str">
        <f>IF(A831="","",IFERROR(INDEX('جدول الجرد'!$A$2:$A$29,MATCH(A831,'جدول الجرد'!$B$2:$B$29,0)),""))</f>
        <v/>
      </c>
      <c r="C831" s="5" t="str">
        <f>IF(A831="","",IFERROR(INDEX('جدول الجرد'!$E$2:$E$29,MATCH(A831,'جدول الجرد'!$B$2:$B$29,0)),""))</f>
        <v/>
      </c>
      <c r="D831" s="4" t="n"/>
      <c r="E831" s="4" t="n"/>
      <c r="F831" s="4" t="n"/>
      <c r="G831" s="4" t="n"/>
      <c r="H831" s="5" t="str">
        <f>IF(E831="","",IF(AND(F831="نعم",G831="نعم"),"جرد + مراجعة",IF(F831="نعم","جرد فقط",IF(G831="نعم","مراجعة فقط",""))))</f>
        <v/>
      </c>
      <c r="I831" s="9">
        <f>IF(H831="جرد + مراجعة",الإعدادات!$B$2,IF(H831="مراجعة فقط",الإعدادات!$B$3,IF(H831="جرد فقط",الإعدادات!$B$4,0)))</f>
        <v>0</v>
      </c>
    </row>
    <row r="832">
      <c r="A832" s="4" t="n"/>
      <c r="B832" s="5" t="str">
        <f>IF(A832="","",IFERROR(INDEX('جدول الجرد'!$A$2:$A$29,MATCH(A832,'جدول الجرد'!$B$2:$B$29,0)),""))</f>
        <v/>
      </c>
      <c r="C832" s="5" t="str">
        <f>IF(A832="","",IFERROR(INDEX('جدول الجرد'!$E$2:$E$29,MATCH(A832,'جدول الجرد'!$B$2:$B$29,0)),""))</f>
        <v/>
      </c>
      <c r="D832" s="4" t="n"/>
      <c r="E832" s="4" t="n"/>
      <c r="F832" s="4" t="n"/>
      <c r="G832" s="4" t="n"/>
      <c r="H832" s="5" t="str">
        <f>IF(E832="","",IF(AND(F832="نعم",G832="نعم"),"جرد + مراجعة",IF(F832="نعم","جرد فقط",IF(G832="نعم","مراجعة فقط",""))))</f>
        <v/>
      </c>
      <c r="I832" s="9">
        <f>IF(H832="جرد + مراجعة",الإعدادات!$B$2,IF(H832="مراجعة فقط",الإعدادات!$B$3,IF(H832="جرد فقط",الإعدادات!$B$4,0)))</f>
        <v>0</v>
      </c>
    </row>
    <row r="833">
      <c r="A833" s="4" t="n"/>
      <c r="B833" s="5" t="str">
        <f>IF(A833="","",IFERROR(INDEX('جدول الجرد'!$A$2:$A$29,MATCH(A833,'جدول الجرد'!$B$2:$B$29,0)),""))</f>
        <v/>
      </c>
      <c r="C833" s="5" t="str">
        <f>IF(A833="","",IFERROR(INDEX('جدول الجرد'!$E$2:$E$29,MATCH(A833,'جدول الجرد'!$B$2:$B$29,0)),""))</f>
        <v/>
      </c>
      <c r="D833" s="4" t="n"/>
      <c r="E833" s="4" t="n"/>
      <c r="F833" s="4" t="n"/>
      <c r="G833" s="4" t="n"/>
      <c r="H833" s="5" t="str">
        <f>IF(E833="","",IF(AND(F833="نعم",G833="نعم"),"جرد + مراجعة",IF(F833="نعم","جرد فقط",IF(G833="نعم","مراجعة فقط",""))))</f>
        <v/>
      </c>
      <c r="I833" s="9">
        <f>IF(H833="جرد + مراجعة",الإعدادات!$B$2,IF(H833="مراجعة فقط",الإعدادات!$B$3,IF(H833="جرد فقط",الإعدادات!$B$4,0)))</f>
        <v>0</v>
      </c>
    </row>
    <row r="834">
      <c r="A834" s="4" t="n"/>
      <c r="B834" s="5" t="str">
        <f>IF(A834="","",IFERROR(INDEX('جدول الجرد'!$A$2:$A$29,MATCH(A834,'جدول الجرد'!$B$2:$B$29,0)),""))</f>
        <v/>
      </c>
      <c r="C834" s="5" t="str">
        <f>IF(A834="","",IFERROR(INDEX('جدول الجرد'!$E$2:$E$29,MATCH(A834,'جدول الجرد'!$B$2:$B$29,0)),""))</f>
        <v/>
      </c>
      <c r="D834" s="4" t="n"/>
      <c r="E834" s="4" t="n"/>
      <c r="F834" s="4" t="n"/>
      <c r="G834" s="4" t="n"/>
      <c r="H834" s="5" t="str">
        <f>IF(E834="","",IF(AND(F834="نعم",G834="نعم"),"جرد + مراجعة",IF(F834="نعم","جرد فقط",IF(G834="نعم","مراجعة فقط",""))))</f>
        <v/>
      </c>
      <c r="I834" s="9">
        <f>IF(H834="جرد + مراجعة",الإعدادات!$B$2,IF(H834="مراجعة فقط",الإعدادات!$B$3,IF(H834="جرد فقط",الإعدادات!$B$4,0)))</f>
        <v>0</v>
      </c>
    </row>
    <row r="835">
      <c r="A835" s="4" t="n"/>
      <c r="B835" s="5" t="str">
        <f>IF(A835="","",IFERROR(INDEX('جدول الجرد'!$A$2:$A$29,MATCH(A835,'جدول الجرد'!$B$2:$B$29,0)),""))</f>
        <v/>
      </c>
      <c r="C835" s="5" t="str">
        <f>IF(A835="","",IFERROR(INDEX('جدول الجرد'!$E$2:$E$29,MATCH(A835,'جدول الجرد'!$B$2:$B$29,0)),""))</f>
        <v/>
      </c>
      <c r="D835" s="4" t="n"/>
      <c r="E835" s="4" t="n"/>
      <c r="F835" s="4" t="n"/>
      <c r="G835" s="4" t="n"/>
      <c r="H835" s="5" t="str">
        <f>IF(E835="","",IF(AND(F835="نعم",G835="نعم"),"جرد + مراجعة",IF(F835="نعم","جرد فقط",IF(G835="نعم","مراجعة فقط",""))))</f>
        <v/>
      </c>
      <c r="I835" s="9">
        <f>IF(H835="جرد + مراجعة",الإعدادات!$B$2,IF(H835="مراجعة فقط",الإعدادات!$B$3,IF(H835="جرد فقط",الإعدادات!$B$4,0)))</f>
        <v>0</v>
      </c>
    </row>
    <row r="836">
      <c r="A836" s="4" t="n"/>
      <c r="B836" s="5" t="str">
        <f>IF(A836="","",IFERROR(INDEX('جدول الجرد'!$A$2:$A$29,MATCH(A836,'جدول الجرد'!$B$2:$B$29,0)),""))</f>
        <v/>
      </c>
      <c r="C836" s="5" t="str">
        <f>IF(A836="","",IFERROR(INDEX('جدول الجرد'!$E$2:$E$29,MATCH(A836,'جدول الجرد'!$B$2:$B$29,0)),""))</f>
        <v/>
      </c>
      <c r="D836" s="4" t="n"/>
      <c r="E836" s="4" t="n"/>
      <c r="F836" s="4" t="n"/>
      <c r="G836" s="4" t="n"/>
      <c r="H836" s="5" t="str">
        <f>IF(E836="","",IF(AND(F836="نعم",G836="نعم"),"جرد + مراجعة",IF(F836="نعم","جرد فقط",IF(G836="نعم","مراجعة فقط",""))))</f>
        <v/>
      </c>
      <c r="I836" s="9">
        <f>IF(H836="جرد + مراجعة",الإعدادات!$B$2,IF(H836="مراجعة فقط",الإعدادات!$B$3,IF(H836="جرد فقط",الإعدادات!$B$4,0)))</f>
        <v>0</v>
      </c>
    </row>
    <row r="837">
      <c r="A837" s="4" t="n"/>
      <c r="B837" s="5" t="str">
        <f>IF(A837="","",IFERROR(INDEX('جدول الجرد'!$A$2:$A$29,MATCH(A837,'جدول الجرد'!$B$2:$B$29,0)),""))</f>
        <v/>
      </c>
      <c r="C837" s="5" t="str">
        <f>IF(A837="","",IFERROR(INDEX('جدول الجرد'!$E$2:$E$29,MATCH(A837,'جدول الجرد'!$B$2:$B$29,0)),""))</f>
        <v/>
      </c>
      <c r="D837" s="4" t="n"/>
      <c r="E837" s="4" t="n"/>
      <c r="F837" s="4" t="n"/>
      <c r="G837" s="4" t="n"/>
      <c r="H837" s="5" t="str">
        <f>IF(E837="","",IF(AND(F837="نعم",G837="نعم"),"جرد + مراجعة",IF(F837="نعم","جرد فقط",IF(G837="نعم","مراجعة فقط",""))))</f>
        <v/>
      </c>
      <c r="I837" s="9">
        <f>IF(H837="جرد + مراجعة",الإعدادات!$B$2,IF(H837="مراجعة فقط",الإعدادات!$B$3,IF(H837="جرد فقط",الإعدادات!$B$4,0)))</f>
        <v>0</v>
      </c>
    </row>
    <row r="838">
      <c r="A838" s="4" t="n"/>
      <c r="B838" s="5" t="str">
        <f>IF(A838="","",IFERROR(INDEX('جدول الجرد'!$A$2:$A$29,MATCH(A838,'جدول الجرد'!$B$2:$B$29,0)),""))</f>
        <v/>
      </c>
      <c r="C838" s="5" t="str">
        <f>IF(A838="","",IFERROR(INDEX('جدول الجرد'!$E$2:$E$29,MATCH(A838,'جدول الجرد'!$B$2:$B$29,0)),""))</f>
        <v/>
      </c>
      <c r="D838" s="4" t="n"/>
      <c r="E838" s="4" t="n"/>
      <c r="F838" s="4" t="n"/>
      <c r="G838" s="4" t="n"/>
      <c r="H838" s="5" t="str">
        <f>IF(E838="","",IF(AND(F838="نعم",G838="نعم"),"جرد + مراجعة",IF(F838="نعم","جرد فقط",IF(G838="نعم","مراجعة فقط",""))))</f>
        <v/>
      </c>
      <c r="I838" s="9">
        <f>IF(H838="جرد + مراجعة",الإعدادات!$B$2,IF(H838="مراجعة فقط",الإعدادات!$B$3,IF(H838="جرد فقط",الإعدادات!$B$4,0)))</f>
        <v>0</v>
      </c>
    </row>
    <row r="839">
      <c r="A839" s="4" t="n"/>
      <c r="B839" s="5" t="str">
        <f>IF(A839="","",IFERROR(INDEX('جدول الجرد'!$A$2:$A$29,MATCH(A839,'جدول الجرد'!$B$2:$B$29,0)),""))</f>
        <v/>
      </c>
      <c r="C839" s="5" t="str">
        <f>IF(A839="","",IFERROR(INDEX('جدول الجرد'!$E$2:$E$29,MATCH(A839,'جدول الجرد'!$B$2:$B$29,0)),""))</f>
        <v/>
      </c>
      <c r="D839" s="4" t="n"/>
      <c r="E839" s="4" t="n"/>
      <c r="F839" s="4" t="n"/>
      <c r="G839" s="4" t="n"/>
      <c r="H839" s="5" t="str">
        <f>IF(E839="","",IF(AND(F839="نعم",G839="نعم"),"جرد + مراجعة",IF(F839="نعم","جرد فقط",IF(G839="نعم","مراجعة فقط",""))))</f>
        <v/>
      </c>
      <c r="I839" s="9">
        <f>IF(H839="جرد + مراجعة",الإعدادات!$B$2,IF(H839="مراجعة فقط",الإعدادات!$B$3,IF(H839="جرد فقط",الإعدادات!$B$4,0)))</f>
        <v>0</v>
      </c>
    </row>
    <row r="840">
      <c r="A840" s="4" t="n"/>
      <c r="B840" s="5" t="str">
        <f>IF(A840="","",IFERROR(INDEX('جدول الجرد'!$A$2:$A$29,MATCH(A840,'جدول الجرد'!$B$2:$B$29,0)),""))</f>
        <v/>
      </c>
      <c r="C840" s="5" t="str">
        <f>IF(A840="","",IFERROR(INDEX('جدول الجرد'!$E$2:$E$29,MATCH(A840,'جدول الجرد'!$B$2:$B$29,0)),""))</f>
        <v/>
      </c>
      <c r="D840" s="4" t="n"/>
      <c r="E840" s="4" t="n"/>
      <c r="F840" s="4" t="n"/>
      <c r="G840" s="4" t="n"/>
      <c r="H840" s="5" t="str">
        <f>IF(E840="","",IF(AND(F840="نعم",G840="نعم"),"جرد + مراجعة",IF(F840="نعم","جرد فقط",IF(G840="نعم","مراجعة فقط",""))))</f>
        <v/>
      </c>
      <c r="I840" s="9">
        <f>IF(H840="جرد + مراجعة",الإعدادات!$B$2,IF(H840="مراجعة فقط",الإعدادات!$B$3,IF(H840="جرد فقط",الإعدادات!$B$4,0)))</f>
        <v>0</v>
      </c>
    </row>
    <row r="841">
      <c r="A841" s="4" t="n"/>
      <c r="B841" s="5" t="str">
        <f>IF(A841="","",IFERROR(INDEX('جدول الجرد'!$A$2:$A$29,MATCH(A841,'جدول الجرد'!$B$2:$B$29,0)),""))</f>
        <v/>
      </c>
      <c r="C841" s="5" t="str">
        <f>IF(A841="","",IFERROR(INDEX('جدول الجرد'!$E$2:$E$29,MATCH(A841,'جدول الجرد'!$B$2:$B$29,0)),""))</f>
        <v/>
      </c>
      <c r="D841" s="4" t="n"/>
      <c r="E841" s="4" t="n"/>
      <c r="F841" s="4" t="n"/>
      <c r="G841" s="4" t="n"/>
      <c r="H841" s="5" t="str">
        <f>IF(E841="","",IF(AND(F841="نعم",G841="نعم"),"جرد + مراجعة",IF(F841="نعم","جرد فقط",IF(G841="نعم","مراجعة فقط",""))))</f>
        <v/>
      </c>
      <c r="I841" s="9">
        <f>IF(H841="جرد + مراجعة",الإعدادات!$B$2,IF(H841="مراجعة فقط",الإعدادات!$B$3,IF(H841="جرد فقط",الإعدادات!$B$4,0)))</f>
        <v>0</v>
      </c>
    </row>
    <row r="842">
      <c r="A842" s="4" t="n"/>
      <c r="B842" s="5" t="str">
        <f>IF(A842="","",IFERROR(INDEX('جدول الجرد'!$A$2:$A$29,MATCH(A842,'جدول الجرد'!$B$2:$B$29,0)),""))</f>
        <v/>
      </c>
      <c r="C842" s="5" t="str">
        <f>IF(A842="","",IFERROR(INDEX('جدول الجرد'!$E$2:$E$29,MATCH(A842,'جدول الجرد'!$B$2:$B$29,0)),""))</f>
        <v/>
      </c>
      <c r="D842" s="4" t="n"/>
      <c r="E842" s="4" t="n"/>
      <c r="F842" s="4" t="n"/>
      <c r="G842" s="4" t="n"/>
      <c r="H842" s="5" t="str">
        <f>IF(E842="","",IF(AND(F842="نعم",G842="نعم"),"جرد + مراجعة",IF(F842="نعم","جرد فقط",IF(G842="نعم","مراجعة فقط",""))))</f>
        <v/>
      </c>
      <c r="I842" s="9">
        <f>IF(H842="جرد + مراجعة",الإعدادات!$B$2,IF(H842="مراجعة فقط",الإعدادات!$B$3,IF(H842="جرد فقط",الإعدادات!$B$4,0)))</f>
        <v>0</v>
      </c>
    </row>
    <row r="843">
      <c r="A843" s="4" t="n"/>
      <c r="B843" s="5" t="str">
        <f>IF(A843="","",IFERROR(INDEX('جدول الجرد'!$A$2:$A$29,MATCH(A843,'جدول الجرد'!$B$2:$B$29,0)),""))</f>
        <v/>
      </c>
      <c r="C843" s="5" t="str">
        <f>IF(A843="","",IFERROR(INDEX('جدول الجرد'!$E$2:$E$29,MATCH(A843,'جدول الجرد'!$B$2:$B$29,0)),""))</f>
        <v/>
      </c>
      <c r="D843" s="4" t="n"/>
      <c r="E843" s="4" t="n"/>
      <c r="F843" s="4" t="n"/>
      <c r="G843" s="4" t="n"/>
      <c r="H843" s="5" t="str">
        <f>IF(E843="","",IF(AND(F843="نعم",G843="نعم"),"جرد + مراجعة",IF(F843="نعم","جرد فقط",IF(G843="نعم","مراجعة فقط",""))))</f>
        <v/>
      </c>
      <c r="I843" s="9">
        <f>IF(H843="جرد + مراجعة",الإعدادات!$B$2,IF(H843="مراجعة فقط",الإعدادات!$B$3,IF(H843="جرد فقط",الإعدادات!$B$4,0)))</f>
        <v>0</v>
      </c>
    </row>
    <row r="844">
      <c r="A844" s="4" t="n"/>
      <c r="B844" s="5" t="str">
        <f>IF(A844="","",IFERROR(INDEX('جدول الجرد'!$A$2:$A$29,MATCH(A844,'جدول الجرد'!$B$2:$B$29,0)),""))</f>
        <v/>
      </c>
      <c r="C844" s="5" t="str">
        <f>IF(A844="","",IFERROR(INDEX('جدول الجرد'!$E$2:$E$29,MATCH(A844,'جدول الجرد'!$B$2:$B$29,0)),""))</f>
        <v/>
      </c>
      <c r="D844" s="4" t="n"/>
      <c r="E844" s="4" t="n"/>
      <c r="F844" s="4" t="n"/>
      <c r="G844" s="4" t="n"/>
      <c r="H844" s="5" t="str">
        <f>IF(E844="","",IF(AND(F844="نعم",G844="نعم"),"جرد + مراجعة",IF(F844="نعم","جرد فقط",IF(G844="نعم","مراجعة فقط",""))))</f>
        <v/>
      </c>
      <c r="I844" s="9">
        <f>IF(H844="جرد + مراجعة",الإعدادات!$B$2,IF(H844="مراجعة فقط",الإعدادات!$B$3,IF(H844="جرد فقط",الإعدادات!$B$4,0)))</f>
        <v>0</v>
      </c>
    </row>
    <row r="845">
      <c r="A845" s="4" t="n"/>
      <c r="B845" s="5" t="str">
        <f>IF(A845="","",IFERROR(INDEX('جدول الجرد'!$A$2:$A$29,MATCH(A845,'جدول الجرد'!$B$2:$B$29,0)),""))</f>
        <v/>
      </c>
      <c r="C845" s="5" t="str">
        <f>IF(A845="","",IFERROR(INDEX('جدول الجرد'!$E$2:$E$29,MATCH(A845,'جدول الجرد'!$B$2:$B$29,0)),""))</f>
        <v/>
      </c>
      <c r="D845" s="4" t="n"/>
      <c r="E845" s="4" t="n"/>
      <c r="F845" s="4" t="n"/>
      <c r="G845" s="4" t="n"/>
      <c r="H845" s="5" t="str">
        <f>IF(E845="","",IF(AND(F845="نعم",G845="نعم"),"جرد + مراجعة",IF(F845="نعم","جرد فقط",IF(G845="نعم","مراجعة فقط",""))))</f>
        <v/>
      </c>
      <c r="I845" s="9">
        <f>IF(H845="جرد + مراجعة",الإعدادات!$B$2,IF(H845="مراجعة فقط",الإعدادات!$B$3,IF(H845="جرد فقط",الإعدادات!$B$4,0)))</f>
        <v>0</v>
      </c>
    </row>
    <row r="846">
      <c r="A846" s="4" t="n"/>
      <c r="B846" s="5" t="str">
        <f>IF(A846="","",IFERROR(INDEX('جدول الجرد'!$A$2:$A$29,MATCH(A846,'جدول الجرد'!$B$2:$B$29,0)),""))</f>
        <v/>
      </c>
      <c r="C846" s="5" t="str">
        <f>IF(A846="","",IFERROR(INDEX('جدول الجرد'!$E$2:$E$29,MATCH(A846,'جدول الجرد'!$B$2:$B$29,0)),""))</f>
        <v/>
      </c>
      <c r="D846" s="4" t="n"/>
      <c r="E846" s="4" t="n"/>
      <c r="F846" s="4" t="n"/>
      <c r="G846" s="4" t="n"/>
      <c r="H846" s="5" t="str">
        <f>IF(E846="","",IF(AND(F846="نعم",G846="نعم"),"جرد + مراجعة",IF(F846="نعم","جرد فقط",IF(G846="نعم","مراجعة فقط",""))))</f>
        <v/>
      </c>
      <c r="I846" s="9">
        <f>IF(H846="جرد + مراجعة",الإعدادات!$B$2,IF(H846="مراجعة فقط",الإعدادات!$B$3,IF(H846="جرد فقط",الإعدادات!$B$4,0)))</f>
        <v>0</v>
      </c>
    </row>
    <row r="847">
      <c r="A847" s="4" t="n"/>
      <c r="B847" s="5" t="str">
        <f>IF(A847="","",IFERROR(INDEX('جدول الجرد'!$A$2:$A$29,MATCH(A847,'جدول الجرد'!$B$2:$B$29,0)),""))</f>
        <v/>
      </c>
      <c r="C847" s="5" t="str">
        <f>IF(A847="","",IFERROR(INDEX('جدول الجرد'!$E$2:$E$29,MATCH(A847,'جدول الجرد'!$B$2:$B$29,0)),""))</f>
        <v/>
      </c>
      <c r="D847" s="4" t="n"/>
      <c r="E847" s="4" t="n"/>
      <c r="F847" s="4" t="n"/>
      <c r="G847" s="4" t="n"/>
      <c r="H847" s="5" t="str">
        <f>IF(E847="","",IF(AND(F847="نعم",G847="نعم"),"جرد + مراجعة",IF(F847="نعم","جرد فقط",IF(G847="نعم","مراجعة فقط",""))))</f>
        <v/>
      </c>
      <c r="I847" s="9">
        <f>IF(H847="جرد + مراجعة",الإعدادات!$B$2,IF(H847="مراجعة فقط",الإعدادات!$B$3,IF(H847="جرد فقط",الإعدادات!$B$4,0)))</f>
        <v>0</v>
      </c>
    </row>
    <row r="848">
      <c r="A848" s="4" t="n"/>
      <c r="B848" s="5" t="str">
        <f>IF(A848="","",IFERROR(INDEX('جدول الجرد'!$A$2:$A$29,MATCH(A848,'جدول الجرد'!$B$2:$B$29,0)),""))</f>
        <v/>
      </c>
      <c r="C848" s="5" t="str">
        <f>IF(A848="","",IFERROR(INDEX('جدول الجرد'!$E$2:$E$29,MATCH(A848,'جدول الجرد'!$B$2:$B$29,0)),""))</f>
        <v/>
      </c>
      <c r="D848" s="4" t="n"/>
      <c r="E848" s="4" t="n"/>
      <c r="F848" s="4" t="n"/>
      <c r="G848" s="4" t="n"/>
      <c r="H848" s="5" t="str">
        <f>IF(E848="","",IF(AND(F848="نعم",G848="نعم"),"جرد + مراجعة",IF(F848="نعم","جرد فقط",IF(G848="نعم","مراجعة فقط",""))))</f>
        <v/>
      </c>
      <c r="I848" s="9">
        <f>IF(H848="جرد + مراجعة",الإعدادات!$B$2,IF(H848="مراجعة فقط",الإعدادات!$B$3,IF(H848="جرد فقط",الإعدادات!$B$4,0)))</f>
        <v>0</v>
      </c>
    </row>
    <row r="849">
      <c r="A849" s="4" t="n"/>
      <c r="B849" s="5" t="str">
        <f>IF(A849="","",IFERROR(INDEX('جدول الجرد'!$A$2:$A$29,MATCH(A849,'جدول الجرد'!$B$2:$B$29,0)),""))</f>
        <v/>
      </c>
      <c r="C849" s="5" t="str">
        <f>IF(A849="","",IFERROR(INDEX('جدول الجرد'!$E$2:$E$29,MATCH(A849,'جدول الجرد'!$B$2:$B$29,0)),""))</f>
        <v/>
      </c>
      <c r="D849" s="4" t="n"/>
      <c r="E849" s="4" t="n"/>
      <c r="F849" s="4" t="n"/>
      <c r="G849" s="4" t="n"/>
      <c r="H849" s="5" t="str">
        <f>IF(E849="","",IF(AND(F849="نعم",G849="نعم"),"جرد + مراجعة",IF(F849="نعم","جرد فقط",IF(G849="نعم","مراجعة فقط",""))))</f>
        <v/>
      </c>
      <c r="I849" s="9">
        <f>IF(H849="جرد + مراجعة",الإعدادات!$B$2,IF(H849="مراجعة فقط",الإعدادات!$B$3,IF(H849="جرد فقط",الإعدادات!$B$4,0)))</f>
        <v>0</v>
      </c>
    </row>
    <row r="850">
      <c r="A850" s="4" t="n"/>
      <c r="B850" s="5" t="str">
        <f>IF(A850="","",IFERROR(INDEX('جدول الجرد'!$A$2:$A$29,MATCH(A850,'جدول الجرد'!$B$2:$B$29,0)),""))</f>
        <v/>
      </c>
      <c r="C850" s="5" t="str">
        <f>IF(A850="","",IFERROR(INDEX('جدول الجرد'!$E$2:$E$29,MATCH(A850,'جدول الجرد'!$B$2:$B$29,0)),""))</f>
        <v/>
      </c>
      <c r="D850" s="4" t="n"/>
      <c r="E850" s="4" t="n"/>
      <c r="F850" s="4" t="n"/>
      <c r="G850" s="4" t="n"/>
      <c r="H850" s="5" t="str">
        <f>IF(E850="","",IF(AND(F850="نعم",G850="نعم"),"جرد + مراجعة",IF(F850="نعم","جرد فقط",IF(G850="نعم","مراجعة فقط",""))))</f>
        <v/>
      </c>
      <c r="I850" s="9">
        <f>IF(H850="جرد + مراجعة",الإعدادات!$B$2,IF(H850="مراجعة فقط",الإعدادات!$B$3,IF(H850="جرد فقط",الإعدادات!$B$4,0)))</f>
        <v>0</v>
      </c>
    </row>
    <row r="851">
      <c r="A851" s="4" t="n"/>
      <c r="B851" s="5" t="str">
        <f>IF(A851="","",IFERROR(INDEX('جدول الجرد'!$A$2:$A$29,MATCH(A851,'جدول الجرد'!$B$2:$B$29,0)),""))</f>
        <v/>
      </c>
      <c r="C851" s="5" t="str">
        <f>IF(A851="","",IFERROR(INDEX('جدول الجرد'!$E$2:$E$29,MATCH(A851,'جدول الجرد'!$B$2:$B$29,0)),""))</f>
        <v/>
      </c>
      <c r="D851" s="4" t="n"/>
      <c r="E851" s="4" t="n"/>
      <c r="F851" s="4" t="n"/>
      <c r="G851" s="4" t="n"/>
      <c r="H851" s="5" t="str">
        <f>IF(E851="","",IF(AND(F851="نعم",G851="نعم"),"جرد + مراجعة",IF(F851="نعم","جرد فقط",IF(G851="نعم","مراجعة فقط",""))))</f>
        <v/>
      </c>
      <c r="I851" s="9">
        <f>IF(H851="جرد + مراجعة",الإعدادات!$B$2,IF(H851="مراجعة فقط",الإعدادات!$B$3,IF(H851="جرد فقط",الإعدادات!$B$4,0)))</f>
        <v>0</v>
      </c>
    </row>
    <row r="852">
      <c r="A852" s="4" t="n"/>
      <c r="B852" s="5" t="str">
        <f>IF(A852="","",IFERROR(INDEX('جدول الجرد'!$A$2:$A$29,MATCH(A852,'جدول الجرد'!$B$2:$B$29,0)),""))</f>
        <v/>
      </c>
      <c r="C852" s="5" t="str">
        <f>IF(A852="","",IFERROR(INDEX('جدول الجرد'!$E$2:$E$29,MATCH(A852,'جدول الجرد'!$B$2:$B$29,0)),""))</f>
        <v/>
      </c>
      <c r="D852" s="4" t="n"/>
      <c r="E852" s="4" t="n"/>
      <c r="F852" s="4" t="n"/>
      <c r="G852" s="4" t="n"/>
      <c r="H852" s="5" t="str">
        <f>IF(E852="","",IF(AND(F852="نعم",G852="نعم"),"جرد + مراجعة",IF(F852="نعم","جرد فقط",IF(G852="نعم","مراجعة فقط",""))))</f>
        <v/>
      </c>
      <c r="I852" s="9">
        <f>IF(H852="جرد + مراجعة",الإعدادات!$B$2,IF(H852="مراجعة فقط",الإعدادات!$B$3,IF(H852="جرد فقط",الإعدادات!$B$4,0)))</f>
        <v>0</v>
      </c>
    </row>
    <row r="853">
      <c r="A853" s="4" t="n"/>
      <c r="B853" s="5" t="str">
        <f>IF(A853="","",IFERROR(INDEX('جدول الجرد'!$A$2:$A$29,MATCH(A853,'جدول الجرد'!$B$2:$B$29,0)),""))</f>
        <v/>
      </c>
      <c r="C853" s="5" t="str">
        <f>IF(A853="","",IFERROR(INDEX('جدول الجرد'!$E$2:$E$29,MATCH(A853,'جدول الجرد'!$B$2:$B$29,0)),""))</f>
        <v/>
      </c>
      <c r="D853" s="4" t="n"/>
      <c r="E853" s="4" t="n"/>
      <c r="F853" s="4" t="n"/>
      <c r="G853" s="4" t="n"/>
      <c r="H853" s="5" t="str">
        <f>IF(E853="","",IF(AND(F853="نعم",G853="نعم"),"جرد + مراجعة",IF(F853="نعم","جرد فقط",IF(G853="نعم","مراجعة فقط",""))))</f>
        <v/>
      </c>
      <c r="I853" s="9">
        <f>IF(H853="جرد + مراجعة",الإعدادات!$B$2,IF(H853="مراجعة فقط",الإعدادات!$B$3,IF(H853="جرد فقط",الإعدادات!$B$4,0)))</f>
        <v>0</v>
      </c>
    </row>
    <row r="854">
      <c r="A854" s="4" t="n"/>
      <c r="B854" s="5" t="str">
        <f>IF(A854="","",IFERROR(INDEX('جدول الجرد'!$A$2:$A$29,MATCH(A854,'جدول الجرد'!$B$2:$B$29,0)),""))</f>
        <v/>
      </c>
      <c r="C854" s="5" t="str">
        <f>IF(A854="","",IFERROR(INDEX('جدول الجرد'!$E$2:$E$29,MATCH(A854,'جدول الجرد'!$B$2:$B$29,0)),""))</f>
        <v/>
      </c>
      <c r="D854" s="4" t="n"/>
      <c r="E854" s="4" t="n"/>
      <c r="F854" s="4" t="n"/>
      <c r="G854" s="4" t="n"/>
      <c r="H854" s="5" t="str">
        <f>IF(E854="","",IF(AND(F854="نعم",G854="نعم"),"جرد + مراجعة",IF(F854="نعم","جرد فقط",IF(G854="نعم","مراجعة فقط",""))))</f>
        <v/>
      </c>
      <c r="I854" s="9">
        <f>IF(H854="جرد + مراجعة",الإعدادات!$B$2,IF(H854="مراجعة فقط",الإعدادات!$B$3,IF(H854="جرد فقط",الإعدادات!$B$4,0)))</f>
        <v>0</v>
      </c>
    </row>
    <row r="855">
      <c r="A855" s="4" t="n"/>
      <c r="B855" s="5" t="str">
        <f>IF(A855="","",IFERROR(INDEX('جدول الجرد'!$A$2:$A$29,MATCH(A855,'جدول الجرد'!$B$2:$B$29,0)),""))</f>
        <v/>
      </c>
      <c r="C855" s="5" t="str">
        <f>IF(A855="","",IFERROR(INDEX('جدول الجرد'!$E$2:$E$29,MATCH(A855,'جدول الجرد'!$B$2:$B$29,0)),""))</f>
        <v/>
      </c>
      <c r="D855" s="4" t="n"/>
      <c r="E855" s="4" t="n"/>
      <c r="F855" s="4" t="n"/>
      <c r="G855" s="4" t="n"/>
      <c r="H855" s="5" t="str">
        <f>IF(E855="","",IF(AND(F855="نعم",G855="نعم"),"جرد + مراجعة",IF(F855="نعم","جرد فقط",IF(G855="نعم","مراجعة فقط",""))))</f>
        <v/>
      </c>
      <c r="I855" s="9">
        <f>IF(H855="جرد + مراجعة",الإعدادات!$B$2,IF(H855="مراجعة فقط",الإعدادات!$B$3,IF(H855="جرد فقط",الإعدادات!$B$4,0)))</f>
        <v>0</v>
      </c>
    </row>
    <row r="856">
      <c r="A856" s="4" t="n"/>
      <c r="B856" s="5" t="str">
        <f>IF(A856="","",IFERROR(INDEX('جدول الجرد'!$A$2:$A$29,MATCH(A856,'جدول الجرد'!$B$2:$B$29,0)),""))</f>
        <v/>
      </c>
      <c r="C856" s="5" t="str">
        <f>IF(A856="","",IFERROR(INDEX('جدول الجرد'!$E$2:$E$29,MATCH(A856,'جدول الجرد'!$B$2:$B$29,0)),""))</f>
        <v/>
      </c>
      <c r="D856" s="4" t="n"/>
      <c r="E856" s="4" t="n"/>
      <c r="F856" s="4" t="n"/>
      <c r="G856" s="4" t="n"/>
      <c r="H856" s="5" t="str">
        <f>IF(E856="","",IF(AND(F856="نعم",G856="نعم"),"جرد + مراجعة",IF(F856="نعم","جرد فقط",IF(G856="نعم","مراجعة فقط",""))))</f>
        <v/>
      </c>
      <c r="I856" s="9">
        <f>IF(H856="جرد + مراجعة",الإعدادات!$B$2,IF(H856="مراجعة فقط",الإعدادات!$B$3,IF(H856="جرد فقط",الإعدادات!$B$4,0)))</f>
        <v>0</v>
      </c>
    </row>
    <row r="857">
      <c r="A857" s="4" t="n"/>
      <c r="B857" s="5" t="str">
        <f>IF(A857="","",IFERROR(INDEX('جدول الجرد'!$A$2:$A$29,MATCH(A857,'جدول الجرد'!$B$2:$B$29,0)),""))</f>
        <v/>
      </c>
      <c r="C857" s="5" t="str">
        <f>IF(A857="","",IFERROR(INDEX('جدول الجرد'!$E$2:$E$29,MATCH(A857,'جدول الجرد'!$B$2:$B$29,0)),""))</f>
        <v/>
      </c>
      <c r="D857" s="4" t="n"/>
      <c r="E857" s="4" t="n"/>
      <c r="F857" s="4" t="n"/>
      <c r="G857" s="4" t="n"/>
      <c r="H857" s="5" t="str">
        <f>IF(E857="","",IF(AND(F857="نعم",G857="نعم"),"جرد + مراجعة",IF(F857="نعم","جرد فقط",IF(G857="نعم","مراجعة فقط",""))))</f>
        <v/>
      </c>
      <c r="I857" s="9">
        <f>IF(H857="جرد + مراجعة",الإعدادات!$B$2,IF(H857="مراجعة فقط",الإعدادات!$B$3,IF(H857="جرد فقط",الإعدادات!$B$4,0)))</f>
        <v>0</v>
      </c>
    </row>
    <row r="858">
      <c r="A858" s="4" t="n"/>
      <c r="B858" s="5" t="str">
        <f>IF(A858="","",IFERROR(INDEX('جدول الجرد'!$A$2:$A$29,MATCH(A858,'جدول الجرد'!$B$2:$B$29,0)),""))</f>
        <v/>
      </c>
      <c r="C858" s="5" t="str">
        <f>IF(A858="","",IFERROR(INDEX('جدول الجرد'!$E$2:$E$29,MATCH(A858,'جدول الجرد'!$B$2:$B$29,0)),""))</f>
        <v/>
      </c>
      <c r="D858" s="4" t="n"/>
      <c r="E858" s="4" t="n"/>
      <c r="F858" s="4" t="n"/>
      <c r="G858" s="4" t="n"/>
      <c r="H858" s="5" t="str">
        <f>IF(E858="","",IF(AND(F858="نعم",G858="نعم"),"جرد + مراجعة",IF(F858="نعم","جرد فقط",IF(G858="نعم","مراجعة فقط",""))))</f>
        <v/>
      </c>
      <c r="I858" s="9">
        <f>IF(H858="جرد + مراجعة",الإعدادات!$B$2,IF(H858="مراجعة فقط",الإعدادات!$B$3,IF(H858="جرد فقط",الإعدادات!$B$4,0)))</f>
        <v>0</v>
      </c>
    </row>
    <row r="859">
      <c r="A859" s="4" t="n"/>
      <c r="B859" s="5" t="str">
        <f>IF(A859="","",IFERROR(INDEX('جدول الجرد'!$A$2:$A$29,MATCH(A859,'جدول الجرد'!$B$2:$B$29,0)),""))</f>
        <v/>
      </c>
      <c r="C859" s="5" t="str">
        <f>IF(A859="","",IFERROR(INDEX('جدول الجرد'!$E$2:$E$29,MATCH(A859,'جدول الجرد'!$B$2:$B$29,0)),""))</f>
        <v/>
      </c>
      <c r="D859" s="4" t="n"/>
      <c r="E859" s="4" t="n"/>
      <c r="F859" s="4" t="n"/>
      <c r="G859" s="4" t="n"/>
      <c r="H859" s="5" t="str">
        <f>IF(E859="","",IF(AND(F859="نعم",G859="نعم"),"جرد + مراجعة",IF(F859="نعم","جرد فقط",IF(G859="نعم","مراجعة فقط",""))))</f>
        <v/>
      </c>
      <c r="I859" s="9">
        <f>IF(H859="جرد + مراجعة",الإعدادات!$B$2,IF(H859="مراجعة فقط",الإعدادات!$B$3,IF(H859="جرد فقط",الإعدادات!$B$4,0)))</f>
        <v>0</v>
      </c>
    </row>
    <row r="860">
      <c r="A860" s="4" t="n"/>
      <c r="B860" s="5" t="str">
        <f>IF(A860="","",IFERROR(INDEX('جدول الجرد'!$A$2:$A$29,MATCH(A860,'جدول الجرد'!$B$2:$B$29,0)),""))</f>
        <v/>
      </c>
      <c r="C860" s="5" t="str">
        <f>IF(A860="","",IFERROR(INDEX('جدول الجرد'!$E$2:$E$29,MATCH(A860,'جدول الجرد'!$B$2:$B$29,0)),""))</f>
        <v/>
      </c>
      <c r="D860" s="4" t="n"/>
      <c r="E860" s="4" t="n"/>
      <c r="F860" s="4" t="n"/>
      <c r="G860" s="4" t="n"/>
      <c r="H860" s="5" t="str">
        <f>IF(E860="","",IF(AND(F860="نعم",G860="نعم"),"جرد + مراجعة",IF(F860="نعم","جرد فقط",IF(G860="نعم","مراجعة فقط",""))))</f>
        <v/>
      </c>
      <c r="I860" s="9">
        <f>IF(H860="جرد + مراجعة",الإعدادات!$B$2,IF(H860="مراجعة فقط",الإعدادات!$B$3,IF(H860="جرد فقط",الإعدادات!$B$4,0)))</f>
        <v>0</v>
      </c>
    </row>
    <row r="861">
      <c r="A861" s="4" t="n"/>
      <c r="B861" s="5" t="str">
        <f>IF(A861="","",IFERROR(INDEX('جدول الجرد'!$A$2:$A$29,MATCH(A861,'جدول الجرد'!$B$2:$B$29,0)),""))</f>
        <v/>
      </c>
      <c r="C861" s="5" t="str">
        <f>IF(A861="","",IFERROR(INDEX('جدول الجرد'!$E$2:$E$29,MATCH(A861,'جدول الجرد'!$B$2:$B$29,0)),""))</f>
        <v/>
      </c>
      <c r="D861" s="4" t="n"/>
      <c r="E861" s="4" t="n"/>
      <c r="F861" s="4" t="n"/>
      <c r="G861" s="4" t="n"/>
      <c r="H861" s="5" t="str">
        <f>IF(E861="","",IF(AND(F861="نعم",G861="نعم"),"جرد + مراجعة",IF(F861="نعم","جرد فقط",IF(G861="نعم","مراجعة فقط",""))))</f>
        <v/>
      </c>
      <c r="I861" s="9">
        <f>IF(H861="جرد + مراجعة",الإعدادات!$B$2,IF(H861="مراجعة فقط",الإعدادات!$B$3,IF(H861="جرد فقط",الإعدادات!$B$4,0)))</f>
        <v>0</v>
      </c>
    </row>
    <row r="862">
      <c r="A862" s="4" t="n"/>
      <c r="B862" s="5" t="str">
        <f>IF(A862="","",IFERROR(INDEX('جدول الجرد'!$A$2:$A$29,MATCH(A862,'جدول الجرد'!$B$2:$B$29,0)),""))</f>
        <v/>
      </c>
      <c r="C862" s="5" t="str">
        <f>IF(A862="","",IFERROR(INDEX('جدول الجرد'!$E$2:$E$29,MATCH(A862,'جدول الجرد'!$B$2:$B$29,0)),""))</f>
        <v/>
      </c>
      <c r="D862" s="4" t="n"/>
      <c r="E862" s="4" t="n"/>
      <c r="F862" s="4" t="n"/>
      <c r="G862" s="4" t="n"/>
      <c r="H862" s="5" t="str">
        <f>IF(E862="","",IF(AND(F862="نعم",G862="نعم"),"جرد + مراجعة",IF(F862="نعم","جرد فقط",IF(G862="نعم","مراجعة فقط",""))))</f>
        <v/>
      </c>
      <c r="I862" s="9">
        <f>IF(H862="جرد + مراجعة",الإعدادات!$B$2,IF(H862="مراجعة فقط",الإعدادات!$B$3,IF(H862="جرد فقط",الإعدادات!$B$4,0)))</f>
        <v>0</v>
      </c>
    </row>
    <row r="863">
      <c r="A863" s="4" t="n"/>
      <c r="B863" s="5" t="str">
        <f>IF(A863="","",IFERROR(INDEX('جدول الجرد'!$A$2:$A$29,MATCH(A863,'جدول الجرد'!$B$2:$B$29,0)),""))</f>
        <v/>
      </c>
      <c r="C863" s="5" t="str">
        <f>IF(A863="","",IFERROR(INDEX('جدول الجرد'!$E$2:$E$29,MATCH(A863,'جدول الجرد'!$B$2:$B$29,0)),""))</f>
        <v/>
      </c>
      <c r="D863" s="4" t="n"/>
      <c r="E863" s="4" t="n"/>
      <c r="F863" s="4" t="n"/>
      <c r="G863" s="4" t="n"/>
      <c r="H863" s="5" t="str">
        <f>IF(E863="","",IF(AND(F863="نعم",G863="نعم"),"جرد + مراجعة",IF(F863="نعم","جرد فقط",IF(G863="نعم","مراجعة فقط",""))))</f>
        <v/>
      </c>
      <c r="I863" s="9">
        <f>IF(H863="جرد + مراجعة",الإعدادات!$B$2,IF(H863="مراجعة فقط",الإعدادات!$B$3,IF(H863="جرد فقط",الإعدادات!$B$4,0)))</f>
        <v>0</v>
      </c>
    </row>
    <row r="864">
      <c r="A864" s="4" t="n"/>
      <c r="B864" s="5" t="str">
        <f>IF(A864="","",IFERROR(INDEX('جدول الجرد'!$A$2:$A$29,MATCH(A864,'جدول الجرد'!$B$2:$B$29,0)),""))</f>
        <v/>
      </c>
      <c r="C864" s="5" t="str">
        <f>IF(A864="","",IFERROR(INDEX('جدول الجرد'!$E$2:$E$29,MATCH(A864,'جدول الجرد'!$B$2:$B$29,0)),""))</f>
        <v/>
      </c>
      <c r="D864" s="4" t="n"/>
      <c r="E864" s="4" t="n"/>
      <c r="F864" s="4" t="n"/>
      <c r="G864" s="4" t="n"/>
      <c r="H864" s="5" t="str">
        <f>IF(E864="","",IF(AND(F864="نعم",G864="نعم"),"جرد + مراجعة",IF(F864="نعم","جرد فقط",IF(G864="نعم","مراجعة فقط",""))))</f>
        <v/>
      </c>
      <c r="I864" s="9">
        <f>IF(H864="جرد + مراجعة",الإعدادات!$B$2,IF(H864="مراجعة فقط",الإعدادات!$B$3,IF(H864="جرد فقط",الإعدادات!$B$4,0)))</f>
        <v>0</v>
      </c>
    </row>
    <row r="865">
      <c r="A865" s="4" t="n"/>
      <c r="B865" s="5" t="str">
        <f>IF(A865="","",IFERROR(INDEX('جدول الجرد'!$A$2:$A$29,MATCH(A865,'جدول الجرد'!$B$2:$B$29,0)),""))</f>
        <v/>
      </c>
      <c r="C865" s="5" t="str">
        <f>IF(A865="","",IFERROR(INDEX('جدول الجرد'!$E$2:$E$29,MATCH(A865,'جدول الجرد'!$B$2:$B$29,0)),""))</f>
        <v/>
      </c>
      <c r="D865" s="4" t="n"/>
      <c r="E865" s="4" t="n"/>
      <c r="F865" s="4" t="n"/>
      <c r="G865" s="4" t="n"/>
      <c r="H865" s="5" t="str">
        <f>IF(E865="","",IF(AND(F865="نعم",G865="نعم"),"جرد + مراجعة",IF(F865="نعم","جرد فقط",IF(G865="نعم","مراجعة فقط",""))))</f>
        <v/>
      </c>
      <c r="I865" s="9">
        <f>IF(H865="جرد + مراجعة",الإعدادات!$B$2,IF(H865="مراجعة فقط",الإعدادات!$B$3,IF(H865="جرد فقط",الإعدادات!$B$4,0)))</f>
        <v>0</v>
      </c>
    </row>
    <row r="866">
      <c r="A866" s="4" t="n"/>
      <c r="B866" s="5" t="str">
        <f>IF(A866="","",IFERROR(INDEX('جدول الجرد'!$A$2:$A$29,MATCH(A866,'جدول الجرد'!$B$2:$B$29,0)),""))</f>
        <v/>
      </c>
      <c r="C866" s="5" t="str">
        <f>IF(A866="","",IFERROR(INDEX('جدول الجرد'!$E$2:$E$29,MATCH(A866,'جدول الجرد'!$B$2:$B$29,0)),""))</f>
        <v/>
      </c>
      <c r="D866" s="4" t="n"/>
      <c r="E866" s="4" t="n"/>
      <c r="F866" s="4" t="n"/>
      <c r="G866" s="4" t="n"/>
      <c r="H866" s="5" t="str">
        <f>IF(E866="","",IF(AND(F866="نعم",G866="نعم"),"جرد + مراجعة",IF(F866="نعم","جرد فقط",IF(G866="نعم","مراجعة فقط",""))))</f>
        <v/>
      </c>
      <c r="I866" s="9">
        <f>IF(H866="جرد + مراجعة",الإعدادات!$B$2,IF(H866="مراجعة فقط",الإعدادات!$B$3,IF(H866="جرد فقط",الإعدادات!$B$4,0)))</f>
        <v>0</v>
      </c>
    </row>
    <row r="867">
      <c r="A867" s="4" t="n"/>
      <c r="B867" s="5" t="str">
        <f>IF(A867="","",IFERROR(INDEX('جدول الجرد'!$A$2:$A$29,MATCH(A867,'جدول الجرد'!$B$2:$B$29,0)),""))</f>
        <v/>
      </c>
      <c r="C867" s="5" t="str">
        <f>IF(A867="","",IFERROR(INDEX('جدول الجرد'!$E$2:$E$29,MATCH(A867,'جدول الجرد'!$B$2:$B$29,0)),""))</f>
        <v/>
      </c>
      <c r="D867" s="4" t="n"/>
      <c r="E867" s="4" t="n"/>
      <c r="F867" s="4" t="n"/>
      <c r="G867" s="4" t="n"/>
      <c r="H867" s="5" t="str">
        <f>IF(E867="","",IF(AND(F867="نعم",G867="نعم"),"جرد + مراجعة",IF(F867="نعم","جرد فقط",IF(G867="نعم","مراجعة فقط",""))))</f>
        <v/>
      </c>
      <c r="I867" s="9">
        <f>IF(H867="جرد + مراجعة",الإعدادات!$B$2,IF(H867="مراجعة فقط",الإعدادات!$B$3,IF(H867="جرد فقط",الإعدادات!$B$4,0)))</f>
        <v>0</v>
      </c>
    </row>
    <row r="868">
      <c r="A868" s="4" t="n"/>
      <c r="B868" s="5" t="str">
        <f>IF(A868="","",IFERROR(INDEX('جدول الجرد'!$A$2:$A$29,MATCH(A868,'جدول الجرد'!$B$2:$B$29,0)),""))</f>
        <v/>
      </c>
      <c r="C868" s="5" t="str">
        <f>IF(A868="","",IFERROR(INDEX('جدول الجرد'!$E$2:$E$29,MATCH(A868,'جدول الجرد'!$B$2:$B$29,0)),""))</f>
        <v/>
      </c>
      <c r="D868" s="4" t="n"/>
      <c r="E868" s="4" t="n"/>
      <c r="F868" s="4" t="n"/>
      <c r="G868" s="4" t="n"/>
      <c r="H868" s="5" t="str">
        <f>IF(E868="","",IF(AND(F868="نعم",G868="نعم"),"جرد + مراجعة",IF(F868="نعم","جرد فقط",IF(G868="نعم","مراجعة فقط",""))))</f>
        <v/>
      </c>
      <c r="I868" s="9">
        <f>IF(H868="جرد + مراجعة",الإعدادات!$B$2,IF(H868="مراجعة فقط",الإعدادات!$B$3,IF(H868="جرد فقط",الإعدادات!$B$4,0)))</f>
        <v>0</v>
      </c>
    </row>
    <row r="869">
      <c r="A869" s="4" t="n"/>
      <c r="B869" s="5" t="str">
        <f>IF(A869="","",IFERROR(INDEX('جدول الجرد'!$A$2:$A$29,MATCH(A869,'جدول الجرد'!$B$2:$B$29,0)),""))</f>
        <v/>
      </c>
      <c r="C869" s="5" t="str">
        <f>IF(A869="","",IFERROR(INDEX('جدول الجرد'!$E$2:$E$29,MATCH(A869,'جدول الجرد'!$B$2:$B$29,0)),""))</f>
        <v/>
      </c>
      <c r="D869" s="4" t="n"/>
      <c r="E869" s="4" t="n"/>
      <c r="F869" s="4" t="n"/>
      <c r="G869" s="4" t="n"/>
      <c r="H869" s="5" t="str">
        <f>IF(E869="","",IF(AND(F869="نعم",G869="نعم"),"جرد + مراجعة",IF(F869="نعم","جرد فقط",IF(G869="نعم","مراجعة فقط",""))))</f>
        <v/>
      </c>
      <c r="I869" s="9">
        <f>IF(H869="جرد + مراجعة",الإعدادات!$B$2,IF(H869="مراجعة فقط",الإعدادات!$B$3,IF(H869="جرد فقط",الإعدادات!$B$4,0)))</f>
        <v>0</v>
      </c>
    </row>
    <row r="870">
      <c r="A870" s="4" t="n"/>
      <c r="B870" s="5" t="str">
        <f>IF(A870="","",IFERROR(INDEX('جدول الجرد'!$A$2:$A$29,MATCH(A870,'جدول الجرد'!$B$2:$B$29,0)),""))</f>
        <v/>
      </c>
      <c r="C870" s="5" t="str">
        <f>IF(A870="","",IFERROR(INDEX('جدول الجرد'!$E$2:$E$29,MATCH(A870,'جدول الجرد'!$B$2:$B$29,0)),""))</f>
        <v/>
      </c>
      <c r="D870" s="4" t="n"/>
      <c r="E870" s="4" t="n"/>
      <c r="F870" s="4" t="n"/>
      <c r="G870" s="4" t="n"/>
      <c r="H870" s="5" t="str">
        <f>IF(E870="","",IF(AND(F870="نعم",G870="نعم"),"جرد + مراجعة",IF(F870="نعم","جرد فقط",IF(G870="نعم","مراجعة فقط",""))))</f>
        <v/>
      </c>
      <c r="I870" s="9">
        <f>IF(H870="جرد + مراجعة",الإعدادات!$B$2,IF(H870="مراجعة فقط",الإعدادات!$B$3,IF(H870="جرد فقط",الإعدادات!$B$4,0)))</f>
        <v>0</v>
      </c>
    </row>
    <row r="871">
      <c r="A871" s="4" t="n"/>
      <c r="B871" s="5" t="str">
        <f>IF(A871="","",IFERROR(INDEX('جدول الجرد'!$A$2:$A$29,MATCH(A871,'جدول الجرد'!$B$2:$B$29,0)),""))</f>
        <v/>
      </c>
      <c r="C871" s="5" t="str">
        <f>IF(A871="","",IFERROR(INDEX('جدول الجرد'!$E$2:$E$29,MATCH(A871,'جدول الجرد'!$B$2:$B$29,0)),""))</f>
        <v/>
      </c>
      <c r="D871" s="4" t="n"/>
      <c r="E871" s="4" t="n"/>
      <c r="F871" s="4" t="n"/>
      <c r="G871" s="4" t="n"/>
      <c r="H871" s="5" t="str">
        <f>IF(E871="","",IF(AND(F871="نعم",G871="نعم"),"جرد + مراجعة",IF(F871="نعم","جرد فقط",IF(G871="نعم","مراجعة فقط",""))))</f>
        <v/>
      </c>
      <c r="I871" s="9">
        <f>IF(H871="جرد + مراجعة",الإعدادات!$B$2,IF(H871="مراجعة فقط",الإعدادات!$B$3,IF(H871="جرد فقط",الإعدادات!$B$4,0)))</f>
        <v>0</v>
      </c>
    </row>
    <row r="872">
      <c r="A872" s="4" t="n"/>
      <c r="B872" s="5" t="str">
        <f>IF(A872="","",IFERROR(INDEX('جدول الجرد'!$A$2:$A$29,MATCH(A872,'جدول الجرد'!$B$2:$B$29,0)),""))</f>
        <v/>
      </c>
      <c r="C872" s="5" t="str">
        <f>IF(A872="","",IFERROR(INDEX('جدول الجرد'!$E$2:$E$29,MATCH(A872,'جدول الجرد'!$B$2:$B$29,0)),""))</f>
        <v/>
      </c>
      <c r="D872" s="4" t="n"/>
      <c r="E872" s="4" t="n"/>
      <c r="F872" s="4" t="n"/>
      <c r="G872" s="4" t="n"/>
      <c r="H872" s="5" t="str">
        <f>IF(E872="","",IF(AND(F872="نعم",G872="نعم"),"جرد + مراجعة",IF(F872="نعم","جرد فقط",IF(G872="نعم","مراجعة فقط",""))))</f>
        <v/>
      </c>
      <c r="I872" s="9">
        <f>IF(H872="جرد + مراجعة",الإعدادات!$B$2,IF(H872="مراجعة فقط",الإعدادات!$B$3,IF(H872="جرد فقط",الإعدادات!$B$4,0)))</f>
        <v>0</v>
      </c>
    </row>
    <row r="873">
      <c r="A873" s="4" t="n"/>
      <c r="B873" s="5" t="str">
        <f>IF(A873="","",IFERROR(INDEX('جدول الجرد'!$A$2:$A$29,MATCH(A873,'جدول الجرد'!$B$2:$B$29,0)),""))</f>
        <v/>
      </c>
      <c r="C873" s="5" t="str">
        <f>IF(A873="","",IFERROR(INDEX('جدول الجرد'!$E$2:$E$29,MATCH(A873,'جدول الجرد'!$B$2:$B$29,0)),""))</f>
        <v/>
      </c>
      <c r="D873" s="4" t="n"/>
      <c r="E873" s="4" t="n"/>
      <c r="F873" s="4" t="n"/>
      <c r="G873" s="4" t="n"/>
      <c r="H873" s="5" t="str">
        <f>IF(E873="","",IF(AND(F873="نعم",G873="نعم"),"جرد + مراجعة",IF(F873="نعم","جرد فقط",IF(G873="نعم","مراجعة فقط",""))))</f>
        <v/>
      </c>
      <c r="I873" s="9">
        <f>IF(H873="جرد + مراجعة",الإعدادات!$B$2,IF(H873="مراجعة فقط",الإعدادات!$B$3,IF(H873="جرد فقط",الإعدادات!$B$4,0)))</f>
        <v>0</v>
      </c>
    </row>
    <row r="874">
      <c r="A874" s="4" t="n"/>
      <c r="B874" s="5" t="str">
        <f>IF(A874="","",IFERROR(INDEX('جدول الجرد'!$A$2:$A$29,MATCH(A874,'جدول الجرد'!$B$2:$B$29,0)),""))</f>
        <v/>
      </c>
      <c r="C874" s="5" t="str">
        <f>IF(A874="","",IFERROR(INDEX('جدول الجرد'!$E$2:$E$29,MATCH(A874,'جدول الجرد'!$B$2:$B$29,0)),""))</f>
        <v/>
      </c>
      <c r="D874" s="4" t="n"/>
      <c r="E874" s="4" t="n"/>
      <c r="F874" s="4" t="n"/>
      <c r="G874" s="4" t="n"/>
      <c r="H874" s="5" t="str">
        <f>IF(E874="","",IF(AND(F874="نعم",G874="نعم"),"جرد + مراجعة",IF(F874="نعم","جرد فقط",IF(G874="نعم","مراجعة فقط",""))))</f>
        <v/>
      </c>
      <c r="I874" s="9">
        <f>IF(H874="جرد + مراجعة",الإعدادات!$B$2,IF(H874="مراجعة فقط",الإعدادات!$B$3,IF(H874="جرد فقط",الإعدادات!$B$4,0)))</f>
        <v>0</v>
      </c>
    </row>
    <row r="875">
      <c r="A875" s="4" t="n"/>
      <c r="B875" s="5" t="str">
        <f>IF(A875="","",IFERROR(INDEX('جدول الجرد'!$A$2:$A$29,MATCH(A875,'جدول الجرد'!$B$2:$B$29,0)),""))</f>
        <v/>
      </c>
      <c r="C875" s="5" t="str">
        <f>IF(A875="","",IFERROR(INDEX('جدول الجرد'!$E$2:$E$29,MATCH(A875,'جدول الجرد'!$B$2:$B$29,0)),""))</f>
        <v/>
      </c>
      <c r="D875" s="4" t="n"/>
      <c r="E875" s="4" t="n"/>
      <c r="F875" s="4" t="n"/>
      <c r="G875" s="4" t="n"/>
      <c r="H875" s="5" t="str">
        <f>IF(E875="","",IF(AND(F875="نعم",G875="نعم"),"جرد + مراجعة",IF(F875="نعم","جرد فقط",IF(G875="نعم","مراجعة فقط",""))))</f>
        <v/>
      </c>
      <c r="I875" s="9">
        <f>IF(H875="جرد + مراجعة",الإعدادات!$B$2,IF(H875="مراجعة فقط",الإعدادات!$B$3,IF(H875="جرد فقط",الإعدادات!$B$4,0)))</f>
        <v>0</v>
      </c>
    </row>
    <row r="876">
      <c r="A876" s="4" t="n"/>
      <c r="B876" s="5" t="str">
        <f>IF(A876="","",IFERROR(INDEX('جدول الجرد'!$A$2:$A$29,MATCH(A876,'جدول الجرد'!$B$2:$B$29,0)),""))</f>
        <v/>
      </c>
      <c r="C876" s="5" t="str">
        <f>IF(A876="","",IFERROR(INDEX('جدول الجرد'!$E$2:$E$29,MATCH(A876,'جدول الجرد'!$B$2:$B$29,0)),""))</f>
        <v/>
      </c>
      <c r="D876" s="4" t="n"/>
      <c r="E876" s="4" t="n"/>
      <c r="F876" s="4" t="n"/>
      <c r="G876" s="4" t="n"/>
      <c r="H876" s="5" t="str">
        <f>IF(E876="","",IF(AND(F876="نعم",G876="نعم"),"جرد + مراجعة",IF(F876="نعم","جرد فقط",IF(G876="نعم","مراجعة فقط",""))))</f>
        <v/>
      </c>
      <c r="I876" s="9">
        <f>IF(H876="جرد + مراجعة",الإعدادات!$B$2,IF(H876="مراجعة فقط",الإعدادات!$B$3,IF(H876="جرد فقط",الإعدادات!$B$4,0)))</f>
        <v>0</v>
      </c>
    </row>
    <row r="877">
      <c r="A877" s="4" t="n"/>
      <c r="B877" s="5" t="str">
        <f>IF(A877="","",IFERROR(INDEX('جدول الجرد'!$A$2:$A$29,MATCH(A877,'جدول الجرد'!$B$2:$B$29,0)),""))</f>
        <v/>
      </c>
      <c r="C877" s="5" t="str">
        <f>IF(A877="","",IFERROR(INDEX('جدول الجرد'!$E$2:$E$29,MATCH(A877,'جدول الجرد'!$B$2:$B$29,0)),""))</f>
        <v/>
      </c>
      <c r="D877" s="4" t="n"/>
      <c r="E877" s="4" t="n"/>
      <c r="F877" s="4" t="n"/>
      <c r="G877" s="4" t="n"/>
      <c r="H877" s="5" t="str">
        <f>IF(E877="","",IF(AND(F877="نعم",G877="نعم"),"جرد + مراجعة",IF(F877="نعم","جرد فقط",IF(G877="نعم","مراجعة فقط",""))))</f>
        <v/>
      </c>
      <c r="I877" s="9">
        <f>IF(H877="جرد + مراجعة",الإعدادات!$B$2,IF(H877="مراجعة فقط",الإعدادات!$B$3,IF(H877="جرد فقط",الإعدادات!$B$4,0)))</f>
        <v>0</v>
      </c>
    </row>
    <row r="878">
      <c r="A878" s="4" t="n"/>
      <c r="B878" s="5" t="str">
        <f>IF(A878="","",IFERROR(INDEX('جدول الجرد'!$A$2:$A$29,MATCH(A878,'جدول الجرد'!$B$2:$B$29,0)),""))</f>
        <v/>
      </c>
      <c r="C878" s="5" t="str">
        <f>IF(A878="","",IFERROR(INDEX('جدول الجرد'!$E$2:$E$29,MATCH(A878,'جدول الجرد'!$B$2:$B$29,0)),""))</f>
        <v/>
      </c>
      <c r="D878" s="4" t="n"/>
      <c r="E878" s="4" t="n"/>
      <c r="F878" s="4" t="n"/>
      <c r="G878" s="4" t="n"/>
      <c r="H878" s="5" t="str">
        <f>IF(E878="","",IF(AND(F878="نعم",G878="نعم"),"جرد + مراجعة",IF(F878="نعم","جرد فقط",IF(G878="نعم","مراجعة فقط",""))))</f>
        <v/>
      </c>
      <c r="I878" s="9">
        <f>IF(H878="جرد + مراجعة",الإعدادات!$B$2,IF(H878="مراجعة فقط",الإعدادات!$B$3,IF(H878="جرد فقط",الإعدادات!$B$4,0)))</f>
        <v>0</v>
      </c>
    </row>
    <row r="879">
      <c r="A879" s="4" t="n"/>
      <c r="B879" s="5" t="str">
        <f>IF(A879="","",IFERROR(INDEX('جدول الجرد'!$A$2:$A$29,MATCH(A879,'جدول الجرد'!$B$2:$B$29,0)),""))</f>
        <v/>
      </c>
      <c r="C879" s="5" t="str">
        <f>IF(A879="","",IFERROR(INDEX('جدول الجرد'!$E$2:$E$29,MATCH(A879,'جدول الجرد'!$B$2:$B$29,0)),""))</f>
        <v/>
      </c>
      <c r="D879" s="4" t="n"/>
      <c r="E879" s="4" t="n"/>
      <c r="F879" s="4" t="n"/>
      <c r="G879" s="4" t="n"/>
      <c r="H879" s="5" t="str">
        <f>IF(E879="","",IF(AND(F879="نعم",G879="نعم"),"جرد + مراجعة",IF(F879="نعم","جرد فقط",IF(G879="نعم","مراجعة فقط",""))))</f>
        <v/>
      </c>
      <c r="I879" s="9">
        <f>IF(H879="جرد + مراجعة",الإعدادات!$B$2,IF(H879="مراجعة فقط",الإعدادات!$B$3,IF(H879="جرد فقط",الإعدادات!$B$4,0)))</f>
        <v>0</v>
      </c>
    </row>
    <row r="880">
      <c r="A880" s="4" t="n"/>
      <c r="B880" s="5" t="str">
        <f>IF(A880="","",IFERROR(INDEX('جدول الجرد'!$A$2:$A$29,MATCH(A880,'جدول الجرد'!$B$2:$B$29,0)),""))</f>
        <v/>
      </c>
      <c r="C880" s="5" t="str">
        <f>IF(A880="","",IFERROR(INDEX('جدول الجرد'!$E$2:$E$29,MATCH(A880,'جدول الجرد'!$B$2:$B$29,0)),""))</f>
        <v/>
      </c>
      <c r="D880" s="4" t="n"/>
      <c r="E880" s="4" t="n"/>
      <c r="F880" s="4" t="n"/>
      <c r="G880" s="4" t="n"/>
      <c r="H880" s="5" t="str">
        <f>IF(E880="","",IF(AND(F880="نعم",G880="نعم"),"جرد + مراجعة",IF(F880="نعم","جرد فقط",IF(G880="نعم","مراجعة فقط",""))))</f>
        <v/>
      </c>
      <c r="I880" s="9">
        <f>IF(H880="جرد + مراجعة",الإعدادات!$B$2,IF(H880="مراجعة فقط",الإعدادات!$B$3,IF(H880="جرد فقط",الإعدادات!$B$4,0)))</f>
        <v>0</v>
      </c>
    </row>
    <row r="881">
      <c r="A881" s="4" t="n"/>
      <c r="B881" s="5" t="str">
        <f>IF(A881="","",IFERROR(INDEX('جدول الجرد'!$A$2:$A$29,MATCH(A881,'جدول الجرد'!$B$2:$B$29,0)),""))</f>
        <v/>
      </c>
      <c r="C881" s="5" t="str">
        <f>IF(A881="","",IFERROR(INDEX('جدول الجرد'!$E$2:$E$29,MATCH(A881,'جدول الجرد'!$B$2:$B$29,0)),""))</f>
        <v/>
      </c>
      <c r="D881" s="4" t="n"/>
      <c r="E881" s="4" t="n"/>
      <c r="F881" s="4" t="n"/>
      <c r="G881" s="4" t="n"/>
      <c r="H881" s="5" t="str">
        <f>IF(E881="","",IF(AND(F881="نعم",G881="نعم"),"جرد + مراجعة",IF(F881="نعم","جرد فقط",IF(G881="نعم","مراجعة فقط",""))))</f>
        <v/>
      </c>
      <c r="I881" s="9">
        <f>IF(H881="جرد + مراجعة",الإعدادات!$B$2,IF(H881="مراجعة فقط",الإعدادات!$B$3,IF(H881="جرد فقط",الإعدادات!$B$4,0)))</f>
        <v>0</v>
      </c>
    </row>
    <row r="882">
      <c r="A882" s="4" t="n"/>
      <c r="B882" s="5" t="str">
        <f>IF(A882="","",IFERROR(INDEX('جدول الجرد'!$A$2:$A$29,MATCH(A882,'جدول الجرد'!$B$2:$B$29,0)),""))</f>
        <v/>
      </c>
      <c r="C882" s="5" t="str">
        <f>IF(A882="","",IFERROR(INDEX('جدول الجرد'!$E$2:$E$29,MATCH(A882,'جدول الجرد'!$B$2:$B$29,0)),""))</f>
        <v/>
      </c>
      <c r="D882" s="4" t="n"/>
      <c r="E882" s="4" t="n"/>
      <c r="F882" s="4" t="n"/>
      <c r="G882" s="4" t="n"/>
      <c r="H882" s="5" t="str">
        <f>IF(E882="","",IF(AND(F882="نعم",G882="نعم"),"جرد + مراجعة",IF(F882="نعم","جرد فقط",IF(G882="نعم","مراجعة فقط",""))))</f>
        <v/>
      </c>
      <c r="I882" s="9">
        <f>IF(H882="جرد + مراجعة",الإعدادات!$B$2,IF(H882="مراجعة فقط",الإعدادات!$B$3,IF(H882="جرد فقط",الإعدادات!$B$4,0)))</f>
        <v>0</v>
      </c>
    </row>
    <row r="883">
      <c r="A883" s="4" t="n"/>
      <c r="B883" s="5" t="str">
        <f>IF(A883="","",IFERROR(INDEX('جدول الجرد'!$A$2:$A$29,MATCH(A883,'جدول الجرد'!$B$2:$B$29,0)),""))</f>
        <v/>
      </c>
      <c r="C883" s="5" t="str">
        <f>IF(A883="","",IFERROR(INDEX('جدول الجرد'!$E$2:$E$29,MATCH(A883,'جدول الجرد'!$B$2:$B$29,0)),""))</f>
        <v/>
      </c>
      <c r="D883" s="4" t="n"/>
      <c r="E883" s="4" t="n"/>
      <c r="F883" s="4" t="n"/>
      <c r="G883" s="4" t="n"/>
      <c r="H883" s="5" t="str">
        <f>IF(E883="","",IF(AND(F883="نعم",G883="نعم"),"جرد + مراجعة",IF(F883="نعم","جرد فقط",IF(G883="نعم","مراجعة فقط",""))))</f>
        <v/>
      </c>
      <c r="I883" s="9">
        <f>IF(H883="جرد + مراجعة",الإعدادات!$B$2,IF(H883="مراجعة فقط",الإعدادات!$B$3,IF(H883="جرد فقط",الإعدادات!$B$4,0)))</f>
        <v>0</v>
      </c>
    </row>
    <row r="884">
      <c r="A884" s="4" t="n"/>
      <c r="B884" s="5" t="str">
        <f>IF(A884="","",IFERROR(INDEX('جدول الجرد'!$A$2:$A$29,MATCH(A884,'جدول الجرد'!$B$2:$B$29,0)),""))</f>
        <v/>
      </c>
      <c r="C884" s="5" t="str">
        <f>IF(A884="","",IFERROR(INDEX('جدول الجرد'!$E$2:$E$29,MATCH(A884,'جدول الجرد'!$B$2:$B$29,0)),""))</f>
        <v/>
      </c>
      <c r="D884" s="4" t="n"/>
      <c r="E884" s="4" t="n"/>
      <c r="F884" s="4" t="n"/>
      <c r="G884" s="4" t="n"/>
      <c r="H884" s="5" t="str">
        <f>IF(E884="","",IF(AND(F884="نعم",G884="نعم"),"جرد + مراجعة",IF(F884="نعم","جرد فقط",IF(G884="نعم","مراجعة فقط",""))))</f>
        <v/>
      </c>
      <c r="I884" s="9">
        <f>IF(H884="جرد + مراجعة",الإعدادات!$B$2,IF(H884="مراجعة فقط",الإعدادات!$B$3,IF(H884="جرد فقط",الإعدادات!$B$4,0)))</f>
        <v>0</v>
      </c>
    </row>
    <row r="885">
      <c r="A885" s="4" t="n"/>
      <c r="B885" s="5" t="str">
        <f>IF(A885="","",IFERROR(INDEX('جدول الجرد'!$A$2:$A$29,MATCH(A885,'جدول الجرد'!$B$2:$B$29,0)),""))</f>
        <v/>
      </c>
      <c r="C885" s="5" t="str">
        <f>IF(A885="","",IFERROR(INDEX('جدول الجرد'!$E$2:$E$29,MATCH(A885,'جدول الجرد'!$B$2:$B$29,0)),""))</f>
        <v/>
      </c>
      <c r="D885" s="4" t="n"/>
      <c r="E885" s="4" t="n"/>
      <c r="F885" s="4" t="n"/>
      <c r="G885" s="4" t="n"/>
      <c r="H885" s="5" t="str">
        <f>IF(E885="","",IF(AND(F885="نعم",G885="نعم"),"جرد + مراجعة",IF(F885="نعم","جرد فقط",IF(G885="نعم","مراجعة فقط",""))))</f>
        <v/>
      </c>
      <c r="I885" s="9">
        <f>IF(H885="جرد + مراجعة",الإعدادات!$B$2,IF(H885="مراجعة فقط",الإعدادات!$B$3,IF(H885="جرد فقط",الإعدادات!$B$4,0)))</f>
        <v>0</v>
      </c>
    </row>
    <row r="886">
      <c r="A886" s="4" t="n"/>
      <c r="B886" s="5" t="str">
        <f>IF(A886="","",IFERROR(INDEX('جدول الجرد'!$A$2:$A$29,MATCH(A886,'جدول الجرد'!$B$2:$B$29,0)),""))</f>
        <v/>
      </c>
      <c r="C886" s="5" t="str">
        <f>IF(A886="","",IFERROR(INDEX('جدول الجرد'!$E$2:$E$29,MATCH(A886,'جدول الجرد'!$B$2:$B$29,0)),""))</f>
        <v/>
      </c>
      <c r="D886" s="4" t="n"/>
      <c r="E886" s="4" t="n"/>
      <c r="F886" s="4" t="n"/>
      <c r="G886" s="4" t="n"/>
      <c r="H886" s="5" t="str">
        <f>IF(E886="","",IF(AND(F886="نعم",G886="نعم"),"جرد + مراجعة",IF(F886="نعم","جرد فقط",IF(G886="نعم","مراجعة فقط",""))))</f>
        <v/>
      </c>
      <c r="I886" s="9">
        <f>IF(H886="جرد + مراجعة",الإعدادات!$B$2,IF(H886="مراجعة فقط",الإعدادات!$B$3,IF(H886="جرد فقط",الإعدادات!$B$4,0)))</f>
        <v>0</v>
      </c>
    </row>
    <row r="887">
      <c r="A887" s="4" t="n"/>
      <c r="B887" s="5" t="str">
        <f>IF(A887="","",IFERROR(INDEX('جدول الجرد'!$A$2:$A$29,MATCH(A887,'جدول الجرد'!$B$2:$B$29,0)),""))</f>
        <v/>
      </c>
      <c r="C887" s="5" t="str">
        <f>IF(A887="","",IFERROR(INDEX('جدول الجرد'!$E$2:$E$29,MATCH(A887,'جدول الجرد'!$B$2:$B$29,0)),""))</f>
        <v/>
      </c>
      <c r="D887" s="4" t="n"/>
      <c r="E887" s="4" t="n"/>
      <c r="F887" s="4" t="n"/>
      <c r="G887" s="4" t="n"/>
      <c r="H887" s="5" t="str">
        <f>IF(E887="","",IF(AND(F887="نعم",G887="نعم"),"جرد + مراجعة",IF(F887="نعم","جرد فقط",IF(G887="نعم","مراجعة فقط",""))))</f>
        <v/>
      </c>
      <c r="I887" s="9">
        <f>IF(H887="جرد + مراجعة",الإعدادات!$B$2,IF(H887="مراجعة فقط",الإعدادات!$B$3,IF(H887="جرد فقط",الإعدادات!$B$4,0)))</f>
        <v>0</v>
      </c>
    </row>
    <row r="888">
      <c r="A888" s="4" t="n"/>
      <c r="B888" s="5" t="str">
        <f>IF(A888="","",IFERROR(INDEX('جدول الجرد'!$A$2:$A$29,MATCH(A888,'جدول الجرد'!$B$2:$B$29,0)),""))</f>
        <v/>
      </c>
      <c r="C888" s="5" t="str">
        <f>IF(A888="","",IFERROR(INDEX('جدول الجرد'!$E$2:$E$29,MATCH(A888,'جدول الجرد'!$B$2:$B$29,0)),""))</f>
        <v/>
      </c>
      <c r="D888" s="4" t="n"/>
      <c r="E888" s="4" t="n"/>
      <c r="F888" s="4" t="n"/>
      <c r="G888" s="4" t="n"/>
      <c r="H888" s="5" t="str">
        <f>IF(E888="","",IF(AND(F888="نعم",G888="نعم"),"جرد + مراجعة",IF(F888="نعم","جرد فقط",IF(G888="نعم","مراجعة فقط",""))))</f>
        <v/>
      </c>
      <c r="I888" s="9">
        <f>IF(H888="جرد + مراجعة",الإعدادات!$B$2,IF(H888="مراجعة فقط",الإعدادات!$B$3,IF(H888="جرد فقط",الإعدادات!$B$4,0)))</f>
        <v>0</v>
      </c>
    </row>
    <row r="889">
      <c r="A889" s="4" t="n"/>
      <c r="B889" s="5" t="str">
        <f>IF(A889="","",IFERROR(INDEX('جدول الجرد'!$A$2:$A$29,MATCH(A889,'جدول الجرد'!$B$2:$B$29,0)),""))</f>
        <v/>
      </c>
      <c r="C889" s="5" t="str">
        <f>IF(A889="","",IFERROR(INDEX('جدول الجرد'!$E$2:$E$29,MATCH(A889,'جدول الجرد'!$B$2:$B$29,0)),""))</f>
        <v/>
      </c>
      <c r="D889" s="4" t="n"/>
      <c r="E889" s="4" t="n"/>
      <c r="F889" s="4" t="n"/>
      <c r="G889" s="4" t="n"/>
      <c r="H889" s="5" t="str">
        <f>IF(E889="","",IF(AND(F889="نعم",G889="نعم"),"جرد + مراجعة",IF(F889="نعم","جرد فقط",IF(G889="نعم","مراجعة فقط",""))))</f>
        <v/>
      </c>
      <c r="I889" s="9">
        <f>IF(H889="جرد + مراجعة",الإعدادات!$B$2,IF(H889="مراجعة فقط",الإعدادات!$B$3,IF(H889="جرد فقط",الإعدادات!$B$4,0)))</f>
        <v>0</v>
      </c>
    </row>
    <row r="890">
      <c r="A890" s="4" t="n"/>
      <c r="B890" s="5" t="str">
        <f>IF(A890="","",IFERROR(INDEX('جدول الجرد'!$A$2:$A$29,MATCH(A890,'جدول الجرد'!$B$2:$B$29,0)),""))</f>
        <v/>
      </c>
      <c r="C890" s="5" t="str">
        <f>IF(A890="","",IFERROR(INDEX('جدول الجرد'!$E$2:$E$29,MATCH(A890,'جدول الجرد'!$B$2:$B$29,0)),""))</f>
        <v/>
      </c>
      <c r="D890" s="4" t="n"/>
      <c r="E890" s="4" t="n"/>
      <c r="F890" s="4" t="n"/>
      <c r="G890" s="4" t="n"/>
      <c r="H890" s="5" t="str">
        <f>IF(E890="","",IF(AND(F890="نعم",G890="نعم"),"جرد + مراجعة",IF(F890="نعم","جرد فقط",IF(G890="نعم","مراجعة فقط",""))))</f>
        <v/>
      </c>
      <c r="I890" s="9">
        <f>IF(H890="جرد + مراجعة",الإعدادات!$B$2,IF(H890="مراجعة فقط",الإعدادات!$B$3,IF(H890="جرد فقط",الإعدادات!$B$4,0)))</f>
        <v>0</v>
      </c>
    </row>
    <row r="891">
      <c r="A891" s="4" t="n"/>
      <c r="B891" s="5" t="str">
        <f>IF(A891="","",IFERROR(INDEX('جدول الجرد'!$A$2:$A$29,MATCH(A891,'جدول الجرد'!$B$2:$B$29,0)),""))</f>
        <v/>
      </c>
      <c r="C891" s="5" t="str">
        <f>IF(A891="","",IFERROR(INDEX('جدول الجرد'!$E$2:$E$29,MATCH(A891,'جدول الجرد'!$B$2:$B$29,0)),""))</f>
        <v/>
      </c>
      <c r="D891" s="4" t="n"/>
      <c r="E891" s="4" t="n"/>
      <c r="F891" s="4" t="n"/>
      <c r="G891" s="4" t="n"/>
      <c r="H891" s="5" t="str">
        <f>IF(E891="","",IF(AND(F891="نعم",G891="نعم"),"جرد + مراجعة",IF(F891="نعم","جرد فقط",IF(G891="نعم","مراجعة فقط",""))))</f>
        <v/>
      </c>
      <c r="I891" s="9">
        <f>IF(H891="جرد + مراجعة",الإعدادات!$B$2,IF(H891="مراجعة فقط",الإعدادات!$B$3,IF(H891="جرد فقط",الإعدادات!$B$4,0)))</f>
        <v>0</v>
      </c>
    </row>
    <row r="892">
      <c r="A892" s="4" t="n"/>
      <c r="B892" s="5" t="str">
        <f>IF(A892="","",IFERROR(INDEX('جدول الجرد'!$A$2:$A$29,MATCH(A892,'جدول الجرد'!$B$2:$B$29,0)),""))</f>
        <v/>
      </c>
      <c r="C892" s="5" t="str">
        <f>IF(A892="","",IFERROR(INDEX('جدول الجرد'!$E$2:$E$29,MATCH(A892,'جدول الجرد'!$B$2:$B$29,0)),""))</f>
        <v/>
      </c>
      <c r="D892" s="4" t="n"/>
      <c r="E892" s="4" t="n"/>
      <c r="F892" s="4" t="n"/>
      <c r="G892" s="4" t="n"/>
      <c r="H892" s="5" t="str">
        <f>IF(E892="","",IF(AND(F892="نعم",G892="نعم"),"جرد + مراجعة",IF(F892="نعم","جرد فقط",IF(G892="نعم","مراجعة فقط",""))))</f>
        <v/>
      </c>
      <c r="I892" s="9">
        <f>IF(H892="جرد + مراجعة",الإعدادات!$B$2,IF(H892="مراجعة فقط",الإعدادات!$B$3,IF(H892="جرد فقط",الإعدادات!$B$4,0)))</f>
        <v>0</v>
      </c>
    </row>
    <row r="893">
      <c r="A893" s="4" t="n"/>
      <c r="B893" s="5" t="str">
        <f>IF(A893="","",IFERROR(INDEX('جدول الجرد'!$A$2:$A$29,MATCH(A893,'جدول الجرد'!$B$2:$B$29,0)),""))</f>
        <v/>
      </c>
      <c r="C893" s="5" t="str">
        <f>IF(A893="","",IFERROR(INDEX('جدول الجرد'!$E$2:$E$29,MATCH(A893,'جدول الجرد'!$B$2:$B$29,0)),""))</f>
        <v/>
      </c>
      <c r="D893" s="4" t="n"/>
      <c r="E893" s="4" t="n"/>
      <c r="F893" s="4" t="n"/>
      <c r="G893" s="4" t="n"/>
      <c r="H893" s="5" t="str">
        <f>IF(E893="","",IF(AND(F893="نعم",G893="نعم"),"جرد + مراجعة",IF(F893="نعم","جرد فقط",IF(G893="نعم","مراجعة فقط",""))))</f>
        <v/>
      </c>
      <c r="I893" s="9">
        <f>IF(H893="جرد + مراجعة",الإعدادات!$B$2,IF(H893="مراجعة فقط",الإعدادات!$B$3,IF(H893="جرد فقط",الإعدادات!$B$4,0)))</f>
        <v>0</v>
      </c>
    </row>
    <row r="894">
      <c r="A894" s="4" t="n"/>
      <c r="B894" s="5" t="str">
        <f>IF(A894="","",IFERROR(INDEX('جدول الجرد'!$A$2:$A$29,MATCH(A894,'جدول الجرد'!$B$2:$B$29,0)),""))</f>
        <v/>
      </c>
      <c r="C894" s="5" t="str">
        <f>IF(A894="","",IFERROR(INDEX('جدول الجرد'!$E$2:$E$29,MATCH(A894,'جدول الجرد'!$B$2:$B$29,0)),""))</f>
        <v/>
      </c>
      <c r="D894" s="4" t="n"/>
      <c r="E894" s="4" t="n"/>
      <c r="F894" s="4" t="n"/>
      <c r="G894" s="4" t="n"/>
      <c r="H894" s="5" t="str">
        <f>IF(E894="","",IF(AND(F894="نعم",G894="نعم"),"جرد + مراجعة",IF(F894="نعم","جرد فقط",IF(G894="نعم","مراجعة فقط",""))))</f>
        <v/>
      </c>
      <c r="I894" s="9">
        <f>IF(H894="جرد + مراجعة",الإعدادات!$B$2,IF(H894="مراجعة فقط",الإعدادات!$B$3,IF(H894="جرد فقط",الإعدادات!$B$4,0)))</f>
        <v>0</v>
      </c>
    </row>
    <row r="895">
      <c r="A895" s="4" t="n"/>
      <c r="B895" s="5" t="str">
        <f>IF(A895="","",IFERROR(INDEX('جدول الجرد'!$A$2:$A$29,MATCH(A895,'جدول الجرد'!$B$2:$B$29,0)),""))</f>
        <v/>
      </c>
      <c r="C895" s="5" t="str">
        <f>IF(A895="","",IFERROR(INDEX('جدول الجرد'!$E$2:$E$29,MATCH(A895,'جدول الجرد'!$B$2:$B$29,0)),""))</f>
        <v/>
      </c>
      <c r="D895" s="4" t="n"/>
      <c r="E895" s="4" t="n"/>
      <c r="F895" s="4" t="n"/>
      <c r="G895" s="4" t="n"/>
      <c r="H895" s="5" t="str">
        <f>IF(E895="","",IF(AND(F895="نعم",G895="نعم"),"جرد + مراجعة",IF(F895="نعم","جرد فقط",IF(G895="نعم","مراجعة فقط",""))))</f>
        <v/>
      </c>
      <c r="I895" s="9">
        <f>IF(H895="جرد + مراجعة",الإعدادات!$B$2,IF(H895="مراجعة فقط",الإعدادات!$B$3,IF(H895="جرد فقط",الإعدادات!$B$4,0)))</f>
        <v>0</v>
      </c>
    </row>
    <row r="896">
      <c r="A896" s="4" t="n"/>
      <c r="B896" s="5" t="str">
        <f>IF(A896="","",IFERROR(INDEX('جدول الجرد'!$A$2:$A$29,MATCH(A896,'جدول الجرد'!$B$2:$B$29,0)),""))</f>
        <v/>
      </c>
      <c r="C896" s="5" t="str">
        <f>IF(A896="","",IFERROR(INDEX('جدول الجرد'!$E$2:$E$29,MATCH(A896,'جدول الجرد'!$B$2:$B$29,0)),""))</f>
        <v/>
      </c>
      <c r="D896" s="4" t="n"/>
      <c r="E896" s="4" t="n"/>
      <c r="F896" s="4" t="n"/>
      <c r="G896" s="4" t="n"/>
      <c r="H896" s="5" t="str">
        <f>IF(E896="","",IF(AND(F896="نعم",G896="نعم"),"جرد + مراجعة",IF(F896="نعم","جرد فقط",IF(G896="نعم","مراجعة فقط",""))))</f>
        <v/>
      </c>
      <c r="I896" s="9">
        <f>IF(H896="جرد + مراجعة",الإعدادات!$B$2,IF(H896="مراجعة فقط",الإعدادات!$B$3,IF(H896="جرد فقط",الإعدادات!$B$4,0)))</f>
        <v>0</v>
      </c>
    </row>
    <row r="897">
      <c r="A897" s="4" t="n"/>
      <c r="B897" s="5" t="str">
        <f>IF(A897="","",IFERROR(INDEX('جدول الجرد'!$A$2:$A$29,MATCH(A897,'جدول الجرد'!$B$2:$B$29,0)),""))</f>
        <v/>
      </c>
      <c r="C897" s="5" t="str">
        <f>IF(A897="","",IFERROR(INDEX('جدول الجرد'!$E$2:$E$29,MATCH(A897,'جدول الجرد'!$B$2:$B$29,0)),""))</f>
        <v/>
      </c>
      <c r="D897" s="4" t="n"/>
      <c r="E897" s="4" t="n"/>
      <c r="F897" s="4" t="n"/>
      <c r="G897" s="4" t="n"/>
      <c r="H897" s="5" t="str">
        <f>IF(E897="","",IF(AND(F897="نعم",G897="نعم"),"جرد + مراجعة",IF(F897="نعم","جرد فقط",IF(G897="نعم","مراجعة فقط",""))))</f>
        <v/>
      </c>
      <c r="I897" s="9">
        <f>IF(H897="جرد + مراجعة",الإعدادات!$B$2,IF(H897="مراجعة فقط",الإعدادات!$B$3,IF(H897="جرد فقط",الإعدادات!$B$4,0)))</f>
        <v>0</v>
      </c>
    </row>
    <row r="898">
      <c r="A898" s="4" t="n"/>
      <c r="B898" s="5" t="str">
        <f>IF(A898="","",IFERROR(INDEX('جدول الجرد'!$A$2:$A$29,MATCH(A898,'جدول الجرد'!$B$2:$B$29,0)),""))</f>
        <v/>
      </c>
      <c r="C898" s="5" t="str">
        <f>IF(A898="","",IFERROR(INDEX('جدول الجرد'!$E$2:$E$29,MATCH(A898,'جدول الجرد'!$B$2:$B$29,0)),""))</f>
        <v/>
      </c>
      <c r="D898" s="4" t="n"/>
      <c r="E898" s="4" t="n"/>
      <c r="F898" s="4" t="n"/>
      <c r="G898" s="4" t="n"/>
      <c r="H898" s="5" t="str">
        <f>IF(E898="","",IF(AND(F898="نعم",G898="نعم"),"جرد + مراجعة",IF(F898="نعم","جرد فقط",IF(G898="نعم","مراجعة فقط",""))))</f>
        <v/>
      </c>
      <c r="I898" s="9">
        <f>IF(H898="جرد + مراجعة",الإعدادات!$B$2,IF(H898="مراجعة فقط",الإعدادات!$B$3,IF(H898="جرد فقط",الإعدادات!$B$4,0)))</f>
        <v>0</v>
      </c>
    </row>
    <row r="899">
      <c r="A899" s="4" t="n"/>
      <c r="B899" s="5" t="str">
        <f>IF(A899="","",IFERROR(INDEX('جدول الجرد'!$A$2:$A$29,MATCH(A899,'جدول الجرد'!$B$2:$B$29,0)),""))</f>
        <v/>
      </c>
      <c r="C899" s="5" t="str">
        <f>IF(A899="","",IFERROR(INDEX('جدول الجرد'!$E$2:$E$29,MATCH(A899,'جدول الجرد'!$B$2:$B$29,0)),""))</f>
        <v/>
      </c>
      <c r="D899" s="4" t="n"/>
      <c r="E899" s="4" t="n"/>
      <c r="F899" s="4" t="n"/>
      <c r="G899" s="4" t="n"/>
      <c r="H899" s="5" t="str">
        <f>IF(E899="","",IF(AND(F899="نعم",G899="نعم"),"جرد + مراجعة",IF(F899="نعم","جرد فقط",IF(G899="نعم","مراجعة فقط",""))))</f>
        <v/>
      </c>
      <c r="I899" s="9">
        <f>IF(H899="جرد + مراجعة",الإعدادات!$B$2,IF(H899="مراجعة فقط",الإعدادات!$B$3,IF(H899="جرد فقط",الإعدادات!$B$4,0)))</f>
        <v>0</v>
      </c>
    </row>
    <row r="900">
      <c r="A900" s="4" t="n"/>
      <c r="B900" s="5" t="str">
        <f>IF(A900="","",IFERROR(INDEX('جدول الجرد'!$A$2:$A$29,MATCH(A900,'جدول الجرد'!$B$2:$B$29,0)),""))</f>
        <v/>
      </c>
      <c r="C900" s="5" t="str">
        <f>IF(A900="","",IFERROR(INDEX('جدول الجرد'!$E$2:$E$29,MATCH(A900,'جدول الجرد'!$B$2:$B$29,0)),""))</f>
        <v/>
      </c>
      <c r="D900" s="4" t="n"/>
      <c r="E900" s="4" t="n"/>
      <c r="F900" s="4" t="n"/>
      <c r="G900" s="4" t="n"/>
      <c r="H900" s="5" t="str">
        <f>IF(E900="","",IF(AND(F900="نعم",G900="نعم"),"جرد + مراجعة",IF(F900="نعم","جرد فقط",IF(G900="نعم","مراجعة فقط",""))))</f>
        <v/>
      </c>
      <c r="I900" s="9">
        <f>IF(H900="جرد + مراجعة",الإعدادات!$B$2,IF(H900="مراجعة فقط",الإعدادات!$B$3,IF(H900="جرد فقط",الإعدادات!$B$4,0)))</f>
        <v>0</v>
      </c>
    </row>
    <row r="901">
      <c r="A901" s="4" t="n"/>
      <c r="B901" s="5" t="str">
        <f>IF(A901="","",IFERROR(INDEX('جدول الجرد'!$A$2:$A$29,MATCH(A901,'جدول الجرد'!$B$2:$B$29,0)),""))</f>
        <v/>
      </c>
      <c r="C901" s="5" t="str">
        <f>IF(A901="","",IFERROR(INDEX('جدول الجرد'!$E$2:$E$29,MATCH(A901,'جدول الجرد'!$B$2:$B$29,0)),""))</f>
        <v/>
      </c>
      <c r="D901" s="4" t="n"/>
      <c r="E901" s="4" t="n"/>
      <c r="F901" s="4" t="n"/>
      <c r="G901" s="4" t="n"/>
      <c r="H901" s="5" t="str">
        <f>IF(E901="","",IF(AND(F901="نعم",G901="نعم"),"جرد + مراجعة",IF(F901="نعم","جرد فقط",IF(G901="نعم","مراجعة فقط",""))))</f>
        <v/>
      </c>
      <c r="I901" s="9">
        <f>IF(H901="جرد + مراجعة",الإعدادات!$B$2,IF(H901="مراجعة فقط",الإعدادات!$B$3,IF(H901="جرد فقط",الإعدادات!$B$4,0)))</f>
        <v>0</v>
      </c>
    </row>
    <row r="902">
      <c r="A902" s="4" t="n"/>
      <c r="B902" s="5" t="str">
        <f>IF(A902="","",IFERROR(INDEX('جدول الجرد'!$A$2:$A$29,MATCH(A902,'جدول الجرد'!$B$2:$B$29,0)),""))</f>
        <v/>
      </c>
      <c r="C902" s="5" t="str">
        <f>IF(A902="","",IFERROR(INDEX('جدول الجرد'!$E$2:$E$29,MATCH(A902,'جدول الجرد'!$B$2:$B$29,0)),""))</f>
        <v/>
      </c>
      <c r="D902" s="4" t="n"/>
      <c r="E902" s="4" t="n"/>
      <c r="F902" s="4" t="n"/>
      <c r="G902" s="4" t="n"/>
      <c r="H902" s="5" t="str">
        <f>IF(E902="","",IF(AND(F902="نعم",G902="نعم"),"جرد + مراجعة",IF(F902="نعم","جرد فقط",IF(G902="نعم","مراجعة فقط",""))))</f>
        <v/>
      </c>
      <c r="I902" s="9">
        <f>IF(H902="جرد + مراجعة",الإعدادات!$B$2,IF(H902="مراجعة فقط",الإعدادات!$B$3,IF(H902="جرد فقط",الإعدادات!$B$4,0)))</f>
        <v>0</v>
      </c>
    </row>
    <row r="903">
      <c r="A903" s="4" t="n"/>
      <c r="B903" s="5" t="str">
        <f>IF(A903="","",IFERROR(INDEX('جدول الجرد'!$A$2:$A$29,MATCH(A903,'جدول الجرد'!$B$2:$B$29,0)),""))</f>
        <v/>
      </c>
      <c r="C903" s="5" t="str">
        <f>IF(A903="","",IFERROR(INDEX('جدول الجرد'!$E$2:$E$29,MATCH(A903,'جدول الجرد'!$B$2:$B$29,0)),""))</f>
        <v/>
      </c>
      <c r="D903" s="4" t="n"/>
      <c r="E903" s="4" t="n"/>
      <c r="F903" s="4" t="n"/>
      <c r="G903" s="4" t="n"/>
      <c r="H903" s="5" t="str">
        <f>IF(E903="","",IF(AND(F903="نعم",G903="نعم"),"جرد + مراجعة",IF(F903="نعم","جرد فقط",IF(G903="نعم","مراجعة فقط",""))))</f>
        <v/>
      </c>
      <c r="I903" s="9">
        <f>IF(H903="جرد + مراجعة",الإعدادات!$B$2,IF(H903="مراجعة فقط",الإعدادات!$B$3,IF(H903="جرد فقط",الإعدادات!$B$4,0)))</f>
        <v>0</v>
      </c>
    </row>
    <row r="904">
      <c r="A904" s="4" t="n"/>
      <c r="B904" s="5" t="str">
        <f>IF(A904="","",IFERROR(INDEX('جدول الجرد'!$A$2:$A$29,MATCH(A904,'جدول الجرد'!$B$2:$B$29,0)),""))</f>
        <v/>
      </c>
      <c r="C904" s="5" t="str">
        <f>IF(A904="","",IFERROR(INDEX('جدول الجرد'!$E$2:$E$29,MATCH(A904,'جدول الجرد'!$B$2:$B$29,0)),""))</f>
        <v/>
      </c>
      <c r="D904" s="4" t="n"/>
      <c r="E904" s="4" t="n"/>
      <c r="F904" s="4" t="n"/>
      <c r="G904" s="4" t="n"/>
      <c r="H904" s="5" t="str">
        <f>IF(E904="","",IF(AND(F904="نعم",G904="نعم"),"جرد + مراجعة",IF(F904="نعم","جرد فقط",IF(G904="نعم","مراجعة فقط",""))))</f>
        <v/>
      </c>
      <c r="I904" s="9">
        <f>IF(H904="جرد + مراجعة",الإعدادات!$B$2,IF(H904="مراجعة فقط",الإعدادات!$B$3,IF(H904="جرد فقط",الإعدادات!$B$4,0)))</f>
        <v>0</v>
      </c>
    </row>
    <row r="905">
      <c r="A905" s="4" t="n"/>
      <c r="B905" s="5" t="str">
        <f>IF(A905="","",IFERROR(INDEX('جدول الجرد'!$A$2:$A$29,MATCH(A905,'جدول الجرد'!$B$2:$B$29,0)),""))</f>
        <v/>
      </c>
      <c r="C905" s="5" t="str">
        <f>IF(A905="","",IFERROR(INDEX('جدول الجرد'!$E$2:$E$29,MATCH(A905,'جدول الجرد'!$B$2:$B$29,0)),""))</f>
        <v/>
      </c>
      <c r="D905" s="4" t="n"/>
      <c r="E905" s="4" t="n"/>
      <c r="F905" s="4" t="n"/>
      <c r="G905" s="4" t="n"/>
      <c r="H905" s="5" t="str">
        <f>IF(E905="","",IF(AND(F905="نعم",G905="نعم"),"جرد + مراجعة",IF(F905="نعم","جرد فقط",IF(G905="نعم","مراجعة فقط",""))))</f>
        <v/>
      </c>
      <c r="I905" s="9">
        <f>IF(H905="جرد + مراجعة",الإعدادات!$B$2,IF(H905="مراجعة فقط",الإعدادات!$B$3,IF(H905="جرد فقط",الإعدادات!$B$4,0)))</f>
        <v>0</v>
      </c>
    </row>
    <row r="906">
      <c r="A906" s="4" t="n"/>
      <c r="B906" s="5" t="str">
        <f>IF(A906="","",IFERROR(INDEX('جدول الجرد'!$A$2:$A$29,MATCH(A906,'جدول الجرد'!$B$2:$B$29,0)),""))</f>
        <v/>
      </c>
      <c r="C906" s="5" t="str">
        <f>IF(A906="","",IFERROR(INDEX('جدول الجرد'!$E$2:$E$29,MATCH(A906,'جدول الجرد'!$B$2:$B$29,0)),""))</f>
        <v/>
      </c>
      <c r="D906" s="4" t="n"/>
      <c r="E906" s="4" t="n"/>
      <c r="F906" s="4" t="n"/>
      <c r="G906" s="4" t="n"/>
      <c r="H906" s="5" t="str">
        <f>IF(E906="","",IF(AND(F906="نعم",G906="نعم"),"جرد + مراجعة",IF(F906="نعم","جرد فقط",IF(G906="نعم","مراجعة فقط",""))))</f>
        <v/>
      </c>
      <c r="I906" s="9">
        <f>IF(H906="جرد + مراجعة",الإعدادات!$B$2,IF(H906="مراجعة فقط",الإعدادات!$B$3,IF(H906="جرد فقط",الإعدادات!$B$4,0)))</f>
        <v>0</v>
      </c>
    </row>
    <row r="907">
      <c r="A907" s="4" t="n"/>
      <c r="B907" s="5" t="str">
        <f>IF(A907="","",IFERROR(INDEX('جدول الجرد'!$A$2:$A$29,MATCH(A907,'جدول الجرد'!$B$2:$B$29,0)),""))</f>
        <v/>
      </c>
      <c r="C907" s="5" t="str">
        <f>IF(A907="","",IFERROR(INDEX('جدول الجرد'!$E$2:$E$29,MATCH(A907,'جدول الجرد'!$B$2:$B$29,0)),""))</f>
        <v/>
      </c>
      <c r="D907" s="4" t="n"/>
      <c r="E907" s="4" t="n"/>
      <c r="F907" s="4" t="n"/>
      <c r="G907" s="4" t="n"/>
      <c r="H907" s="5" t="str">
        <f>IF(E907="","",IF(AND(F907="نعم",G907="نعم"),"جرد + مراجعة",IF(F907="نعم","جرد فقط",IF(G907="نعم","مراجعة فقط",""))))</f>
        <v/>
      </c>
      <c r="I907" s="9">
        <f>IF(H907="جرد + مراجعة",الإعدادات!$B$2,IF(H907="مراجعة فقط",الإعدادات!$B$3,IF(H907="جرد فقط",الإعدادات!$B$4,0)))</f>
        <v>0</v>
      </c>
    </row>
    <row r="908">
      <c r="A908" s="4" t="n"/>
      <c r="B908" s="5" t="str">
        <f>IF(A908="","",IFERROR(INDEX('جدول الجرد'!$A$2:$A$29,MATCH(A908,'جدول الجرد'!$B$2:$B$29,0)),""))</f>
        <v/>
      </c>
      <c r="C908" s="5" t="str">
        <f>IF(A908="","",IFERROR(INDEX('جدول الجرد'!$E$2:$E$29,MATCH(A908,'جدول الجرد'!$B$2:$B$29,0)),""))</f>
        <v/>
      </c>
      <c r="D908" s="4" t="n"/>
      <c r="E908" s="4" t="n"/>
      <c r="F908" s="4" t="n"/>
      <c r="G908" s="4" t="n"/>
      <c r="H908" s="5" t="str">
        <f>IF(E908="","",IF(AND(F908="نعم",G908="نعم"),"جرد + مراجعة",IF(F908="نعم","جرد فقط",IF(G908="نعم","مراجعة فقط",""))))</f>
        <v/>
      </c>
      <c r="I908" s="9">
        <f>IF(H908="جرد + مراجعة",الإعدادات!$B$2,IF(H908="مراجعة فقط",الإعدادات!$B$3,IF(H908="جرد فقط",الإعدادات!$B$4,0)))</f>
        <v>0</v>
      </c>
    </row>
    <row r="909">
      <c r="A909" s="4" t="n"/>
      <c r="B909" s="5" t="str">
        <f>IF(A909="","",IFERROR(INDEX('جدول الجرد'!$A$2:$A$29,MATCH(A909,'جدول الجرد'!$B$2:$B$29,0)),""))</f>
        <v/>
      </c>
      <c r="C909" s="5" t="str">
        <f>IF(A909="","",IFERROR(INDEX('جدول الجرد'!$E$2:$E$29,MATCH(A909,'جدول الجرد'!$B$2:$B$29,0)),""))</f>
        <v/>
      </c>
      <c r="D909" s="4" t="n"/>
      <c r="E909" s="4" t="n"/>
      <c r="F909" s="4" t="n"/>
      <c r="G909" s="4" t="n"/>
      <c r="H909" s="5" t="str">
        <f>IF(E909="","",IF(AND(F909="نعم",G909="نعم"),"جرد + مراجعة",IF(F909="نعم","جرد فقط",IF(G909="نعم","مراجعة فقط",""))))</f>
        <v/>
      </c>
      <c r="I909" s="9">
        <f>IF(H909="جرد + مراجعة",الإعدادات!$B$2,IF(H909="مراجعة فقط",الإعدادات!$B$3,IF(H909="جرد فقط",الإعدادات!$B$4,0)))</f>
        <v>0</v>
      </c>
    </row>
    <row r="910">
      <c r="A910" s="4" t="n"/>
      <c r="B910" s="5" t="str">
        <f>IF(A910="","",IFERROR(INDEX('جدول الجرد'!$A$2:$A$29,MATCH(A910,'جدول الجرد'!$B$2:$B$29,0)),""))</f>
        <v/>
      </c>
      <c r="C910" s="5" t="str">
        <f>IF(A910="","",IFERROR(INDEX('جدول الجرد'!$E$2:$E$29,MATCH(A910,'جدول الجرد'!$B$2:$B$29,0)),""))</f>
        <v/>
      </c>
      <c r="D910" s="4" t="n"/>
      <c r="E910" s="4" t="n"/>
      <c r="F910" s="4" t="n"/>
      <c r="G910" s="4" t="n"/>
      <c r="H910" s="5" t="str">
        <f>IF(E910="","",IF(AND(F910="نعم",G910="نعم"),"جرد + مراجعة",IF(F910="نعم","جرد فقط",IF(G910="نعم","مراجعة فقط",""))))</f>
        <v/>
      </c>
      <c r="I910" s="9">
        <f>IF(H910="جرد + مراجعة",الإعدادات!$B$2,IF(H910="مراجعة فقط",الإعدادات!$B$3,IF(H910="جرد فقط",الإعدادات!$B$4,0)))</f>
        <v>0</v>
      </c>
    </row>
    <row r="911">
      <c r="A911" s="4" t="n"/>
      <c r="B911" s="5" t="str">
        <f>IF(A911="","",IFERROR(INDEX('جدول الجرد'!$A$2:$A$29,MATCH(A911,'جدول الجرد'!$B$2:$B$29,0)),""))</f>
        <v/>
      </c>
      <c r="C911" s="5" t="str">
        <f>IF(A911="","",IFERROR(INDEX('جدول الجرد'!$E$2:$E$29,MATCH(A911,'جدول الجرد'!$B$2:$B$29,0)),""))</f>
        <v/>
      </c>
      <c r="D911" s="4" t="n"/>
      <c r="E911" s="4" t="n"/>
      <c r="F911" s="4" t="n"/>
      <c r="G911" s="4" t="n"/>
      <c r="H911" s="5" t="str">
        <f>IF(E911="","",IF(AND(F911="نعم",G911="نعم"),"جرد + مراجعة",IF(F911="نعم","جرد فقط",IF(G911="نعم","مراجعة فقط",""))))</f>
        <v/>
      </c>
      <c r="I911" s="9">
        <f>IF(H911="جرد + مراجعة",الإعدادات!$B$2,IF(H911="مراجعة فقط",الإعدادات!$B$3,IF(H911="جرد فقط",الإعدادات!$B$4,0)))</f>
        <v>0</v>
      </c>
    </row>
    <row r="912">
      <c r="A912" s="4" t="n"/>
      <c r="B912" s="5" t="str">
        <f>IF(A912="","",IFERROR(INDEX('جدول الجرد'!$A$2:$A$29,MATCH(A912,'جدول الجرد'!$B$2:$B$29,0)),""))</f>
        <v/>
      </c>
      <c r="C912" s="5" t="str">
        <f>IF(A912="","",IFERROR(INDEX('جدول الجرد'!$E$2:$E$29,MATCH(A912,'جدول الجرد'!$B$2:$B$29,0)),""))</f>
        <v/>
      </c>
      <c r="D912" s="4" t="n"/>
      <c r="E912" s="4" t="n"/>
      <c r="F912" s="4" t="n"/>
      <c r="G912" s="4" t="n"/>
      <c r="H912" s="5" t="str">
        <f>IF(E912="","",IF(AND(F912="نعم",G912="نعم"),"جرد + مراجعة",IF(F912="نعم","جرد فقط",IF(G912="نعم","مراجعة فقط",""))))</f>
        <v/>
      </c>
      <c r="I912" s="9">
        <f>IF(H912="جرد + مراجعة",الإعدادات!$B$2,IF(H912="مراجعة فقط",الإعدادات!$B$3,IF(H912="جرد فقط",الإعدادات!$B$4,0)))</f>
        <v>0</v>
      </c>
    </row>
    <row r="913">
      <c r="A913" s="4" t="n"/>
      <c r="B913" s="5" t="str">
        <f>IF(A913="","",IFERROR(INDEX('جدول الجرد'!$A$2:$A$29,MATCH(A913,'جدول الجرد'!$B$2:$B$29,0)),""))</f>
        <v/>
      </c>
      <c r="C913" s="5" t="str">
        <f>IF(A913="","",IFERROR(INDEX('جدول الجرد'!$E$2:$E$29,MATCH(A913,'جدول الجرد'!$B$2:$B$29,0)),""))</f>
        <v/>
      </c>
      <c r="D913" s="4" t="n"/>
      <c r="E913" s="4" t="n"/>
      <c r="F913" s="4" t="n"/>
      <c r="G913" s="4" t="n"/>
      <c r="H913" s="5" t="str">
        <f>IF(E913="","",IF(AND(F913="نعم",G913="نعم"),"جرد + مراجعة",IF(F913="نعم","جرد فقط",IF(G913="نعم","مراجعة فقط",""))))</f>
        <v/>
      </c>
      <c r="I913" s="9">
        <f>IF(H913="جرد + مراجعة",الإعدادات!$B$2,IF(H913="مراجعة فقط",الإعدادات!$B$3,IF(H913="جرد فقط",الإعدادات!$B$4,0)))</f>
        <v>0</v>
      </c>
    </row>
    <row r="914">
      <c r="A914" s="4" t="n"/>
      <c r="B914" s="5" t="str">
        <f>IF(A914="","",IFERROR(INDEX('جدول الجرد'!$A$2:$A$29,MATCH(A914,'جدول الجرد'!$B$2:$B$29,0)),""))</f>
        <v/>
      </c>
      <c r="C914" s="5" t="str">
        <f>IF(A914="","",IFERROR(INDEX('جدول الجرد'!$E$2:$E$29,MATCH(A914,'جدول الجرد'!$B$2:$B$29,0)),""))</f>
        <v/>
      </c>
      <c r="D914" s="4" t="n"/>
      <c r="E914" s="4" t="n"/>
      <c r="F914" s="4" t="n"/>
      <c r="G914" s="4" t="n"/>
      <c r="H914" s="5" t="str">
        <f>IF(E914="","",IF(AND(F914="نعم",G914="نعم"),"جرد + مراجعة",IF(F914="نعم","جرد فقط",IF(G914="نعم","مراجعة فقط",""))))</f>
        <v/>
      </c>
      <c r="I914" s="9">
        <f>IF(H914="جرد + مراجعة",الإعدادات!$B$2,IF(H914="مراجعة فقط",الإعدادات!$B$3,IF(H914="جرد فقط",الإعدادات!$B$4,0)))</f>
        <v>0</v>
      </c>
    </row>
    <row r="915">
      <c r="A915" s="4" t="n"/>
      <c r="B915" s="5" t="str">
        <f>IF(A915="","",IFERROR(INDEX('جدول الجرد'!$A$2:$A$29,MATCH(A915,'جدول الجرد'!$B$2:$B$29,0)),""))</f>
        <v/>
      </c>
      <c r="C915" s="5" t="str">
        <f>IF(A915="","",IFERROR(INDEX('جدول الجرد'!$E$2:$E$29,MATCH(A915,'جدول الجرد'!$B$2:$B$29,0)),""))</f>
        <v/>
      </c>
      <c r="D915" s="4" t="n"/>
      <c r="E915" s="4" t="n"/>
      <c r="F915" s="4" t="n"/>
      <c r="G915" s="4" t="n"/>
      <c r="H915" s="5" t="str">
        <f>IF(E915="","",IF(AND(F915="نعم",G915="نعم"),"جرد + مراجعة",IF(F915="نعم","جرد فقط",IF(G915="نعم","مراجعة فقط",""))))</f>
        <v/>
      </c>
      <c r="I915" s="9">
        <f>IF(H915="جرد + مراجعة",الإعدادات!$B$2,IF(H915="مراجعة فقط",الإعدادات!$B$3,IF(H915="جرد فقط",الإعدادات!$B$4,0)))</f>
        <v>0</v>
      </c>
    </row>
    <row r="916">
      <c r="A916" s="4" t="n"/>
      <c r="B916" s="5" t="str">
        <f>IF(A916="","",IFERROR(INDEX('جدول الجرد'!$A$2:$A$29,MATCH(A916,'جدول الجرد'!$B$2:$B$29,0)),""))</f>
        <v/>
      </c>
      <c r="C916" s="5" t="str">
        <f>IF(A916="","",IFERROR(INDEX('جدول الجرد'!$E$2:$E$29,MATCH(A916,'جدول الجرد'!$B$2:$B$29,0)),""))</f>
        <v/>
      </c>
      <c r="D916" s="4" t="n"/>
      <c r="E916" s="4" t="n"/>
      <c r="F916" s="4" t="n"/>
      <c r="G916" s="4" t="n"/>
      <c r="H916" s="5" t="str">
        <f>IF(E916="","",IF(AND(F916="نعم",G916="نعم"),"جرد + مراجعة",IF(F916="نعم","جرد فقط",IF(G916="نعم","مراجعة فقط",""))))</f>
        <v/>
      </c>
      <c r="I916" s="9">
        <f>IF(H916="جرد + مراجعة",الإعدادات!$B$2,IF(H916="مراجعة فقط",الإعدادات!$B$3,IF(H916="جرد فقط",الإعدادات!$B$4,0)))</f>
        <v>0</v>
      </c>
    </row>
    <row r="917">
      <c r="A917" s="4" t="n"/>
      <c r="B917" s="5" t="str">
        <f>IF(A917="","",IFERROR(INDEX('جدول الجرد'!$A$2:$A$29,MATCH(A917,'جدول الجرد'!$B$2:$B$29,0)),""))</f>
        <v/>
      </c>
      <c r="C917" s="5" t="str">
        <f>IF(A917="","",IFERROR(INDEX('جدول الجرد'!$E$2:$E$29,MATCH(A917,'جدول الجرد'!$B$2:$B$29,0)),""))</f>
        <v/>
      </c>
      <c r="D917" s="4" t="n"/>
      <c r="E917" s="4" t="n"/>
      <c r="F917" s="4" t="n"/>
      <c r="G917" s="4" t="n"/>
      <c r="H917" s="5" t="str">
        <f>IF(E917="","",IF(AND(F917="نعم",G917="نعم"),"جرد + مراجعة",IF(F917="نعم","جرد فقط",IF(G917="نعم","مراجعة فقط",""))))</f>
        <v/>
      </c>
      <c r="I917" s="9">
        <f>IF(H917="جرد + مراجعة",الإعدادات!$B$2,IF(H917="مراجعة فقط",الإعدادات!$B$3,IF(H917="جرد فقط",الإعدادات!$B$4,0)))</f>
        <v>0</v>
      </c>
    </row>
    <row r="918">
      <c r="A918" s="4" t="n"/>
      <c r="B918" s="5" t="str">
        <f>IF(A918="","",IFERROR(INDEX('جدول الجرد'!$A$2:$A$29,MATCH(A918,'جدول الجرد'!$B$2:$B$29,0)),""))</f>
        <v/>
      </c>
      <c r="C918" s="5" t="str">
        <f>IF(A918="","",IFERROR(INDEX('جدول الجرد'!$E$2:$E$29,MATCH(A918,'جدول الجرد'!$B$2:$B$29,0)),""))</f>
        <v/>
      </c>
      <c r="D918" s="4" t="n"/>
      <c r="E918" s="4" t="n"/>
      <c r="F918" s="4" t="n"/>
      <c r="G918" s="4" t="n"/>
      <c r="H918" s="5" t="str">
        <f>IF(E918="","",IF(AND(F918="نعم",G918="نعم"),"جرد + مراجعة",IF(F918="نعم","جرد فقط",IF(G918="نعم","مراجعة فقط",""))))</f>
        <v/>
      </c>
      <c r="I918" s="9">
        <f>IF(H918="جرد + مراجعة",الإعدادات!$B$2,IF(H918="مراجعة فقط",الإعدادات!$B$3,IF(H918="جرد فقط",الإعدادات!$B$4,0)))</f>
        <v>0</v>
      </c>
    </row>
    <row r="919">
      <c r="A919" s="4" t="n"/>
      <c r="B919" s="5" t="str">
        <f>IF(A919="","",IFERROR(INDEX('جدول الجرد'!$A$2:$A$29,MATCH(A919,'جدول الجرد'!$B$2:$B$29,0)),""))</f>
        <v/>
      </c>
      <c r="C919" s="5" t="str">
        <f>IF(A919="","",IFERROR(INDEX('جدول الجرد'!$E$2:$E$29,MATCH(A919,'جدول الجرد'!$B$2:$B$29,0)),""))</f>
        <v/>
      </c>
      <c r="D919" s="4" t="n"/>
      <c r="E919" s="4" t="n"/>
      <c r="F919" s="4" t="n"/>
      <c r="G919" s="4" t="n"/>
      <c r="H919" s="5" t="str">
        <f>IF(E919="","",IF(AND(F919="نعم",G919="نعم"),"جرد + مراجعة",IF(F919="نعم","جرد فقط",IF(G919="نعم","مراجعة فقط",""))))</f>
        <v/>
      </c>
      <c r="I919" s="9">
        <f>IF(H919="جرد + مراجعة",الإعدادات!$B$2,IF(H919="مراجعة فقط",الإعدادات!$B$3,IF(H919="جرد فقط",الإعدادات!$B$4,0)))</f>
        <v>0</v>
      </c>
    </row>
    <row r="920">
      <c r="A920" s="4" t="n"/>
      <c r="B920" s="5" t="str">
        <f>IF(A920="","",IFERROR(INDEX('جدول الجرد'!$A$2:$A$29,MATCH(A920,'جدول الجرد'!$B$2:$B$29,0)),""))</f>
        <v/>
      </c>
      <c r="C920" s="5" t="str">
        <f>IF(A920="","",IFERROR(INDEX('جدول الجرد'!$E$2:$E$29,MATCH(A920,'جدول الجرد'!$B$2:$B$29,0)),""))</f>
        <v/>
      </c>
      <c r="D920" s="4" t="n"/>
      <c r="E920" s="4" t="n"/>
      <c r="F920" s="4" t="n"/>
      <c r="G920" s="4" t="n"/>
      <c r="H920" s="5" t="str">
        <f>IF(E920="","",IF(AND(F920="نعم",G920="نعم"),"جرد + مراجعة",IF(F920="نعم","جرد فقط",IF(G920="نعم","مراجعة فقط",""))))</f>
        <v/>
      </c>
      <c r="I920" s="9">
        <f>IF(H920="جرد + مراجعة",الإعدادات!$B$2,IF(H920="مراجعة فقط",الإعدادات!$B$3,IF(H920="جرد فقط",الإعدادات!$B$4,0)))</f>
        <v>0</v>
      </c>
    </row>
    <row r="921">
      <c r="A921" s="4" t="n"/>
      <c r="B921" s="5" t="str">
        <f>IF(A921="","",IFERROR(INDEX('جدول الجرد'!$A$2:$A$29,MATCH(A921,'جدول الجرد'!$B$2:$B$29,0)),""))</f>
        <v/>
      </c>
      <c r="C921" s="5" t="str">
        <f>IF(A921="","",IFERROR(INDEX('جدول الجرد'!$E$2:$E$29,MATCH(A921,'جدول الجرد'!$B$2:$B$29,0)),""))</f>
        <v/>
      </c>
      <c r="D921" s="4" t="n"/>
      <c r="E921" s="4" t="n"/>
      <c r="F921" s="4" t="n"/>
      <c r="G921" s="4" t="n"/>
      <c r="H921" s="5" t="str">
        <f>IF(E921="","",IF(AND(F921="نعم",G921="نعم"),"جرد + مراجعة",IF(F921="نعم","جرد فقط",IF(G921="نعم","مراجعة فقط",""))))</f>
        <v/>
      </c>
      <c r="I921" s="9">
        <f>IF(H921="جرد + مراجعة",الإعدادات!$B$2,IF(H921="مراجعة فقط",الإعدادات!$B$3,IF(H921="جرد فقط",الإعدادات!$B$4,0)))</f>
        <v>0</v>
      </c>
    </row>
    <row r="922">
      <c r="A922" s="4" t="n"/>
      <c r="B922" s="5" t="str">
        <f>IF(A922="","",IFERROR(INDEX('جدول الجرد'!$A$2:$A$29,MATCH(A922,'جدول الجرد'!$B$2:$B$29,0)),""))</f>
        <v/>
      </c>
      <c r="C922" s="5" t="str">
        <f>IF(A922="","",IFERROR(INDEX('جدول الجرد'!$E$2:$E$29,MATCH(A922,'جدول الجرد'!$B$2:$B$29,0)),""))</f>
        <v/>
      </c>
      <c r="D922" s="4" t="n"/>
      <c r="E922" s="4" t="n"/>
      <c r="F922" s="4" t="n"/>
      <c r="G922" s="4" t="n"/>
      <c r="H922" s="5" t="str">
        <f>IF(E922="","",IF(AND(F922="نعم",G922="نعم"),"جرد + مراجعة",IF(F922="نعم","جرد فقط",IF(G922="نعم","مراجعة فقط",""))))</f>
        <v/>
      </c>
      <c r="I922" s="9">
        <f>IF(H922="جرد + مراجعة",الإعدادات!$B$2,IF(H922="مراجعة فقط",الإعدادات!$B$3,IF(H922="جرد فقط",الإعدادات!$B$4,0)))</f>
        <v>0</v>
      </c>
    </row>
    <row r="923">
      <c r="A923" s="4" t="n"/>
      <c r="B923" s="5" t="str">
        <f>IF(A923="","",IFERROR(INDEX('جدول الجرد'!$A$2:$A$29,MATCH(A923,'جدول الجرد'!$B$2:$B$29,0)),""))</f>
        <v/>
      </c>
      <c r="C923" s="5" t="str">
        <f>IF(A923="","",IFERROR(INDEX('جدول الجرد'!$E$2:$E$29,MATCH(A923,'جدول الجرد'!$B$2:$B$29,0)),""))</f>
        <v/>
      </c>
      <c r="D923" s="4" t="n"/>
      <c r="E923" s="4" t="n"/>
      <c r="F923" s="4" t="n"/>
      <c r="G923" s="4" t="n"/>
      <c r="H923" s="5" t="str">
        <f>IF(E923="","",IF(AND(F923="نعم",G923="نعم"),"جرد + مراجعة",IF(F923="نعم","جرد فقط",IF(G923="نعم","مراجعة فقط",""))))</f>
        <v/>
      </c>
      <c r="I923" s="9">
        <f>IF(H923="جرد + مراجعة",الإعدادات!$B$2,IF(H923="مراجعة فقط",الإعدادات!$B$3,IF(H923="جرد فقط",الإعدادات!$B$4,0)))</f>
        <v>0</v>
      </c>
    </row>
    <row r="924">
      <c r="A924" s="4" t="n"/>
      <c r="B924" s="5" t="str">
        <f>IF(A924="","",IFERROR(INDEX('جدول الجرد'!$A$2:$A$29,MATCH(A924,'جدول الجرد'!$B$2:$B$29,0)),""))</f>
        <v/>
      </c>
      <c r="C924" s="5" t="str">
        <f>IF(A924="","",IFERROR(INDEX('جدول الجرد'!$E$2:$E$29,MATCH(A924,'جدول الجرد'!$B$2:$B$29,0)),""))</f>
        <v/>
      </c>
      <c r="D924" s="4" t="n"/>
      <c r="E924" s="4" t="n"/>
      <c r="F924" s="4" t="n"/>
      <c r="G924" s="4" t="n"/>
      <c r="H924" s="5" t="str">
        <f>IF(E924="","",IF(AND(F924="نعم",G924="نعم"),"جرد + مراجعة",IF(F924="نعم","جرد فقط",IF(G924="نعم","مراجعة فقط",""))))</f>
        <v/>
      </c>
      <c r="I924" s="9">
        <f>IF(H924="جرد + مراجعة",الإعدادات!$B$2,IF(H924="مراجعة فقط",الإعدادات!$B$3,IF(H924="جرد فقط",الإعدادات!$B$4,0)))</f>
        <v>0</v>
      </c>
    </row>
    <row r="925">
      <c r="A925" s="4" t="n"/>
      <c r="B925" s="5" t="str">
        <f>IF(A925="","",IFERROR(INDEX('جدول الجرد'!$A$2:$A$29,MATCH(A925,'جدول الجرد'!$B$2:$B$29,0)),""))</f>
        <v/>
      </c>
      <c r="C925" s="5" t="str">
        <f>IF(A925="","",IFERROR(INDEX('جدول الجرد'!$E$2:$E$29,MATCH(A925,'جدول الجرد'!$B$2:$B$29,0)),""))</f>
        <v/>
      </c>
      <c r="D925" s="4" t="n"/>
      <c r="E925" s="4" t="n"/>
      <c r="F925" s="4" t="n"/>
      <c r="G925" s="4" t="n"/>
      <c r="H925" s="5" t="str">
        <f>IF(E925="","",IF(AND(F925="نعم",G925="نعم"),"جرد + مراجعة",IF(F925="نعم","جرد فقط",IF(G925="نعم","مراجعة فقط",""))))</f>
        <v/>
      </c>
      <c r="I925" s="9">
        <f>IF(H925="جرد + مراجعة",الإعدادات!$B$2,IF(H925="مراجعة فقط",الإعدادات!$B$3,IF(H925="جرد فقط",الإعدادات!$B$4,0)))</f>
        <v>0</v>
      </c>
    </row>
    <row r="926">
      <c r="A926" s="4" t="n"/>
      <c r="B926" s="5" t="str">
        <f>IF(A926="","",IFERROR(INDEX('جدول الجرد'!$A$2:$A$29,MATCH(A926,'جدول الجرد'!$B$2:$B$29,0)),""))</f>
        <v/>
      </c>
      <c r="C926" s="5" t="str">
        <f>IF(A926="","",IFERROR(INDEX('جدول الجرد'!$E$2:$E$29,MATCH(A926,'جدول الجرد'!$B$2:$B$29,0)),""))</f>
        <v/>
      </c>
      <c r="D926" s="4" t="n"/>
      <c r="E926" s="4" t="n"/>
      <c r="F926" s="4" t="n"/>
      <c r="G926" s="4" t="n"/>
      <c r="H926" s="5" t="str">
        <f>IF(E926="","",IF(AND(F926="نعم",G926="نعم"),"جرد + مراجعة",IF(F926="نعم","جرد فقط",IF(G926="نعم","مراجعة فقط",""))))</f>
        <v/>
      </c>
      <c r="I926" s="9">
        <f>IF(H926="جرد + مراجعة",الإعدادات!$B$2,IF(H926="مراجعة فقط",الإعدادات!$B$3,IF(H926="جرد فقط",الإعدادات!$B$4,0)))</f>
        <v>0</v>
      </c>
    </row>
    <row r="927">
      <c r="A927" s="4" t="n"/>
      <c r="B927" s="5" t="str">
        <f>IF(A927="","",IFERROR(INDEX('جدول الجرد'!$A$2:$A$29,MATCH(A927,'جدول الجرد'!$B$2:$B$29,0)),""))</f>
        <v/>
      </c>
      <c r="C927" s="5" t="str">
        <f>IF(A927="","",IFERROR(INDEX('جدول الجرد'!$E$2:$E$29,MATCH(A927,'جدول الجرد'!$B$2:$B$29,0)),""))</f>
        <v/>
      </c>
      <c r="D927" s="4" t="n"/>
      <c r="E927" s="4" t="n"/>
      <c r="F927" s="4" t="n"/>
      <c r="G927" s="4" t="n"/>
      <c r="H927" s="5" t="str">
        <f>IF(E927="","",IF(AND(F927="نعم",G927="نعم"),"جرد + مراجعة",IF(F927="نعم","جرد فقط",IF(G927="نعم","مراجعة فقط",""))))</f>
        <v/>
      </c>
      <c r="I927" s="9">
        <f>IF(H927="جرد + مراجعة",الإعدادات!$B$2,IF(H927="مراجعة فقط",الإعدادات!$B$3,IF(H927="جرد فقط",الإعدادات!$B$4,0)))</f>
        <v>0</v>
      </c>
    </row>
    <row r="928">
      <c r="A928" s="4" t="n"/>
      <c r="B928" s="5" t="str">
        <f>IF(A928="","",IFERROR(INDEX('جدول الجرد'!$A$2:$A$29,MATCH(A928,'جدول الجرد'!$B$2:$B$29,0)),""))</f>
        <v/>
      </c>
      <c r="C928" s="5" t="str">
        <f>IF(A928="","",IFERROR(INDEX('جدول الجرد'!$E$2:$E$29,MATCH(A928,'جدول الجرد'!$B$2:$B$29,0)),""))</f>
        <v/>
      </c>
      <c r="D928" s="4" t="n"/>
      <c r="E928" s="4" t="n"/>
      <c r="F928" s="4" t="n"/>
      <c r="G928" s="4" t="n"/>
      <c r="H928" s="5" t="str">
        <f>IF(E928="","",IF(AND(F928="نعم",G928="نعم"),"جرد + مراجعة",IF(F928="نعم","جرد فقط",IF(G928="نعم","مراجعة فقط",""))))</f>
        <v/>
      </c>
      <c r="I928" s="9">
        <f>IF(H928="جرد + مراجعة",الإعدادات!$B$2,IF(H928="مراجعة فقط",الإعدادات!$B$3,IF(H928="جرد فقط",الإعدادات!$B$4,0)))</f>
        <v>0</v>
      </c>
    </row>
    <row r="929">
      <c r="A929" s="4" t="n"/>
      <c r="B929" s="5" t="str">
        <f>IF(A929="","",IFERROR(INDEX('جدول الجرد'!$A$2:$A$29,MATCH(A929,'جدول الجرد'!$B$2:$B$29,0)),""))</f>
        <v/>
      </c>
      <c r="C929" s="5" t="str">
        <f>IF(A929="","",IFERROR(INDEX('جدول الجرد'!$E$2:$E$29,MATCH(A929,'جدول الجرد'!$B$2:$B$29,0)),""))</f>
        <v/>
      </c>
      <c r="D929" s="4" t="n"/>
      <c r="E929" s="4" t="n"/>
      <c r="F929" s="4" t="n"/>
      <c r="G929" s="4" t="n"/>
      <c r="H929" s="5" t="str">
        <f>IF(E929="","",IF(AND(F929="نعم",G929="نعم"),"جرد + مراجعة",IF(F929="نعم","جرد فقط",IF(G929="نعم","مراجعة فقط",""))))</f>
        <v/>
      </c>
      <c r="I929" s="9">
        <f>IF(H929="جرد + مراجعة",الإعدادات!$B$2,IF(H929="مراجعة فقط",الإعدادات!$B$3,IF(H929="جرد فقط",الإعدادات!$B$4,0)))</f>
        <v>0</v>
      </c>
    </row>
    <row r="930">
      <c r="A930" s="4" t="n"/>
      <c r="B930" s="5" t="str">
        <f>IF(A930="","",IFERROR(INDEX('جدول الجرد'!$A$2:$A$29,MATCH(A930,'جدول الجرد'!$B$2:$B$29,0)),""))</f>
        <v/>
      </c>
      <c r="C930" s="5" t="str">
        <f>IF(A930="","",IFERROR(INDEX('جدول الجرد'!$E$2:$E$29,MATCH(A930,'جدول الجرد'!$B$2:$B$29,0)),""))</f>
        <v/>
      </c>
      <c r="D930" s="4" t="n"/>
      <c r="E930" s="4" t="n"/>
      <c r="F930" s="4" t="n"/>
      <c r="G930" s="4" t="n"/>
      <c r="H930" s="5" t="str">
        <f>IF(E930="","",IF(AND(F930="نعم",G930="نعم"),"جرد + مراجعة",IF(F930="نعم","جرد فقط",IF(G930="نعم","مراجعة فقط",""))))</f>
        <v/>
      </c>
      <c r="I930" s="9">
        <f>IF(H930="جرد + مراجعة",الإعدادات!$B$2,IF(H930="مراجعة فقط",الإعدادات!$B$3,IF(H930="جرد فقط",الإعدادات!$B$4,0)))</f>
        <v>0</v>
      </c>
    </row>
    <row r="931">
      <c r="A931" s="4" t="n"/>
      <c r="B931" s="5" t="str">
        <f>IF(A931="","",IFERROR(INDEX('جدول الجرد'!$A$2:$A$29,MATCH(A931,'جدول الجرد'!$B$2:$B$29,0)),""))</f>
        <v/>
      </c>
      <c r="C931" s="5" t="str">
        <f>IF(A931="","",IFERROR(INDEX('جدول الجرد'!$E$2:$E$29,MATCH(A931,'جدول الجرد'!$B$2:$B$29,0)),""))</f>
        <v/>
      </c>
      <c r="D931" s="4" t="n"/>
      <c r="E931" s="4" t="n"/>
      <c r="F931" s="4" t="n"/>
      <c r="G931" s="4" t="n"/>
      <c r="H931" s="5" t="str">
        <f>IF(E931="","",IF(AND(F931="نعم",G931="نعم"),"جرد + مراجعة",IF(F931="نعم","جرد فقط",IF(G931="نعم","مراجعة فقط",""))))</f>
        <v/>
      </c>
      <c r="I931" s="9">
        <f>IF(H931="جرد + مراجعة",الإعدادات!$B$2,IF(H931="مراجعة فقط",الإعدادات!$B$3,IF(H931="جرد فقط",الإعدادات!$B$4,0)))</f>
        <v>0</v>
      </c>
    </row>
    <row r="932">
      <c r="A932" s="4" t="n"/>
      <c r="B932" s="5" t="str">
        <f>IF(A932="","",IFERROR(INDEX('جدول الجرد'!$A$2:$A$29,MATCH(A932,'جدول الجرد'!$B$2:$B$29,0)),""))</f>
        <v/>
      </c>
      <c r="C932" s="5" t="str">
        <f>IF(A932="","",IFERROR(INDEX('جدول الجرد'!$E$2:$E$29,MATCH(A932,'جدول الجرد'!$B$2:$B$29,0)),""))</f>
        <v/>
      </c>
      <c r="D932" s="4" t="n"/>
      <c r="E932" s="4" t="n"/>
      <c r="F932" s="4" t="n"/>
      <c r="G932" s="4" t="n"/>
      <c r="H932" s="5" t="str">
        <f>IF(E932="","",IF(AND(F932="نعم",G932="نعم"),"جرد + مراجعة",IF(F932="نعم","جرد فقط",IF(G932="نعم","مراجعة فقط",""))))</f>
        <v/>
      </c>
      <c r="I932" s="9">
        <f>IF(H932="جرد + مراجعة",الإعدادات!$B$2,IF(H932="مراجعة فقط",الإعدادات!$B$3,IF(H932="جرد فقط",الإعدادات!$B$4,0)))</f>
        <v>0</v>
      </c>
    </row>
    <row r="933">
      <c r="A933" s="4" t="n"/>
      <c r="B933" s="5" t="str">
        <f>IF(A933="","",IFERROR(INDEX('جدول الجرد'!$A$2:$A$29,MATCH(A933,'جدول الجرد'!$B$2:$B$29,0)),""))</f>
        <v/>
      </c>
      <c r="C933" s="5" t="str">
        <f>IF(A933="","",IFERROR(INDEX('جدول الجرد'!$E$2:$E$29,MATCH(A933,'جدول الجرد'!$B$2:$B$29,0)),""))</f>
        <v/>
      </c>
      <c r="D933" s="4" t="n"/>
      <c r="E933" s="4" t="n"/>
      <c r="F933" s="4" t="n"/>
      <c r="G933" s="4" t="n"/>
      <c r="H933" s="5" t="str">
        <f>IF(E933="","",IF(AND(F933="نعم",G933="نعم"),"جرد + مراجعة",IF(F933="نعم","جرد فقط",IF(G933="نعم","مراجعة فقط",""))))</f>
        <v/>
      </c>
      <c r="I933" s="9">
        <f>IF(H933="جرد + مراجعة",الإعدادات!$B$2,IF(H933="مراجعة فقط",الإعدادات!$B$3,IF(H933="جرد فقط",الإعدادات!$B$4,0)))</f>
        <v>0</v>
      </c>
    </row>
    <row r="934">
      <c r="A934" s="4" t="n"/>
      <c r="B934" s="5" t="str">
        <f>IF(A934="","",IFERROR(INDEX('جدول الجرد'!$A$2:$A$29,MATCH(A934,'جدول الجرد'!$B$2:$B$29,0)),""))</f>
        <v/>
      </c>
      <c r="C934" s="5" t="str">
        <f>IF(A934="","",IFERROR(INDEX('جدول الجرد'!$E$2:$E$29,MATCH(A934,'جدول الجرد'!$B$2:$B$29,0)),""))</f>
        <v/>
      </c>
      <c r="D934" s="4" t="n"/>
      <c r="E934" s="4" t="n"/>
      <c r="F934" s="4" t="n"/>
      <c r="G934" s="4" t="n"/>
      <c r="H934" s="5" t="str">
        <f>IF(E934="","",IF(AND(F934="نعم",G934="نعم"),"جرد + مراجعة",IF(F934="نعم","جرد فقط",IF(G934="نعم","مراجعة فقط",""))))</f>
        <v/>
      </c>
      <c r="I934" s="9">
        <f>IF(H934="جرد + مراجعة",الإعدادات!$B$2,IF(H934="مراجعة فقط",الإعدادات!$B$3,IF(H934="جرد فقط",الإعدادات!$B$4,0)))</f>
        <v>0</v>
      </c>
    </row>
    <row r="935">
      <c r="A935" s="4" t="n"/>
      <c r="B935" s="5" t="str">
        <f>IF(A935="","",IFERROR(INDEX('جدول الجرد'!$A$2:$A$29,MATCH(A935,'جدول الجرد'!$B$2:$B$29,0)),""))</f>
        <v/>
      </c>
      <c r="C935" s="5" t="str">
        <f>IF(A935="","",IFERROR(INDEX('جدول الجرد'!$E$2:$E$29,MATCH(A935,'جدول الجرد'!$B$2:$B$29,0)),""))</f>
        <v/>
      </c>
      <c r="D935" s="4" t="n"/>
      <c r="E935" s="4" t="n"/>
      <c r="F935" s="4" t="n"/>
      <c r="G935" s="4" t="n"/>
      <c r="H935" s="5" t="str">
        <f>IF(E935="","",IF(AND(F935="نعم",G935="نعم"),"جرد + مراجعة",IF(F935="نعم","جرد فقط",IF(G935="نعم","مراجعة فقط",""))))</f>
        <v/>
      </c>
      <c r="I935" s="9">
        <f>IF(H935="جرد + مراجعة",الإعدادات!$B$2,IF(H935="مراجعة فقط",الإعدادات!$B$3,IF(H935="جرد فقط",الإعدادات!$B$4,0)))</f>
        <v>0</v>
      </c>
    </row>
    <row r="936">
      <c r="A936" s="4" t="n"/>
      <c r="B936" s="5" t="str">
        <f>IF(A936="","",IFERROR(INDEX('جدول الجرد'!$A$2:$A$29,MATCH(A936,'جدول الجرد'!$B$2:$B$29,0)),""))</f>
        <v/>
      </c>
      <c r="C936" s="5" t="str">
        <f>IF(A936="","",IFERROR(INDEX('جدول الجرد'!$E$2:$E$29,MATCH(A936,'جدول الجرد'!$B$2:$B$29,0)),""))</f>
        <v/>
      </c>
      <c r="D936" s="4" t="n"/>
      <c r="E936" s="4" t="n"/>
      <c r="F936" s="4" t="n"/>
      <c r="G936" s="4" t="n"/>
      <c r="H936" s="5" t="str">
        <f>IF(E936="","",IF(AND(F936="نعم",G936="نعم"),"جرد + مراجعة",IF(F936="نعم","جرد فقط",IF(G936="نعم","مراجعة فقط",""))))</f>
        <v/>
      </c>
      <c r="I936" s="9">
        <f>IF(H936="جرد + مراجعة",الإعدادات!$B$2,IF(H936="مراجعة فقط",الإعدادات!$B$3,IF(H936="جرد فقط",الإعدادات!$B$4,0)))</f>
        <v>0</v>
      </c>
    </row>
    <row r="937">
      <c r="A937" s="4" t="n"/>
      <c r="B937" s="5" t="str">
        <f>IF(A937="","",IFERROR(INDEX('جدول الجرد'!$A$2:$A$29,MATCH(A937,'جدول الجرد'!$B$2:$B$29,0)),""))</f>
        <v/>
      </c>
      <c r="C937" s="5" t="str">
        <f>IF(A937="","",IFERROR(INDEX('جدول الجرد'!$E$2:$E$29,MATCH(A937,'جدول الجرد'!$B$2:$B$29,0)),""))</f>
        <v/>
      </c>
      <c r="D937" s="4" t="n"/>
      <c r="E937" s="4" t="n"/>
      <c r="F937" s="4" t="n"/>
      <c r="G937" s="4" t="n"/>
      <c r="H937" s="5" t="str">
        <f>IF(E937="","",IF(AND(F937="نعم",G937="نعم"),"جرد + مراجعة",IF(F937="نعم","جرد فقط",IF(G937="نعم","مراجعة فقط",""))))</f>
        <v/>
      </c>
      <c r="I937" s="9">
        <f>IF(H937="جرد + مراجعة",الإعدادات!$B$2,IF(H937="مراجعة فقط",الإعدادات!$B$3,IF(H937="جرد فقط",الإعدادات!$B$4,0)))</f>
        <v>0</v>
      </c>
    </row>
    <row r="938">
      <c r="A938" s="4" t="n"/>
      <c r="B938" s="5" t="str">
        <f>IF(A938="","",IFERROR(INDEX('جدول الجرد'!$A$2:$A$29,MATCH(A938,'جدول الجرد'!$B$2:$B$29,0)),""))</f>
        <v/>
      </c>
      <c r="C938" s="5" t="str">
        <f>IF(A938="","",IFERROR(INDEX('جدول الجرد'!$E$2:$E$29,MATCH(A938,'جدول الجرد'!$B$2:$B$29,0)),""))</f>
        <v/>
      </c>
      <c r="D938" s="4" t="n"/>
      <c r="E938" s="4" t="n"/>
      <c r="F938" s="4" t="n"/>
      <c r="G938" s="4" t="n"/>
      <c r="H938" s="5" t="str">
        <f>IF(E938="","",IF(AND(F938="نعم",G938="نعم"),"جرد + مراجعة",IF(F938="نعم","جرد فقط",IF(G938="نعم","مراجعة فقط",""))))</f>
        <v/>
      </c>
      <c r="I938" s="9">
        <f>IF(H938="جرد + مراجعة",الإعدادات!$B$2,IF(H938="مراجعة فقط",الإعدادات!$B$3,IF(H938="جرد فقط",الإعدادات!$B$4,0)))</f>
        <v>0</v>
      </c>
    </row>
    <row r="939">
      <c r="A939" s="4" t="n"/>
      <c r="B939" s="5" t="str">
        <f>IF(A939="","",IFERROR(INDEX('جدول الجرد'!$A$2:$A$29,MATCH(A939,'جدول الجرد'!$B$2:$B$29,0)),""))</f>
        <v/>
      </c>
      <c r="C939" s="5" t="str">
        <f>IF(A939="","",IFERROR(INDEX('جدول الجرد'!$E$2:$E$29,MATCH(A939,'جدول الجرد'!$B$2:$B$29,0)),""))</f>
        <v/>
      </c>
      <c r="D939" s="4" t="n"/>
      <c r="E939" s="4" t="n"/>
      <c r="F939" s="4" t="n"/>
      <c r="G939" s="4" t="n"/>
      <c r="H939" s="5" t="str">
        <f>IF(E939="","",IF(AND(F939="نعم",G939="نعم"),"جرد + مراجعة",IF(F939="نعم","جرد فقط",IF(G939="نعم","مراجعة فقط",""))))</f>
        <v/>
      </c>
      <c r="I939" s="9">
        <f>IF(H939="جرد + مراجعة",الإعدادات!$B$2,IF(H939="مراجعة فقط",الإعدادات!$B$3,IF(H939="جرد فقط",الإعدادات!$B$4,0)))</f>
        <v>0</v>
      </c>
    </row>
    <row r="940">
      <c r="A940" s="4" t="n"/>
      <c r="B940" s="5" t="str">
        <f>IF(A940="","",IFERROR(INDEX('جدول الجرد'!$A$2:$A$29,MATCH(A940,'جدول الجرد'!$B$2:$B$29,0)),""))</f>
        <v/>
      </c>
      <c r="C940" s="5" t="str">
        <f>IF(A940="","",IFERROR(INDEX('جدول الجرد'!$E$2:$E$29,MATCH(A940,'جدول الجرد'!$B$2:$B$29,0)),""))</f>
        <v/>
      </c>
      <c r="D940" s="4" t="n"/>
      <c r="E940" s="4" t="n"/>
      <c r="F940" s="4" t="n"/>
      <c r="G940" s="4" t="n"/>
      <c r="H940" s="5" t="str">
        <f>IF(E940="","",IF(AND(F940="نعم",G940="نعم"),"جرد + مراجعة",IF(F940="نعم","جرد فقط",IF(G940="نعم","مراجعة فقط",""))))</f>
        <v/>
      </c>
      <c r="I940" s="9">
        <f>IF(H940="جرد + مراجعة",الإعدادات!$B$2,IF(H940="مراجعة فقط",الإعدادات!$B$3,IF(H940="جرد فقط",الإعدادات!$B$4,0)))</f>
        <v>0</v>
      </c>
    </row>
    <row r="941">
      <c r="A941" s="4" t="n"/>
      <c r="B941" s="5" t="str">
        <f>IF(A941="","",IFERROR(INDEX('جدول الجرد'!$A$2:$A$29,MATCH(A941,'جدول الجرد'!$B$2:$B$29,0)),""))</f>
        <v/>
      </c>
      <c r="C941" s="5" t="str">
        <f>IF(A941="","",IFERROR(INDEX('جدول الجرد'!$E$2:$E$29,MATCH(A941,'جدول الجرد'!$B$2:$B$29,0)),""))</f>
        <v/>
      </c>
      <c r="D941" s="4" t="n"/>
      <c r="E941" s="4" t="n"/>
      <c r="F941" s="4" t="n"/>
      <c r="G941" s="4" t="n"/>
      <c r="H941" s="5" t="str">
        <f>IF(E941="","",IF(AND(F941="نعم",G941="نعم"),"جرد + مراجعة",IF(F941="نعم","جرد فقط",IF(G941="نعم","مراجعة فقط",""))))</f>
        <v/>
      </c>
      <c r="I941" s="9">
        <f>IF(H941="جرد + مراجعة",الإعدادات!$B$2,IF(H941="مراجعة فقط",الإعدادات!$B$3,IF(H941="جرد فقط",الإعدادات!$B$4,0)))</f>
        <v>0</v>
      </c>
    </row>
    <row r="942">
      <c r="A942" s="4" t="n"/>
      <c r="B942" s="5" t="str">
        <f>IF(A942="","",IFERROR(INDEX('جدول الجرد'!$A$2:$A$29,MATCH(A942,'جدول الجرد'!$B$2:$B$29,0)),""))</f>
        <v/>
      </c>
      <c r="C942" s="5" t="str">
        <f>IF(A942="","",IFERROR(INDEX('جدول الجرد'!$E$2:$E$29,MATCH(A942,'جدول الجرد'!$B$2:$B$29,0)),""))</f>
        <v/>
      </c>
      <c r="D942" s="4" t="n"/>
      <c r="E942" s="4" t="n"/>
      <c r="F942" s="4" t="n"/>
      <c r="G942" s="4" t="n"/>
      <c r="H942" s="5" t="str">
        <f>IF(E942="","",IF(AND(F942="نعم",G942="نعم"),"جرد + مراجعة",IF(F942="نعم","جرد فقط",IF(G942="نعم","مراجعة فقط",""))))</f>
        <v/>
      </c>
      <c r="I942" s="9">
        <f>IF(H942="جرد + مراجعة",الإعدادات!$B$2,IF(H942="مراجعة فقط",الإعدادات!$B$3,IF(H942="جرد فقط",الإعدادات!$B$4,0)))</f>
        <v>0</v>
      </c>
    </row>
    <row r="943">
      <c r="A943" s="4" t="n"/>
      <c r="B943" s="5" t="str">
        <f>IF(A943="","",IFERROR(INDEX('جدول الجرد'!$A$2:$A$29,MATCH(A943,'جدول الجرد'!$B$2:$B$29,0)),""))</f>
        <v/>
      </c>
      <c r="C943" s="5" t="str">
        <f>IF(A943="","",IFERROR(INDEX('جدول الجرد'!$E$2:$E$29,MATCH(A943,'جدول الجرد'!$B$2:$B$29,0)),""))</f>
        <v/>
      </c>
      <c r="D943" s="4" t="n"/>
      <c r="E943" s="4" t="n"/>
      <c r="F943" s="4" t="n"/>
      <c r="G943" s="4" t="n"/>
      <c r="H943" s="5" t="str">
        <f>IF(E943="","",IF(AND(F943="نعم",G943="نعم"),"جرد + مراجعة",IF(F943="نعم","جرد فقط",IF(G943="نعم","مراجعة فقط",""))))</f>
        <v/>
      </c>
      <c r="I943" s="9">
        <f>IF(H943="جرد + مراجعة",الإعدادات!$B$2,IF(H943="مراجعة فقط",الإعدادات!$B$3,IF(H943="جرد فقط",الإعدادات!$B$4,0)))</f>
        <v>0</v>
      </c>
    </row>
    <row r="944">
      <c r="A944" s="4" t="n"/>
      <c r="B944" s="5" t="str">
        <f>IF(A944="","",IFERROR(INDEX('جدول الجرد'!$A$2:$A$29,MATCH(A944,'جدول الجرد'!$B$2:$B$29,0)),""))</f>
        <v/>
      </c>
      <c r="C944" s="5" t="str">
        <f>IF(A944="","",IFERROR(INDEX('جدول الجرد'!$E$2:$E$29,MATCH(A944,'جدول الجرد'!$B$2:$B$29,0)),""))</f>
        <v/>
      </c>
      <c r="D944" s="4" t="n"/>
      <c r="E944" s="4" t="n"/>
      <c r="F944" s="4" t="n"/>
      <c r="G944" s="4" t="n"/>
      <c r="H944" s="5" t="str">
        <f>IF(E944="","",IF(AND(F944="نعم",G944="نعم"),"جرد + مراجعة",IF(F944="نعم","جرد فقط",IF(G944="نعم","مراجعة فقط",""))))</f>
        <v/>
      </c>
      <c r="I944" s="9">
        <f>IF(H944="جرد + مراجعة",الإعدادات!$B$2,IF(H944="مراجعة فقط",الإعدادات!$B$3,IF(H944="جرد فقط",الإعدادات!$B$4,0)))</f>
        <v>0</v>
      </c>
    </row>
    <row r="945">
      <c r="A945" s="4" t="n"/>
      <c r="B945" s="5" t="str">
        <f>IF(A945="","",IFERROR(INDEX('جدول الجرد'!$A$2:$A$29,MATCH(A945,'جدول الجرد'!$B$2:$B$29,0)),""))</f>
        <v/>
      </c>
      <c r="C945" s="5" t="str">
        <f>IF(A945="","",IFERROR(INDEX('جدول الجرد'!$E$2:$E$29,MATCH(A945,'جدول الجرد'!$B$2:$B$29,0)),""))</f>
        <v/>
      </c>
      <c r="D945" s="4" t="n"/>
      <c r="E945" s="4" t="n"/>
      <c r="F945" s="4" t="n"/>
      <c r="G945" s="4" t="n"/>
      <c r="H945" s="5" t="str">
        <f>IF(E945="","",IF(AND(F945="نعم",G945="نعم"),"جرد + مراجعة",IF(F945="نعم","جرد فقط",IF(G945="نعم","مراجعة فقط",""))))</f>
        <v/>
      </c>
      <c r="I945" s="9">
        <f>IF(H945="جرد + مراجعة",الإعدادات!$B$2,IF(H945="مراجعة فقط",الإعدادات!$B$3,IF(H945="جرد فقط",الإعدادات!$B$4,0)))</f>
        <v>0</v>
      </c>
    </row>
    <row r="946">
      <c r="A946" s="4" t="n"/>
      <c r="B946" s="5" t="str">
        <f>IF(A946="","",IFERROR(INDEX('جدول الجرد'!$A$2:$A$29,MATCH(A946,'جدول الجرد'!$B$2:$B$29,0)),""))</f>
        <v/>
      </c>
      <c r="C946" s="5" t="str">
        <f>IF(A946="","",IFERROR(INDEX('جدول الجرد'!$E$2:$E$29,MATCH(A946,'جدول الجرد'!$B$2:$B$29,0)),""))</f>
        <v/>
      </c>
      <c r="D946" s="4" t="n"/>
      <c r="E946" s="4" t="n"/>
      <c r="F946" s="4" t="n"/>
      <c r="G946" s="4" t="n"/>
      <c r="H946" s="5" t="str">
        <f>IF(E946="","",IF(AND(F946="نعم",G946="نعم"),"جرد + مراجعة",IF(F946="نعم","جرد فقط",IF(G946="نعم","مراجعة فقط",""))))</f>
        <v/>
      </c>
      <c r="I946" s="9">
        <f>IF(H946="جرد + مراجعة",الإعدادات!$B$2,IF(H946="مراجعة فقط",الإعدادات!$B$3,IF(H946="جرد فقط",الإعدادات!$B$4,0)))</f>
        <v>0</v>
      </c>
    </row>
    <row r="947">
      <c r="A947" s="4" t="n"/>
      <c r="B947" s="5" t="str">
        <f>IF(A947="","",IFERROR(INDEX('جدول الجرد'!$A$2:$A$29,MATCH(A947,'جدول الجرد'!$B$2:$B$29,0)),""))</f>
        <v/>
      </c>
      <c r="C947" s="5" t="str">
        <f>IF(A947="","",IFERROR(INDEX('جدول الجرد'!$E$2:$E$29,MATCH(A947,'جدول الجرد'!$B$2:$B$29,0)),""))</f>
        <v/>
      </c>
      <c r="D947" s="4" t="n"/>
      <c r="E947" s="4" t="n"/>
      <c r="F947" s="4" t="n"/>
      <c r="G947" s="4" t="n"/>
      <c r="H947" s="5" t="str">
        <f>IF(E947="","",IF(AND(F947="نعم",G947="نعم"),"جرد + مراجعة",IF(F947="نعم","جرد فقط",IF(G947="نعم","مراجعة فقط",""))))</f>
        <v/>
      </c>
      <c r="I947" s="9">
        <f>IF(H947="جرد + مراجعة",الإعدادات!$B$2,IF(H947="مراجعة فقط",الإعدادات!$B$3,IF(H947="جرد فقط",الإعدادات!$B$4,0)))</f>
        <v>0</v>
      </c>
    </row>
    <row r="948">
      <c r="A948" s="4" t="n"/>
      <c r="B948" s="5" t="str">
        <f>IF(A948="","",IFERROR(INDEX('جدول الجرد'!$A$2:$A$29,MATCH(A948,'جدول الجرد'!$B$2:$B$29,0)),""))</f>
        <v/>
      </c>
      <c r="C948" s="5" t="str">
        <f>IF(A948="","",IFERROR(INDEX('جدول الجرد'!$E$2:$E$29,MATCH(A948,'جدول الجرد'!$B$2:$B$29,0)),""))</f>
        <v/>
      </c>
      <c r="D948" s="4" t="n"/>
      <c r="E948" s="4" t="n"/>
      <c r="F948" s="4" t="n"/>
      <c r="G948" s="4" t="n"/>
      <c r="H948" s="5" t="str">
        <f>IF(E948="","",IF(AND(F948="نعم",G948="نعم"),"جرد + مراجعة",IF(F948="نعم","جرد فقط",IF(G948="نعم","مراجعة فقط",""))))</f>
        <v/>
      </c>
      <c r="I948" s="9">
        <f>IF(H948="جرد + مراجعة",الإعدادات!$B$2,IF(H948="مراجعة فقط",الإعدادات!$B$3,IF(H948="جرد فقط",الإعدادات!$B$4,0)))</f>
        <v>0</v>
      </c>
    </row>
    <row r="949">
      <c r="A949" s="4" t="n"/>
      <c r="B949" s="5" t="str">
        <f>IF(A949="","",IFERROR(INDEX('جدول الجرد'!$A$2:$A$29,MATCH(A949,'جدول الجرد'!$B$2:$B$29,0)),""))</f>
        <v/>
      </c>
      <c r="C949" s="5" t="str">
        <f>IF(A949="","",IFERROR(INDEX('جدول الجرد'!$E$2:$E$29,MATCH(A949,'جدول الجرد'!$B$2:$B$29,0)),""))</f>
        <v/>
      </c>
      <c r="D949" s="4" t="n"/>
      <c r="E949" s="4" t="n"/>
      <c r="F949" s="4" t="n"/>
      <c r="G949" s="4" t="n"/>
      <c r="H949" s="5" t="str">
        <f>IF(E949="","",IF(AND(F949="نعم",G949="نعم"),"جرد + مراجعة",IF(F949="نعم","جرد فقط",IF(G949="نعم","مراجعة فقط",""))))</f>
        <v/>
      </c>
      <c r="I949" s="9">
        <f>IF(H949="جرد + مراجعة",الإعدادات!$B$2,IF(H949="مراجعة فقط",الإعدادات!$B$3,IF(H949="جرد فقط",الإعدادات!$B$4,0)))</f>
        <v>0</v>
      </c>
    </row>
    <row r="950">
      <c r="A950" s="4" t="n"/>
      <c r="B950" s="5" t="str">
        <f>IF(A950="","",IFERROR(INDEX('جدول الجرد'!$A$2:$A$29,MATCH(A950,'جدول الجرد'!$B$2:$B$29,0)),""))</f>
        <v/>
      </c>
      <c r="C950" s="5" t="str">
        <f>IF(A950="","",IFERROR(INDEX('جدول الجرد'!$E$2:$E$29,MATCH(A950,'جدول الجرد'!$B$2:$B$29,0)),""))</f>
        <v/>
      </c>
      <c r="D950" s="4" t="n"/>
      <c r="E950" s="4" t="n"/>
      <c r="F950" s="4" t="n"/>
      <c r="G950" s="4" t="n"/>
      <c r="H950" s="5" t="str">
        <f>IF(E950="","",IF(AND(F950="نعم",G950="نعم"),"جرد + مراجعة",IF(F950="نعم","جرد فقط",IF(G950="نعم","مراجعة فقط",""))))</f>
        <v/>
      </c>
      <c r="I950" s="9">
        <f>IF(H950="جرد + مراجعة",الإعدادات!$B$2,IF(H950="مراجعة فقط",الإعدادات!$B$3,IF(H950="جرد فقط",الإعدادات!$B$4,0)))</f>
        <v>0</v>
      </c>
    </row>
    <row r="951">
      <c r="A951" s="4" t="n"/>
      <c r="B951" s="5" t="str">
        <f>IF(A951="","",IFERROR(INDEX('جدول الجرد'!$A$2:$A$29,MATCH(A951,'جدول الجرد'!$B$2:$B$29,0)),""))</f>
        <v/>
      </c>
      <c r="C951" s="5" t="str">
        <f>IF(A951="","",IFERROR(INDEX('جدول الجرد'!$E$2:$E$29,MATCH(A951,'جدول الجرد'!$B$2:$B$29,0)),""))</f>
        <v/>
      </c>
      <c r="D951" s="4" t="n"/>
      <c r="E951" s="4" t="n"/>
      <c r="F951" s="4" t="n"/>
      <c r="G951" s="4" t="n"/>
      <c r="H951" s="5" t="str">
        <f>IF(E951="","",IF(AND(F951="نعم",G951="نعم"),"جرد + مراجعة",IF(F951="نعم","جرد فقط",IF(G951="نعم","مراجعة فقط",""))))</f>
        <v/>
      </c>
      <c r="I951" s="9">
        <f>IF(H951="جرد + مراجعة",الإعدادات!$B$2,IF(H951="مراجعة فقط",الإعدادات!$B$3,IF(H951="جرد فقط",الإعدادات!$B$4,0)))</f>
        <v>0</v>
      </c>
    </row>
    <row r="952">
      <c r="A952" s="4" t="n"/>
      <c r="B952" s="5" t="str">
        <f>IF(A952="","",IFERROR(INDEX('جدول الجرد'!$A$2:$A$29,MATCH(A952,'جدول الجرد'!$B$2:$B$29,0)),""))</f>
        <v/>
      </c>
      <c r="C952" s="5" t="str">
        <f>IF(A952="","",IFERROR(INDEX('جدول الجرد'!$E$2:$E$29,MATCH(A952,'جدول الجرد'!$B$2:$B$29,0)),""))</f>
        <v/>
      </c>
      <c r="D952" s="4" t="n"/>
      <c r="E952" s="4" t="n"/>
      <c r="F952" s="4" t="n"/>
      <c r="G952" s="4" t="n"/>
      <c r="H952" s="5" t="str">
        <f>IF(E952="","",IF(AND(F952="نعم",G952="نعم"),"جرد + مراجعة",IF(F952="نعم","جرد فقط",IF(G952="نعم","مراجعة فقط",""))))</f>
        <v/>
      </c>
      <c r="I952" s="9">
        <f>IF(H952="جرد + مراجعة",الإعدادات!$B$2,IF(H952="مراجعة فقط",الإعدادات!$B$3,IF(H952="جرد فقط",الإعدادات!$B$4,0)))</f>
        <v>0</v>
      </c>
    </row>
    <row r="953">
      <c r="A953" s="4" t="n"/>
      <c r="B953" s="5" t="str">
        <f>IF(A953="","",IFERROR(INDEX('جدول الجرد'!$A$2:$A$29,MATCH(A953,'جدول الجرد'!$B$2:$B$29,0)),""))</f>
        <v/>
      </c>
      <c r="C953" s="5" t="str">
        <f>IF(A953="","",IFERROR(INDEX('جدول الجرد'!$E$2:$E$29,MATCH(A953,'جدول الجرد'!$B$2:$B$29,0)),""))</f>
        <v/>
      </c>
      <c r="D953" s="4" t="n"/>
      <c r="E953" s="4" t="n"/>
      <c r="F953" s="4" t="n"/>
      <c r="G953" s="4" t="n"/>
      <c r="H953" s="5" t="str">
        <f>IF(E953="","",IF(AND(F953="نعم",G953="نعم"),"جرد + مراجعة",IF(F953="نعم","جرد فقط",IF(G953="نعم","مراجعة فقط",""))))</f>
        <v/>
      </c>
      <c r="I953" s="9">
        <f>IF(H953="جرد + مراجعة",الإعدادات!$B$2,IF(H953="مراجعة فقط",الإعدادات!$B$3,IF(H953="جرد فقط",الإعدادات!$B$4,0)))</f>
        <v>0</v>
      </c>
    </row>
    <row r="954">
      <c r="A954" s="4" t="n"/>
      <c r="B954" s="5" t="str">
        <f>IF(A954="","",IFERROR(INDEX('جدول الجرد'!$A$2:$A$29,MATCH(A954,'جدول الجرد'!$B$2:$B$29,0)),""))</f>
        <v/>
      </c>
      <c r="C954" s="5" t="str">
        <f>IF(A954="","",IFERROR(INDEX('جدول الجرد'!$E$2:$E$29,MATCH(A954,'جدول الجرد'!$B$2:$B$29,0)),""))</f>
        <v/>
      </c>
      <c r="D954" s="4" t="n"/>
      <c r="E954" s="4" t="n"/>
      <c r="F954" s="4" t="n"/>
      <c r="G954" s="4" t="n"/>
      <c r="H954" s="5" t="str">
        <f>IF(E954="","",IF(AND(F954="نعم",G954="نعم"),"جرد + مراجعة",IF(F954="نعم","جرد فقط",IF(G954="نعم","مراجعة فقط",""))))</f>
        <v/>
      </c>
      <c r="I954" s="9">
        <f>IF(H954="جرد + مراجعة",الإعدادات!$B$2,IF(H954="مراجعة فقط",الإعدادات!$B$3,IF(H954="جرد فقط",الإعدادات!$B$4,0)))</f>
        <v>0</v>
      </c>
    </row>
    <row r="955">
      <c r="A955" s="4" t="n"/>
      <c r="B955" s="5" t="str">
        <f>IF(A955="","",IFERROR(INDEX('جدول الجرد'!$A$2:$A$29,MATCH(A955,'جدول الجرد'!$B$2:$B$29,0)),""))</f>
        <v/>
      </c>
      <c r="C955" s="5" t="str">
        <f>IF(A955="","",IFERROR(INDEX('جدول الجرد'!$E$2:$E$29,MATCH(A955,'جدول الجرد'!$B$2:$B$29,0)),""))</f>
        <v/>
      </c>
      <c r="D955" s="4" t="n"/>
      <c r="E955" s="4" t="n"/>
      <c r="F955" s="4" t="n"/>
      <c r="G955" s="4" t="n"/>
      <c r="H955" s="5" t="str">
        <f>IF(E955="","",IF(AND(F955="نعم",G955="نعم"),"جرد + مراجعة",IF(F955="نعم","جرد فقط",IF(G955="نعم","مراجعة فقط",""))))</f>
        <v/>
      </c>
      <c r="I955" s="9">
        <f>IF(H955="جرد + مراجعة",الإعدادات!$B$2,IF(H955="مراجعة فقط",الإعدادات!$B$3,IF(H955="جرد فقط",الإعدادات!$B$4,0)))</f>
        <v>0</v>
      </c>
    </row>
    <row r="956">
      <c r="A956" s="4" t="n"/>
      <c r="B956" s="5" t="str">
        <f>IF(A956="","",IFERROR(INDEX('جدول الجرد'!$A$2:$A$29,MATCH(A956,'جدول الجرد'!$B$2:$B$29,0)),""))</f>
        <v/>
      </c>
      <c r="C956" s="5" t="str">
        <f>IF(A956="","",IFERROR(INDEX('جدول الجرد'!$E$2:$E$29,MATCH(A956,'جدول الجرد'!$B$2:$B$29,0)),""))</f>
        <v/>
      </c>
      <c r="D956" s="4" t="n"/>
      <c r="E956" s="4" t="n"/>
      <c r="F956" s="4" t="n"/>
      <c r="G956" s="4" t="n"/>
      <c r="H956" s="5" t="str">
        <f>IF(E956="","",IF(AND(F956="نعم",G956="نعم"),"جرد + مراجعة",IF(F956="نعم","جرد فقط",IF(G956="نعم","مراجعة فقط",""))))</f>
        <v/>
      </c>
      <c r="I956" s="9">
        <f>IF(H956="جرد + مراجعة",الإعدادات!$B$2,IF(H956="مراجعة فقط",الإعدادات!$B$3,IF(H956="جرد فقط",الإعدادات!$B$4,0)))</f>
        <v>0</v>
      </c>
    </row>
    <row r="957">
      <c r="A957" s="4" t="n"/>
      <c r="B957" s="5" t="str">
        <f>IF(A957="","",IFERROR(INDEX('جدول الجرد'!$A$2:$A$29,MATCH(A957,'جدول الجرد'!$B$2:$B$29,0)),""))</f>
        <v/>
      </c>
      <c r="C957" s="5" t="str">
        <f>IF(A957="","",IFERROR(INDEX('جدول الجرد'!$E$2:$E$29,MATCH(A957,'جدول الجرد'!$B$2:$B$29,0)),""))</f>
        <v/>
      </c>
      <c r="D957" s="4" t="n"/>
      <c r="E957" s="4" t="n"/>
      <c r="F957" s="4" t="n"/>
      <c r="G957" s="4" t="n"/>
      <c r="H957" s="5" t="str">
        <f>IF(E957="","",IF(AND(F957="نعم",G957="نعم"),"جرد + مراجعة",IF(F957="نعم","جرد فقط",IF(G957="نعم","مراجعة فقط",""))))</f>
        <v/>
      </c>
      <c r="I957" s="9">
        <f>IF(H957="جرد + مراجعة",الإعدادات!$B$2,IF(H957="مراجعة فقط",الإعدادات!$B$3,IF(H957="جرد فقط",الإعدادات!$B$4,0)))</f>
        <v>0</v>
      </c>
    </row>
    <row r="958">
      <c r="A958" s="4" t="n"/>
      <c r="B958" s="5" t="str">
        <f>IF(A958="","",IFERROR(INDEX('جدول الجرد'!$A$2:$A$29,MATCH(A958,'جدول الجرد'!$B$2:$B$29,0)),""))</f>
        <v/>
      </c>
      <c r="C958" s="5" t="str">
        <f>IF(A958="","",IFERROR(INDEX('جدول الجرد'!$E$2:$E$29,MATCH(A958,'جدول الجرد'!$B$2:$B$29,0)),""))</f>
        <v/>
      </c>
      <c r="D958" s="4" t="n"/>
      <c r="E958" s="4" t="n"/>
      <c r="F958" s="4" t="n"/>
      <c r="G958" s="4" t="n"/>
      <c r="H958" s="5" t="str">
        <f>IF(E958="","",IF(AND(F958="نعم",G958="نعم"),"جرد + مراجعة",IF(F958="نعم","جرد فقط",IF(G958="نعم","مراجعة فقط",""))))</f>
        <v/>
      </c>
      <c r="I958" s="9">
        <f>IF(H958="جرد + مراجعة",الإعدادات!$B$2,IF(H958="مراجعة فقط",الإعدادات!$B$3,IF(H958="جرد فقط",الإعدادات!$B$4,0)))</f>
        <v>0</v>
      </c>
    </row>
    <row r="959">
      <c r="A959" s="4" t="n"/>
      <c r="B959" s="5" t="str">
        <f>IF(A959="","",IFERROR(INDEX('جدول الجرد'!$A$2:$A$29,MATCH(A959,'جدول الجرد'!$B$2:$B$29,0)),""))</f>
        <v/>
      </c>
      <c r="C959" s="5" t="str">
        <f>IF(A959="","",IFERROR(INDEX('جدول الجرد'!$E$2:$E$29,MATCH(A959,'جدول الجرد'!$B$2:$B$29,0)),""))</f>
        <v/>
      </c>
      <c r="D959" s="4" t="n"/>
      <c r="E959" s="4" t="n"/>
      <c r="F959" s="4" t="n"/>
      <c r="G959" s="4" t="n"/>
      <c r="H959" s="5" t="str">
        <f>IF(E959="","",IF(AND(F959="نعم",G959="نعم"),"جرد + مراجعة",IF(F959="نعم","جرد فقط",IF(G959="نعم","مراجعة فقط",""))))</f>
        <v/>
      </c>
      <c r="I959" s="9">
        <f>IF(H959="جرد + مراجعة",الإعدادات!$B$2,IF(H959="مراجعة فقط",الإعدادات!$B$3,IF(H959="جرد فقط",الإعدادات!$B$4,0)))</f>
        <v>0</v>
      </c>
    </row>
    <row r="960">
      <c r="A960" s="4" t="n"/>
      <c r="B960" s="5" t="str">
        <f>IF(A960="","",IFERROR(INDEX('جدول الجرد'!$A$2:$A$29,MATCH(A960,'جدول الجرد'!$B$2:$B$29,0)),""))</f>
        <v/>
      </c>
      <c r="C960" s="5" t="str">
        <f>IF(A960="","",IFERROR(INDEX('جدول الجرد'!$E$2:$E$29,MATCH(A960,'جدول الجرد'!$B$2:$B$29,0)),""))</f>
        <v/>
      </c>
      <c r="D960" s="4" t="n"/>
      <c r="E960" s="4" t="n"/>
      <c r="F960" s="4" t="n"/>
      <c r="G960" s="4" t="n"/>
      <c r="H960" s="5" t="str">
        <f>IF(E960="","",IF(AND(F960="نعم",G960="نعم"),"جرد + مراجعة",IF(F960="نعم","جرد فقط",IF(G960="نعم","مراجعة فقط",""))))</f>
        <v/>
      </c>
      <c r="I960" s="9">
        <f>IF(H960="جرد + مراجعة",الإعدادات!$B$2,IF(H960="مراجعة فقط",الإعدادات!$B$3,IF(H960="جرد فقط",الإعدادات!$B$4,0)))</f>
        <v>0</v>
      </c>
    </row>
    <row r="961">
      <c r="A961" s="4" t="n"/>
      <c r="B961" s="5" t="str">
        <f>IF(A961="","",IFERROR(INDEX('جدول الجرد'!$A$2:$A$29,MATCH(A961,'جدول الجرد'!$B$2:$B$29,0)),""))</f>
        <v/>
      </c>
      <c r="C961" s="5" t="str">
        <f>IF(A961="","",IFERROR(INDEX('جدول الجرد'!$E$2:$E$29,MATCH(A961,'جدول الجرد'!$B$2:$B$29,0)),""))</f>
        <v/>
      </c>
      <c r="D961" s="4" t="n"/>
      <c r="E961" s="4" t="n"/>
      <c r="F961" s="4" t="n"/>
      <c r="G961" s="4" t="n"/>
      <c r="H961" s="5" t="str">
        <f>IF(E961="","",IF(AND(F961="نعم",G961="نعم"),"جرد + مراجعة",IF(F961="نعم","جرد فقط",IF(G961="نعم","مراجعة فقط",""))))</f>
        <v/>
      </c>
      <c r="I961" s="9">
        <f>IF(H961="جرد + مراجعة",الإعدادات!$B$2,IF(H961="مراجعة فقط",الإعدادات!$B$3,IF(H961="جرد فقط",الإعدادات!$B$4,0)))</f>
        <v>0</v>
      </c>
    </row>
    <row r="962">
      <c r="A962" s="4" t="n"/>
      <c r="B962" s="5" t="str">
        <f>IF(A962="","",IFERROR(INDEX('جدول الجرد'!$A$2:$A$29,MATCH(A962,'جدول الجرد'!$B$2:$B$29,0)),""))</f>
        <v/>
      </c>
      <c r="C962" s="5" t="str">
        <f>IF(A962="","",IFERROR(INDEX('جدول الجرد'!$E$2:$E$29,MATCH(A962,'جدول الجرد'!$B$2:$B$29,0)),""))</f>
        <v/>
      </c>
      <c r="D962" s="4" t="n"/>
      <c r="E962" s="4" t="n"/>
      <c r="F962" s="4" t="n"/>
      <c r="G962" s="4" t="n"/>
      <c r="H962" s="5" t="str">
        <f>IF(E962="","",IF(AND(F962="نعم",G962="نعم"),"جرد + مراجعة",IF(F962="نعم","جرد فقط",IF(G962="نعم","مراجعة فقط",""))))</f>
        <v/>
      </c>
      <c r="I962" s="9">
        <f>IF(H962="جرد + مراجعة",الإعدادات!$B$2,IF(H962="مراجعة فقط",الإعدادات!$B$3,IF(H962="جرد فقط",الإعدادات!$B$4,0)))</f>
        <v>0</v>
      </c>
    </row>
    <row r="963">
      <c r="A963" s="4" t="n"/>
      <c r="B963" s="5" t="str">
        <f>IF(A963="","",IFERROR(INDEX('جدول الجرد'!$A$2:$A$29,MATCH(A963,'جدول الجرد'!$B$2:$B$29,0)),""))</f>
        <v/>
      </c>
      <c r="C963" s="5" t="str">
        <f>IF(A963="","",IFERROR(INDEX('جدول الجرد'!$E$2:$E$29,MATCH(A963,'جدول الجرد'!$B$2:$B$29,0)),""))</f>
        <v/>
      </c>
      <c r="D963" s="4" t="n"/>
      <c r="E963" s="4" t="n"/>
      <c r="F963" s="4" t="n"/>
      <c r="G963" s="4" t="n"/>
      <c r="H963" s="5" t="str">
        <f>IF(E963="","",IF(AND(F963="نعم",G963="نعم"),"جرد + مراجعة",IF(F963="نعم","جرد فقط",IF(G963="نعم","مراجعة فقط",""))))</f>
        <v/>
      </c>
      <c r="I963" s="9">
        <f>IF(H963="جرد + مراجعة",الإعدادات!$B$2,IF(H963="مراجعة فقط",الإعدادات!$B$3,IF(H963="جرد فقط",الإعدادات!$B$4,0)))</f>
        <v>0</v>
      </c>
    </row>
    <row r="964">
      <c r="A964" s="4" t="n"/>
      <c r="B964" s="5" t="str">
        <f>IF(A964="","",IFERROR(INDEX('جدول الجرد'!$A$2:$A$29,MATCH(A964,'جدول الجرد'!$B$2:$B$29,0)),""))</f>
        <v/>
      </c>
      <c r="C964" s="5" t="str">
        <f>IF(A964="","",IFERROR(INDEX('جدول الجرد'!$E$2:$E$29,MATCH(A964,'جدول الجرد'!$B$2:$B$29,0)),""))</f>
        <v/>
      </c>
      <c r="D964" s="4" t="n"/>
      <c r="E964" s="4" t="n"/>
      <c r="F964" s="4" t="n"/>
      <c r="G964" s="4" t="n"/>
      <c r="H964" s="5" t="str">
        <f>IF(E964="","",IF(AND(F964="نعم",G964="نعم"),"جرد + مراجعة",IF(F964="نعم","جرد فقط",IF(G964="نعم","مراجعة فقط",""))))</f>
        <v/>
      </c>
      <c r="I964" s="9">
        <f>IF(H964="جرد + مراجعة",الإعدادات!$B$2,IF(H964="مراجعة فقط",الإعدادات!$B$3,IF(H964="جرد فقط",الإعدادات!$B$4,0)))</f>
        <v>0</v>
      </c>
    </row>
    <row r="965">
      <c r="A965" s="4" t="n"/>
      <c r="B965" s="5" t="str">
        <f>IF(A965="","",IFERROR(INDEX('جدول الجرد'!$A$2:$A$29,MATCH(A965,'جدول الجرد'!$B$2:$B$29,0)),""))</f>
        <v/>
      </c>
      <c r="C965" s="5" t="str">
        <f>IF(A965="","",IFERROR(INDEX('جدول الجرد'!$E$2:$E$29,MATCH(A965,'جدول الجرد'!$B$2:$B$29,0)),""))</f>
        <v/>
      </c>
      <c r="D965" s="4" t="n"/>
      <c r="E965" s="4" t="n"/>
      <c r="F965" s="4" t="n"/>
      <c r="G965" s="4" t="n"/>
      <c r="H965" s="5" t="str">
        <f>IF(E965="","",IF(AND(F965="نعم",G965="نعم"),"جرد + مراجعة",IF(F965="نعم","جرد فقط",IF(G965="نعم","مراجعة فقط",""))))</f>
        <v/>
      </c>
      <c r="I965" s="9">
        <f>IF(H965="جرد + مراجعة",الإعدادات!$B$2,IF(H965="مراجعة فقط",الإعدادات!$B$3,IF(H965="جرد فقط",الإعدادات!$B$4,0)))</f>
        <v>0</v>
      </c>
    </row>
    <row r="966">
      <c r="A966" s="4" t="n"/>
      <c r="B966" s="5" t="str">
        <f>IF(A966="","",IFERROR(INDEX('جدول الجرد'!$A$2:$A$29,MATCH(A966,'جدول الجرد'!$B$2:$B$29,0)),""))</f>
        <v/>
      </c>
      <c r="C966" s="5" t="str">
        <f>IF(A966="","",IFERROR(INDEX('جدول الجرد'!$E$2:$E$29,MATCH(A966,'جدول الجرد'!$B$2:$B$29,0)),""))</f>
        <v/>
      </c>
      <c r="D966" s="4" t="n"/>
      <c r="E966" s="4" t="n"/>
      <c r="F966" s="4" t="n"/>
      <c r="G966" s="4" t="n"/>
      <c r="H966" s="5" t="str">
        <f>IF(E966="","",IF(AND(F966="نعم",G966="نعم"),"جرد + مراجعة",IF(F966="نعم","جرد فقط",IF(G966="نعم","مراجعة فقط",""))))</f>
        <v/>
      </c>
      <c r="I966" s="9">
        <f>IF(H966="جرد + مراجعة",الإعدادات!$B$2,IF(H966="مراجعة فقط",الإعدادات!$B$3,IF(H966="جرد فقط",الإعدادات!$B$4,0)))</f>
        <v>0</v>
      </c>
    </row>
    <row r="967">
      <c r="A967" s="4" t="n"/>
      <c r="B967" s="5" t="str">
        <f>IF(A967="","",IFERROR(INDEX('جدول الجرد'!$A$2:$A$29,MATCH(A967,'جدول الجرد'!$B$2:$B$29,0)),""))</f>
        <v/>
      </c>
      <c r="C967" s="5" t="str">
        <f>IF(A967="","",IFERROR(INDEX('جدول الجرد'!$E$2:$E$29,MATCH(A967,'جدول الجرد'!$B$2:$B$29,0)),""))</f>
        <v/>
      </c>
      <c r="D967" s="4" t="n"/>
      <c r="E967" s="4" t="n"/>
      <c r="F967" s="4" t="n"/>
      <c r="G967" s="4" t="n"/>
      <c r="H967" s="5" t="str">
        <f>IF(E967="","",IF(AND(F967="نعم",G967="نعم"),"جرد + مراجعة",IF(F967="نعم","جرد فقط",IF(G967="نعم","مراجعة فقط",""))))</f>
        <v/>
      </c>
      <c r="I967" s="9">
        <f>IF(H967="جرد + مراجعة",الإعدادات!$B$2,IF(H967="مراجعة فقط",الإعدادات!$B$3,IF(H967="جرد فقط",الإعدادات!$B$4,0)))</f>
        <v>0</v>
      </c>
    </row>
    <row r="968">
      <c r="A968" s="4" t="n"/>
      <c r="B968" s="5" t="str">
        <f>IF(A968="","",IFERROR(INDEX('جدول الجرد'!$A$2:$A$29,MATCH(A968,'جدول الجرد'!$B$2:$B$29,0)),""))</f>
        <v/>
      </c>
      <c r="C968" s="5" t="str">
        <f>IF(A968="","",IFERROR(INDEX('جدول الجرد'!$E$2:$E$29,MATCH(A968,'جدول الجرد'!$B$2:$B$29,0)),""))</f>
        <v/>
      </c>
      <c r="D968" s="4" t="n"/>
      <c r="E968" s="4" t="n"/>
      <c r="F968" s="4" t="n"/>
      <c r="G968" s="4" t="n"/>
      <c r="H968" s="5" t="str">
        <f>IF(E968="","",IF(AND(F968="نعم",G968="نعم"),"جرد + مراجعة",IF(F968="نعم","جرد فقط",IF(G968="نعم","مراجعة فقط",""))))</f>
        <v/>
      </c>
      <c r="I968" s="9">
        <f>IF(H968="جرد + مراجعة",الإعدادات!$B$2,IF(H968="مراجعة فقط",الإعدادات!$B$3,IF(H968="جرد فقط",الإعدادات!$B$4,0)))</f>
        <v>0</v>
      </c>
    </row>
    <row r="969">
      <c r="A969" s="4" t="n"/>
      <c r="B969" s="5" t="str">
        <f>IF(A969="","",IFERROR(INDEX('جدول الجرد'!$A$2:$A$29,MATCH(A969,'جدول الجرد'!$B$2:$B$29,0)),""))</f>
        <v/>
      </c>
      <c r="C969" s="5" t="str">
        <f>IF(A969="","",IFERROR(INDEX('جدول الجرد'!$E$2:$E$29,MATCH(A969,'جدول الجرد'!$B$2:$B$29,0)),""))</f>
        <v/>
      </c>
      <c r="D969" s="4" t="n"/>
      <c r="E969" s="4" t="n"/>
      <c r="F969" s="4" t="n"/>
      <c r="G969" s="4" t="n"/>
      <c r="H969" s="5" t="str">
        <f>IF(E969="","",IF(AND(F969="نعم",G969="نعم"),"جرد + مراجعة",IF(F969="نعم","جرد فقط",IF(G969="نعم","مراجعة فقط",""))))</f>
        <v/>
      </c>
      <c r="I969" s="9">
        <f>IF(H969="جرد + مراجعة",الإعدادات!$B$2,IF(H969="مراجعة فقط",الإعدادات!$B$3,IF(H969="جرد فقط",الإعدادات!$B$4,0)))</f>
        <v>0</v>
      </c>
    </row>
    <row r="970">
      <c r="A970" s="4" t="n"/>
      <c r="B970" s="5" t="str">
        <f>IF(A970="","",IFERROR(INDEX('جدول الجرد'!$A$2:$A$29,MATCH(A970,'جدول الجرد'!$B$2:$B$29,0)),""))</f>
        <v/>
      </c>
      <c r="C970" s="5" t="str">
        <f>IF(A970="","",IFERROR(INDEX('جدول الجرد'!$E$2:$E$29,MATCH(A970,'جدول الجرد'!$B$2:$B$29,0)),""))</f>
        <v/>
      </c>
      <c r="D970" s="4" t="n"/>
      <c r="E970" s="4" t="n"/>
      <c r="F970" s="4" t="n"/>
      <c r="G970" s="4" t="n"/>
      <c r="H970" s="5" t="str">
        <f>IF(E970="","",IF(AND(F970="نعم",G970="نعم"),"جرد + مراجعة",IF(F970="نعم","جرد فقط",IF(G970="نعم","مراجعة فقط",""))))</f>
        <v/>
      </c>
      <c r="I970" s="9">
        <f>IF(H970="جرد + مراجعة",الإعدادات!$B$2,IF(H970="مراجعة فقط",الإعدادات!$B$3,IF(H970="جرد فقط",الإعدادات!$B$4,0)))</f>
        <v>0</v>
      </c>
    </row>
    <row r="971">
      <c r="A971" s="4" t="n"/>
      <c r="B971" s="5" t="str">
        <f>IF(A971="","",IFERROR(INDEX('جدول الجرد'!$A$2:$A$29,MATCH(A971,'جدول الجرد'!$B$2:$B$29,0)),""))</f>
        <v/>
      </c>
      <c r="C971" s="5" t="str">
        <f>IF(A971="","",IFERROR(INDEX('جدول الجرد'!$E$2:$E$29,MATCH(A971,'جدول الجرد'!$B$2:$B$29,0)),""))</f>
        <v/>
      </c>
      <c r="D971" s="4" t="n"/>
      <c r="E971" s="4" t="n"/>
      <c r="F971" s="4" t="n"/>
      <c r="G971" s="4" t="n"/>
      <c r="H971" s="5" t="str">
        <f>IF(E971="","",IF(AND(F971="نعم",G971="نعم"),"جرد + مراجعة",IF(F971="نعم","جرد فقط",IF(G971="نعم","مراجعة فقط",""))))</f>
        <v/>
      </c>
      <c r="I971" s="9">
        <f>IF(H971="جرد + مراجعة",الإعدادات!$B$2,IF(H971="مراجعة فقط",الإعدادات!$B$3,IF(H971="جرد فقط",الإعدادات!$B$4,0)))</f>
        <v>0</v>
      </c>
    </row>
    <row r="972">
      <c r="A972" s="4" t="n"/>
      <c r="B972" s="5" t="str">
        <f>IF(A972="","",IFERROR(INDEX('جدول الجرد'!$A$2:$A$29,MATCH(A972,'جدول الجرد'!$B$2:$B$29,0)),""))</f>
        <v/>
      </c>
      <c r="C972" s="5" t="str">
        <f>IF(A972="","",IFERROR(INDEX('جدول الجرد'!$E$2:$E$29,MATCH(A972,'جدول الجرد'!$B$2:$B$29,0)),""))</f>
        <v/>
      </c>
      <c r="D972" s="4" t="n"/>
      <c r="E972" s="4" t="n"/>
      <c r="F972" s="4" t="n"/>
      <c r="G972" s="4" t="n"/>
      <c r="H972" s="5" t="str">
        <f>IF(E972="","",IF(AND(F972="نعم",G972="نعم"),"جرد + مراجعة",IF(F972="نعم","جرد فقط",IF(G972="نعم","مراجعة فقط",""))))</f>
        <v/>
      </c>
      <c r="I972" s="9">
        <f>IF(H972="جرد + مراجعة",الإعدادات!$B$2,IF(H972="مراجعة فقط",الإعدادات!$B$3,IF(H972="جرد فقط",الإعدادات!$B$4,0)))</f>
        <v>0</v>
      </c>
    </row>
    <row r="973">
      <c r="A973" s="4" t="n"/>
      <c r="B973" s="5" t="str">
        <f>IF(A973="","",IFERROR(INDEX('جدول الجرد'!$A$2:$A$29,MATCH(A973,'جدول الجرد'!$B$2:$B$29,0)),""))</f>
        <v/>
      </c>
      <c r="C973" s="5" t="str">
        <f>IF(A973="","",IFERROR(INDEX('جدول الجرد'!$E$2:$E$29,MATCH(A973,'جدول الجرد'!$B$2:$B$29,0)),""))</f>
        <v/>
      </c>
      <c r="D973" s="4" t="n"/>
      <c r="E973" s="4" t="n"/>
      <c r="F973" s="4" t="n"/>
      <c r="G973" s="4" t="n"/>
      <c r="H973" s="5" t="str">
        <f>IF(E973="","",IF(AND(F973="نعم",G973="نعم"),"جرد + مراجعة",IF(F973="نعم","جرد فقط",IF(G973="نعم","مراجعة فقط",""))))</f>
        <v/>
      </c>
      <c r="I973" s="9">
        <f>IF(H973="جرد + مراجعة",الإعدادات!$B$2,IF(H973="مراجعة فقط",الإعدادات!$B$3,IF(H973="جرد فقط",الإعدادات!$B$4,0)))</f>
        <v>0</v>
      </c>
    </row>
    <row r="974">
      <c r="A974" s="4" t="n"/>
      <c r="B974" s="5" t="str">
        <f>IF(A974="","",IFERROR(INDEX('جدول الجرد'!$A$2:$A$29,MATCH(A974,'جدول الجرد'!$B$2:$B$29,0)),""))</f>
        <v/>
      </c>
      <c r="C974" s="5" t="str">
        <f>IF(A974="","",IFERROR(INDEX('جدول الجرد'!$E$2:$E$29,MATCH(A974,'جدول الجرد'!$B$2:$B$29,0)),""))</f>
        <v/>
      </c>
      <c r="D974" s="4" t="n"/>
      <c r="E974" s="4" t="n"/>
      <c r="F974" s="4" t="n"/>
      <c r="G974" s="4" t="n"/>
      <c r="H974" s="5" t="str">
        <f>IF(E974="","",IF(AND(F974="نعم",G974="نعم"),"جرد + مراجعة",IF(F974="نعم","جرد فقط",IF(G974="نعم","مراجعة فقط",""))))</f>
        <v/>
      </c>
      <c r="I974" s="9">
        <f>IF(H974="جرد + مراجعة",الإعدادات!$B$2,IF(H974="مراجعة فقط",الإعدادات!$B$3,IF(H974="جرد فقط",الإعدادات!$B$4,0)))</f>
        <v>0</v>
      </c>
    </row>
    <row r="975">
      <c r="A975" s="4" t="n"/>
      <c r="B975" s="5" t="str">
        <f>IF(A975="","",IFERROR(INDEX('جدول الجرد'!$A$2:$A$29,MATCH(A975,'جدول الجرد'!$B$2:$B$29,0)),""))</f>
        <v/>
      </c>
      <c r="C975" s="5" t="str">
        <f>IF(A975="","",IFERROR(INDEX('جدول الجرد'!$E$2:$E$29,MATCH(A975,'جدول الجرد'!$B$2:$B$29,0)),""))</f>
        <v/>
      </c>
      <c r="D975" s="4" t="n"/>
      <c r="E975" s="4" t="n"/>
      <c r="F975" s="4" t="n"/>
      <c r="G975" s="4" t="n"/>
      <c r="H975" s="5" t="str">
        <f>IF(E975="","",IF(AND(F975="نعم",G975="نعم"),"جرد + مراجعة",IF(F975="نعم","جرد فقط",IF(G975="نعم","مراجعة فقط",""))))</f>
        <v/>
      </c>
      <c r="I975" s="9">
        <f>IF(H975="جرد + مراجعة",الإعدادات!$B$2,IF(H975="مراجعة فقط",الإعدادات!$B$3,IF(H975="جرد فقط",الإعدادات!$B$4,0)))</f>
        <v>0</v>
      </c>
    </row>
    <row r="976">
      <c r="A976" s="4" t="n"/>
      <c r="B976" s="5" t="str">
        <f>IF(A976="","",IFERROR(INDEX('جدول الجرد'!$A$2:$A$29,MATCH(A976,'جدول الجرد'!$B$2:$B$29,0)),""))</f>
        <v/>
      </c>
      <c r="C976" s="5" t="str">
        <f>IF(A976="","",IFERROR(INDEX('جدول الجرد'!$E$2:$E$29,MATCH(A976,'جدول الجرد'!$B$2:$B$29,0)),""))</f>
        <v/>
      </c>
      <c r="D976" s="4" t="n"/>
      <c r="E976" s="4" t="n"/>
      <c r="F976" s="4" t="n"/>
      <c r="G976" s="4" t="n"/>
      <c r="H976" s="5" t="str">
        <f>IF(E976="","",IF(AND(F976="نعم",G976="نعم"),"جرد + مراجعة",IF(F976="نعم","جرد فقط",IF(G976="نعم","مراجعة فقط",""))))</f>
        <v/>
      </c>
      <c r="I976" s="9">
        <f>IF(H976="جرد + مراجعة",الإعدادات!$B$2,IF(H976="مراجعة فقط",الإعدادات!$B$3,IF(H976="جرد فقط",الإعدادات!$B$4,0)))</f>
        <v>0</v>
      </c>
    </row>
    <row r="977">
      <c r="A977" s="4" t="n"/>
      <c r="B977" s="5" t="str">
        <f>IF(A977="","",IFERROR(INDEX('جدول الجرد'!$A$2:$A$29,MATCH(A977,'جدول الجرد'!$B$2:$B$29,0)),""))</f>
        <v/>
      </c>
      <c r="C977" s="5" t="str">
        <f>IF(A977="","",IFERROR(INDEX('جدول الجرد'!$E$2:$E$29,MATCH(A977,'جدول الجرد'!$B$2:$B$29,0)),""))</f>
        <v/>
      </c>
      <c r="D977" s="4" t="n"/>
      <c r="E977" s="4" t="n"/>
      <c r="F977" s="4" t="n"/>
      <c r="G977" s="4" t="n"/>
      <c r="H977" s="5" t="str">
        <f>IF(E977="","",IF(AND(F977="نعم",G977="نعم"),"جرد + مراجعة",IF(F977="نعم","جرد فقط",IF(G977="نعم","مراجعة فقط",""))))</f>
        <v/>
      </c>
      <c r="I977" s="9">
        <f>IF(H977="جرد + مراجعة",الإعدادات!$B$2,IF(H977="مراجعة فقط",الإعدادات!$B$3,IF(H977="جرد فقط",الإعدادات!$B$4,0)))</f>
        <v>0</v>
      </c>
    </row>
    <row r="978">
      <c r="A978" s="4" t="n"/>
      <c r="B978" s="5" t="str">
        <f>IF(A978="","",IFERROR(INDEX('جدول الجرد'!$A$2:$A$29,MATCH(A978,'جدول الجرد'!$B$2:$B$29,0)),""))</f>
        <v/>
      </c>
      <c r="C978" s="5" t="str">
        <f>IF(A978="","",IFERROR(INDEX('جدول الجرد'!$E$2:$E$29,MATCH(A978,'جدول الجرد'!$B$2:$B$29,0)),""))</f>
        <v/>
      </c>
      <c r="D978" s="4" t="n"/>
      <c r="E978" s="4" t="n"/>
      <c r="F978" s="4" t="n"/>
      <c r="G978" s="4" t="n"/>
      <c r="H978" s="5" t="str">
        <f>IF(E978="","",IF(AND(F978="نعم",G978="نعم"),"جرد + مراجعة",IF(F978="نعم","جرد فقط",IF(G978="نعم","مراجعة فقط",""))))</f>
        <v/>
      </c>
      <c r="I978" s="9">
        <f>IF(H978="جرد + مراجعة",الإعدادات!$B$2,IF(H978="مراجعة فقط",الإعدادات!$B$3,IF(H978="جرد فقط",الإعدادات!$B$4,0)))</f>
        <v>0</v>
      </c>
    </row>
    <row r="979">
      <c r="A979" s="4" t="n"/>
      <c r="B979" s="5" t="str">
        <f>IF(A979="","",IFERROR(INDEX('جدول الجرد'!$A$2:$A$29,MATCH(A979,'جدول الجرد'!$B$2:$B$29,0)),""))</f>
        <v/>
      </c>
      <c r="C979" s="5" t="str">
        <f>IF(A979="","",IFERROR(INDEX('جدول الجرد'!$E$2:$E$29,MATCH(A979,'جدول الجرد'!$B$2:$B$29,0)),""))</f>
        <v/>
      </c>
      <c r="D979" s="4" t="n"/>
      <c r="E979" s="4" t="n"/>
      <c r="F979" s="4" t="n"/>
      <c r="G979" s="4" t="n"/>
      <c r="H979" s="5" t="str">
        <f>IF(E979="","",IF(AND(F979="نعم",G979="نعم"),"جرد + مراجعة",IF(F979="نعم","جرد فقط",IF(G979="نعم","مراجعة فقط",""))))</f>
        <v/>
      </c>
      <c r="I979" s="9">
        <f>IF(H979="جرد + مراجعة",الإعدادات!$B$2,IF(H979="مراجعة فقط",الإعدادات!$B$3,IF(H979="جرد فقط",الإعدادات!$B$4,0)))</f>
        <v>0</v>
      </c>
    </row>
    <row r="980">
      <c r="A980" s="4" t="n"/>
      <c r="B980" s="5" t="str">
        <f>IF(A980="","",IFERROR(INDEX('جدول الجرد'!$A$2:$A$29,MATCH(A980,'جدول الجرد'!$B$2:$B$29,0)),""))</f>
        <v/>
      </c>
      <c r="C980" s="5" t="str">
        <f>IF(A980="","",IFERROR(INDEX('جدول الجرد'!$E$2:$E$29,MATCH(A980,'جدول الجرد'!$B$2:$B$29,0)),""))</f>
        <v/>
      </c>
      <c r="D980" s="4" t="n"/>
      <c r="E980" s="4" t="n"/>
      <c r="F980" s="4" t="n"/>
      <c r="G980" s="4" t="n"/>
      <c r="H980" s="5" t="str">
        <f>IF(E980="","",IF(AND(F980="نعم",G980="نعم"),"جرد + مراجعة",IF(F980="نعم","جرد فقط",IF(G980="نعم","مراجعة فقط",""))))</f>
        <v/>
      </c>
      <c r="I980" s="9">
        <f>IF(H980="جرد + مراجعة",الإعدادات!$B$2,IF(H980="مراجعة فقط",الإعدادات!$B$3,IF(H980="جرد فقط",الإعدادات!$B$4,0)))</f>
        <v>0</v>
      </c>
    </row>
    <row r="981">
      <c r="A981" s="4" t="n"/>
      <c r="B981" s="5" t="str">
        <f>IF(A981="","",IFERROR(INDEX('جدول الجرد'!$A$2:$A$29,MATCH(A981,'جدول الجرد'!$B$2:$B$29,0)),""))</f>
        <v/>
      </c>
      <c r="C981" s="5" t="str">
        <f>IF(A981="","",IFERROR(INDEX('جدول الجرد'!$E$2:$E$29,MATCH(A981,'جدول الجرد'!$B$2:$B$29,0)),""))</f>
        <v/>
      </c>
      <c r="D981" s="4" t="n"/>
      <c r="E981" s="4" t="n"/>
      <c r="F981" s="4" t="n"/>
      <c r="G981" s="4" t="n"/>
      <c r="H981" s="5" t="str">
        <f>IF(E981="","",IF(AND(F981="نعم",G981="نعم"),"جرد + مراجعة",IF(F981="نعم","جرد فقط",IF(G981="نعم","مراجعة فقط",""))))</f>
        <v/>
      </c>
      <c r="I981" s="9">
        <f>IF(H981="جرد + مراجعة",الإعدادات!$B$2,IF(H981="مراجعة فقط",الإعدادات!$B$3,IF(H981="جرد فقط",الإعدادات!$B$4,0)))</f>
        <v>0</v>
      </c>
    </row>
    <row r="982">
      <c r="A982" s="4" t="n"/>
      <c r="B982" s="5" t="str">
        <f>IF(A982="","",IFERROR(INDEX('جدول الجرد'!$A$2:$A$29,MATCH(A982,'جدول الجرد'!$B$2:$B$29,0)),""))</f>
        <v/>
      </c>
      <c r="C982" s="5" t="str">
        <f>IF(A982="","",IFERROR(INDEX('جدول الجرد'!$E$2:$E$29,MATCH(A982,'جدول الجرد'!$B$2:$B$29,0)),""))</f>
        <v/>
      </c>
      <c r="D982" s="4" t="n"/>
      <c r="E982" s="4" t="n"/>
      <c r="F982" s="4" t="n"/>
      <c r="G982" s="4" t="n"/>
      <c r="H982" s="5" t="str">
        <f>IF(E982="","",IF(AND(F982="نعم",G982="نعم"),"جرد + مراجعة",IF(F982="نعم","جرد فقط",IF(G982="نعم","مراجعة فقط",""))))</f>
        <v/>
      </c>
      <c r="I982" s="9">
        <f>IF(H982="جرد + مراجعة",الإعدادات!$B$2,IF(H982="مراجعة فقط",الإعدادات!$B$3,IF(H982="جرد فقط",الإعدادات!$B$4,0)))</f>
        <v>0</v>
      </c>
    </row>
    <row r="983">
      <c r="A983" s="4" t="n"/>
      <c r="B983" s="5" t="str">
        <f>IF(A983="","",IFERROR(INDEX('جدول الجرد'!$A$2:$A$29,MATCH(A983,'جدول الجرد'!$B$2:$B$29,0)),""))</f>
        <v/>
      </c>
      <c r="C983" s="5" t="str">
        <f>IF(A983="","",IFERROR(INDEX('جدول الجرد'!$E$2:$E$29,MATCH(A983,'جدول الجرد'!$B$2:$B$29,0)),""))</f>
        <v/>
      </c>
      <c r="D983" s="4" t="n"/>
      <c r="E983" s="4" t="n"/>
      <c r="F983" s="4" t="n"/>
      <c r="G983" s="4" t="n"/>
      <c r="H983" s="5" t="str">
        <f>IF(E983="","",IF(AND(F983="نعم",G983="نعم"),"جرد + مراجعة",IF(F983="نعم","جرد فقط",IF(G983="نعم","مراجعة فقط",""))))</f>
        <v/>
      </c>
      <c r="I983" s="9">
        <f>IF(H983="جرد + مراجعة",الإعدادات!$B$2,IF(H983="مراجعة فقط",الإعدادات!$B$3,IF(H983="جرد فقط",الإعدادات!$B$4,0)))</f>
        <v>0</v>
      </c>
    </row>
    <row r="984">
      <c r="A984" s="4" t="n"/>
      <c r="B984" s="5" t="str">
        <f>IF(A984="","",IFERROR(INDEX('جدول الجرد'!$A$2:$A$29,MATCH(A984,'جدول الجرد'!$B$2:$B$29,0)),""))</f>
        <v/>
      </c>
      <c r="C984" s="5" t="str">
        <f>IF(A984="","",IFERROR(INDEX('جدول الجرد'!$E$2:$E$29,MATCH(A984,'جدول الجرد'!$B$2:$B$29,0)),""))</f>
        <v/>
      </c>
      <c r="D984" s="4" t="n"/>
      <c r="E984" s="4" t="n"/>
      <c r="F984" s="4" t="n"/>
      <c r="G984" s="4" t="n"/>
      <c r="H984" s="5" t="str">
        <f>IF(E984="","",IF(AND(F984="نعم",G984="نعم"),"جرد + مراجعة",IF(F984="نعم","جرد فقط",IF(G984="نعم","مراجعة فقط",""))))</f>
        <v/>
      </c>
      <c r="I984" s="9">
        <f>IF(H984="جرد + مراجعة",الإعدادات!$B$2,IF(H984="مراجعة فقط",الإعدادات!$B$3,IF(H984="جرد فقط",الإعدادات!$B$4,0)))</f>
        <v>0</v>
      </c>
    </row>
    <row r="985">
      <c r="A985" s="4" t="n"/>
      <c r="B985" s="5" t="str">
        <f>IF(A985="","",IFERROR(INDEX('جدول الجرد'!$A$2:$A$29,MATCH(A985,'جدول الجرد'!$B$2:$B$29,0)),""))</f>
        <v/>
      </c>
      <c r="C985" s="5" t="str">
        <f>IF(A985="","",IFERROR(INDEX('جدول الجرد'!$E$2:$E$29,MATCH(A985,'جدول الجرد'!$B$2:$B$29,0)),""))</f>
        <v/>
      </c>
      <c r="D985" s="4" t="n"/>
      <c r="E985" s="4" t="n"/>
      <c r="F985" s="4" t="n"/>
      <c r="G985" s="4" t="n"/>
      <c r="H985" s="5" t="str">
        <f>IF(E985="","",IF(AND(F985="نعم",G985="نعم"),"جرد + مراجعة",IF(F985="نعم","جرد فقط",IF(G985="نعم","مراجعة فقط",""))))</f>
        <v/>
      </c>
      <c r="I985" s="9">
        <f>IF(H985="جرد + مراجعة",الإعدادات!$B$2,IF(H985="مراجعة فقط",الإعدادات!$B$3,IF(H985="جرد فقط",الإعدادات!$B$4,0)))</f>
        <v>0</v>
      </c>
    </row>
    <row r="986">
      <c r="A986" s="4" t="n"/>
      <c r="B986" s="5" t="str">
        <f>IF(A986="","",IFERROR(INDEX('جدول الجرد'!$A$2:$A$29,MATCH(A986,'جدول الجرد'!$B$2:$B$29,0)),""))</f>
        <v/>
      </c>
      <c r="C986" s="5" t="str">
        <f>IF(A986="","",IFERROR(INDEX('جدول الجرد'!$E$2:$E$29,MATCH(A986,'جدول الجرد'!$B$2:$B$29,0)),""))</f>
        <v/>
      </c>
      <c r="D986" s="4" t="n"/>
      <c r="E986" s="4" t="n"/>
      <c r="F986" s="4" t="n"/>
      <c r="G986" s="4" t="n"/>
      <c r="H986" s="5" t="str">
        <f>IF(E986="","",IF(AND(F986="نعم",G986="نعم"),"جرد + مراجعة",IF(F986="نعم","جرد فقط",IF(G986="نعم","مراجعة فقط",""))))</f>
        <v/>
      </c>
      <c r="I986" s="9">
        <f>IF(H986="جرد + مراجعة",الإعدادات!$B$2,IF(H986="مراجعة فقط",الإعدادات!$B$3,IF(H986="جرد فقط",الإعدادات!$B$4,0)))</f>
        <v>0</v>
      </c>
    </row>
    <row r="987">
      <c r="A987" s="4" t="n"/>
      <c r="B987" s="5" t="str">
        <f>IF(A987="","",IFERROR(INDEX('جدول الجرد'!$A$2:$A$29,MATCH(A987,'جدول الجرد'!$B$2:$B$29,0)),""))</f>
        <v/>
      </c>
      <c r="C987" s="5" t="str">
        <f>IF(A987="","",IFERROR(INDEX('جدول الجرد'!$E$2:$E$29,MATCH(A987,'جدول الجرد'!$B$2:$B$29,0)),""))</f>
        <v/>
      </c>
      <c r="D987" s="4" t="n"/>
      <c r="E987" s="4" t="n"/>
      <c r="F987" s="4" t="n"/>
      <c r="G987" s="4" t="n"/>
      <c r="H987" s="5" t="str">
        <f>IF(E987="","",IF(AND(F987="نعم",G987="نعم"),"جرد + مراجعة",IF(F987="نعم","جرد فقط",IF(G987="نعم","مراجعة فقط",""))))</f>
        <v/>
      </c>
      <c r="I987" s="9">
        <f>IF(H987="جرد + مراجعة",الإعدادات!$B$2,IF(H987="مراجعة فقط",الإعدادات!$B$3,IF(H987="جرد فقط",الإعدادات!$B$4,0)))</f>
        <v>0</v>
      </c>
    </row>
    <row r="988">
      <c r="A988" s="4" t="n"/>
      <c r="B988" s="5" t="str">
        <f>IF(A988="","",IFERROR(INDEX('جدول الجرد'!$A$2:$A$29,MATCH(A988,'جدول الجرد'!$B$2:$B$29,0)),""))</f>
        <v/>
      </c>
      <c r="C988" s="5" t="str">
        <f>IF(A988="","",IFERROR(INDEX('جدول الجرد'!$E$2:$E$29,MATCH(A988,'جدول الجرد'!$B$2:$B$29,0)),""))</f>
        <v/>
      </c>
      <c r="D988" s="4" t="n"/>
      <c r="E988" s="4" t="n"/>
      <c r="F988" s="4" t="n"/>
      <c r="G988" s="4" t="n"/>
      <c r="H988" s="5" t="str">
        <f>IF(E988="","",IF(AND(F988="نعم",G988="نعم"),"جرد + مراجعة",IF(F988="نعم","جرد فقط",IF(G988="نعم","مراجعة فقط",""))))</f>
        <v/>
      </c>
      <c r="I988" s="9">
        <f>IF(H988="جرد + مراجعة",الإعدادات!$B$2,IF(H988="مراجعة فقط",الإعدادات!$B$3,IF(H988="جرد فقط",الإعدادات!$B$4,0)))</f>
        <v>0</v>
      </c>
    </row>
    <row r="989">
      <c r="A989" s="4" t="n"/>
      <c r="B989" s="5" t="str">
        <f>IF(A989="","",IFERROR(INDEX('جدول الجرد'!$A$2:$A$29,MATCH(A989,'جدول الجرد'!$B$2:$B$29,0)),""))</f>
        <v/>
      </c>
      <c r="C989" s="5" t="str">
        <f>IF(A989="","",IFERROR(INDEX('جدول الجرد'!$E$2:$E$29,MATCH(A989,'جدول الجرد'!$B$2:$B$29,0)),""))</f>
        <v/>
      </c>
      <c r="D989" s="4" t="n"/>
      <c r="E989" s="4" t="n"/>
      <c r="F989" s="4" t="n"/>
      <c r="G989" s="4" t="n"/>
      <c r="H989" s="5" t="str">
        <f>IF(E989="","",IF(AND(F989="نعم",G989="نعم"),"جرد + مراجعة",IF(F989="نعم","جرد فقط",IF(G989="نعم","مراجعة فقط",""))))</f>
        <v/>
      </c>
      <c r="I989" s="9">
        <f>IF(H989="جرد + مراجعة",الإعدادات!$B$2,IF(H989="مراجعة فقط",الإعدادات!$B$3,IF(H989="جرد فقط",الإعدادات!$B$4,0)))</f>
        <v>0</v>
      </c>
    </row>
    <row r="990">
      <c r="A990" s="4" t="n"/>
      <c r="B990" s="5" t="str">
        <f>IF(A990="","",IFERROR(INDEX('جدول الجرد'!$A$2:$A$29,MATCH(A990,'جدول الجرد'!$B$2:$B$29,0)),""))</f>
        <v/>
      </c>
      <c r="C990" s="5" t="str">
        <f>IF(A990="","",IFERROR(INDEX('جدول الجرد'!$E$2:$E$29,MATCH(A990,'جدول الجرد'!$B$2:$B$29,0)),""))</f>
        <v/>
      </c>
      <c r="D990" s="4" t="n"/>
      <c r="E990" s="4" t="n"/>
      <c r="F990" s="4" t="n"/>
      <c r="G990" s="4" t="n"/>
      <c r="H990" s="5" t="str">
        <f>IF(E990="","",IF(AND(F990="نعم",G990="نعم"),"جرد + مراجعة",IF(F990="نعم","جرد فقط",IF(G990="نعم","مراجعة فقط",""))))</f>
        <v/>
      </c>
      <c r="I990" s="9">
        <f>IF(H990="جرد + مراجعة",الإعدادات!$B$2,IF(H990="مراجعة فقط",الإعدادات!$B$3,IF(H990="جرد فقط",الإعدادات!$B$4,0)))</f>
        <v>0</v>
      </c>
    </row>
    <row r="991">
      <c r="A991" s="4" t="n"/>
      <c r="B991" s="5" t="str">
        <f>IF(A991="","",IFERROR(INDEX('جدول الجرد'!$A$2:$A$29,MATCH(A991,'جدول الجرد'!$B$2:$B$29,0)),""))</f>
        <v/>
      </c>
      <c r="C991" s="5" t="str">
        <f>IF(A991="","",IFERROR(INDEX('جدول الجرد'!$E$2:$E$29,MATCH(A991,'جدول الجرد'!$B$2:$B$29,0)),""))</f>
        <v/>
      </c>
      <c r="D991" s="4" t="n"/>
      <c r="E991" s="4" t="n"/>
      <c r="F991" s="4" t="n"/>
      <c r="G991" s="4" t="n"/>
      <c r="H991" s="5" t="str">
        <f>IF(E991="","",IF(AND(F991="نعم",G991="نعم"),"جرد + مراجعة",IF(F991="نعم","جرد فقط",IF(G991="نعم","مراجعة فقط",""))))</f>
        <v/>
      </c>
      <c r="I991" s="9">
        <f>IF(H991="جرد + مراجعة",الإعدادات!$B$2,IF(H991="مراجعة فقط",الإعدادات!$B$3,IF(H991="جرد فقط",الإعدادات!$B$4,0)))</f>
        <v>0</v>
      </c>
    </row>
    <row r="992">
      <c r="A992" s="4" t="n"/>
      <c r="B992" s="5" t="str">
        <f>IF(A992="","",IFERROR(INDEX('جدول الجرد'!$A$2:$A$29,MATCH(A992,'جدول الجرد'!$B$2:$B$29,0)),""))</f>
        <v/>
      </c>
      <c r="C992" s="5" t="str">
        <f>IF(A992="","",IFERROR(INDEX('جدول الجرد'!$E$2:$E$29,MATCH(A992,'جدول الجرد'!$B$2:$B$29,0)),""))</f>
        <v/>
      </c>
      <c r="D992" s="4" t="n"/>
      <c r="E992" s="4" t="n"/>
      <c r="F992" s="4" t="n"/>
      <c r="G992" s="4" t="n"/>
      <c r="H992" s="5" t="str">
        <f>IF(E992="","",IF(AND(F992="نعم",G992="نعم"),"جرد + مراجعة",IF(F992="نعم","جرد فقط",IF(G992="نعم","مراجعة فقط",""))))</f>
        <v/>
      </c>
      <c r="I992" s="9">
        <f>IF(H992="جرد + مراجعة",الإعدادات!$B$2,IF(H992="مراجعة فقط",الإعدادات!$B$3,IF(H992="جرد فقط",الإعدادات!$B$4,0)))</f>
        <v>0</v>
      </c>
    </row>
    <row r="993">
      <c r="A993" s="4" t="n"/>
      <c r="B993" s="5" t="str">
        <f>IF(A993="","",IFERROR(INDEX('جدول الجرد'!$A$2:$A$29,MATCH(A993,'جدول الجرد'!$B$2:$B$29,0)),""))</f>
        <v/>
      </c>
      <c r="C993" s="5" t="str">
        <f>IF(A993="","",IFERROR(INDEX('جدول الجرد'!$E$2:$E$29,MATCH(A993,'جدول الجرد'!$B$2:$B$29,0)),""))</f>
        <v/>
      </c>
      <c r="D993" s="4" t="n"/>
      <c r="E993" s="4" t="n"/>
      <c r="F993" s="4" t="n"/>
      <c r="G993" s="4" t="n"/>
      <c r="H993" s="5" t="str">
        <f>IF(E993="","",IF(AND(F993="نعم",G993="نعم"),"جرد + مراجعة",IF(F993="نعم","جرد فقط",IF(G993="نعم","مراجعة فقط",""))))</f>
        <v/>
      </c>
      <c r="I993" s="9">
        <f>IF(H993="جرد + مراجعة",الإعدادات!$B$2,IF(H993="مراجعة فقط",الإعدادات!$B$3,IF(H993="جرد فقط",الإعدادات!$B$4,0)))</f>
        <v>0</v>
      </c>
    </row>
    <row r="994">
      <c r="A994" s="4" t="n"/>
      <c r="B994" s="5" t="str">
        <f>IF(A994="","",IFERROR(INDEX('جدول الجرد'!$A$2:$A$29,MATCH(A994,'جدول الجرد'!$B$2:$B$29,0)),""))</f>
        <v/>
      </c>
      <c r="C994" s="5" t="str">
        <f>IF(A994="","",IFERROR(INDEX('جدول الجرد'!$E$2:$E$29,MATCH(A994,'جدول الجرد'!$B$2:$B$29,0)),""))</f>
        <v/>
      </c>
      <c r="D994" s="4" t="n"/>
      <c r="E994" s="4" t="n"/>
      <c r="F994" s="4" t="n"/>
      <c r="G994" s="4" t="n"/>
      <c r="H994" s="5" t="str">
        <f>IF(E994="","",IF(AND(F994="نعم",G994="نعم"),"جرد + مراجعة",IF(F994="نعم","جرد فقط",IF(G994="نعم","مراجعة فقط",""))))</f>
        <v/>
      </c>
      <c r="I994" s="9">
        <f>IF(H994="جرد + مراجعة",الإعدادات!$B$2,IF(H994="مراجعة فقط",الإعدادات!$B$3,IF(H994="جرد فقط",الإعدادات!$B$4,0)))</f>
        <v>0</v>
      </c>
    </row>
    <row r="995">
      <c r="A995" s="4" t="n"/>
      <c r="B995" s="5" t="str">
        <f>IF(A995="","",IFERROR(INDEX('جدول الجرد'!$A$2:$A$29,MATCH(A995,'جدول الجرد'!$B$2:$B$29,0)),""))</f>
        <v/>
      </c>
      <c r="C995" s="5" t="str">
        <f>IF(A995="","",IFERROR(INDEX('جدول الجرد'!$E$2:$E$29,MATCH(A995,'جدول الجرد'!$B$2:$B$29,0)),""))</f>
        <v/>
      </c>
      <c r="D995" s="4" t="n"/>
      <c r="E995" s="4" t="n"/>
      <c r="F995" s="4" t="n"/>
      <c r="G995" s="4" t="n"/>
      <c r="H995" s="5" t="str">
        <f>IF(E995="","",IF(AND(F995="نعم",G995="نعم"),"جرد + مراجعة",IF(F995="نعم","جرد فقط",IF(G995="نعم","مراجعة فقط",""))))</f>
        <v/>
      </c>
      <c r="I995" s="9">
        <f>IF(H995="جرد + مراجعة",الإعدادات!$B$2,IF(H995="مراجعة فقط",الإعدادات!$B$3,IF(H995="جرد فقط",الإعدادات!$B$4,0)))</f>
        <v>0</v>
      </c>
    </row>
    <row r="996">
      <c r="A996" s="4" t="n"/>
      <c r="B996" s="5" t="str">
        <f>IF(A996="","",IFERROR(INDEX('جدول الجرد'!$A$2:$A$29,MATCH(A996,'جدول الجرد'!$B$2:$B$29,0)),""))</f>
        <v/>
      </c>
      <c r="C996" s="5" t="str">
        <f>IF(A996="","",IFERROR(INDEX('جدول الجرد'!$E$2:$E$29,MATCH(A996,'جدول الجرد'!$B$2:$B$29,0)),""))</f>
        <v/>
      </c>
      <c r="D996" s="4" t="n"/>
      <c r="E996" s="4" t="n"/>
      <c r="F996" s="4" t="n"/>
      <c r="G996" s="4" t="n"/>
      <c r="H996" s="5" t="str">
        <f>IF(E996="","",IF(AND(F996="نعم",G996="نعم"),"جرد + مراجعة",IF(F996="نعم","جرد فقط",IF(G996="نعم","مراجعة فقط",""))))</f>
        <v/>
      </c>
      <c r="I996" s="9">
        <f>IF(H996="جرد + مراجعة",الإعدادات!$B$2,IF(H996="مراجعة فقط",الإعدادات!$B$3,IF(H996="جرد فقط",الإعدادات!$B$4,0)))</f>
        <v>0</v>
      </c>
    </row>
    <row r="997">
      <c r="A997" s="4" t="n"/>
      <c r="B997" s="5" t="str">
        <f>IF(A997="","",IFERROR(INDEX('جدول الجرد'!$A$2:$A$29,MATCH(A997,'جدول الجرد'!$B$2:$B$29,0)),""))</f>
        <v/>
      </c>
      <c r="C997" s="5" t="str">
        <f>IF(A997="","",IFERROR(INDEX('جدول الجرد'!$E$2:$E$29,MATCH(A997,'جدول الجرد'!$B$2:$B$29,0)),""))</f>
        <v/>
      </c>
      <c r="D997" s="4" t="n"/>
      <c r="E997" s="4" t="n"/>
      <c r="F997" s="4" t="n"/>
      <c r="G997" s="4" t="n"/>
      <c r="H997" s="5" t="str">
        <f>IF(E997="","",IF(AND(F997="نعم",G997="نعم"),"جرد + مراجعة",IF(F997="نعم","جرد فقط",IF(G997="نعم","مراجعة فقط",""))))</f>
        <v/>
      </c>
      <c r="I997" s="9">
        <f>IF(H997="جرد + مراجعة",الإعدادات!$B$2,IF(H997="مراجعة فقط",الإعدادات!$B$3,IF(H997="جرد فقط",الإعدادات!$B$4,0)))</f>
        <v>0</v>
      </c>
    </row>
    <row r="998">
      <c r="A998" s="4" t="n"/>
      <c r="B998" s="5" t="str">
        <f>IF(A998="","",IFERROR(INDEX('جدول الجرد'!$A$2:$A$29,MATCH(A998,'جدول الجرد'!$B$2:$B$29,0)),""))</f>
        <v/>
      </c>
      <c r="C998" s="5" t="str">
        <f>IF(A998="","",IFERROR(INDEX('جدول الجرد'!$E$2:$E$29,MATCH(A998,'جدول الجرد'!$B$2:$B$29,0)),""))</f>
        <v/>
      </c>
      <c r="D998" s="4" t="n"/>
      <c r="E998" s="4" t="n"/>
      <c r="F998" s="4" t="n"/>
      <c r="G998" s="4" t="n"/>
      <c r="H998" s="5" t="str">
        <f>IF(E998="","",IF(AND(F998="نعم",G998="نعم"),"جرد + مراجعة",IF(F998="نعم","جرد فقط",IF(G998="نعم","مراجعة فقط",""))))</f>
        <v/>
      </c>
      <c r="I998" s="9">
        <f>IF(H998="جرد + مراجعة",الإعدادات!$B$2,IF(H998="مراجعة فقط",الإعدادات!$B$3,IF(H998="جرد فقط",الإعدادات!$B$4,0)))</f>
        <v>0</v>
      </c>
    </row>
    <row r="999">
      <c r="A999" s="4" t="n"/>
      <c r="B999" s="5" t="str">
        <f>IF(A999="","",IFERROR(INDEX('جدول الجرد'!$A$2:$A$29,MATCH(A999,'جدول الجرد'!$B$2:$B$29,0)),""))</f>
        <v/>
      </c>
      <c r="C999" s="5" t="str">
        <f>IF(A999="","",IFERROR(INDEX('جدول الجرد'!$E$2:$E$29,MATCH(A999,'جدول الجرد'!$B$2:$B$29,0)),""))</f>
        <v/>
      </c>
      <c r="D999" s="4" t="n"/>
      <c r="E999" s="4" t="n"/>
      <c r="F999" s="4" t="n"/>
      <c r="G999" s="4" t="n"/>
      <c r="H999" s="5" t="str">
        <f>IF(E999="","",IF(AND(F999="نعم",G999="نعم"),"جرد + مراجعة",IF(F999="نعم","جرد فقط",IF(G999="نعم","مراجعة فقط",""))))</f>
        <v/>
      </c>
      <c r="I999" s="9">
        <f>IF(H999="جرد + مراجعة",الإعدادات!$B$2,IF(H999="مراجعة فقط",الإعدادات!$B$3,IF(H999="جرد فقط",الإعدادات!$B$4,0)))</f>
        <v>0</v>
      </c>
    </row>
    <row r="1000">
      <c r="A1000" s="4" t="n"/>
      <c r="B1000" s="5" t="str">
        <f>IF(A1000="","",IFERROR(INDEX('جدول الجرد'!$A$2:$A$29,MATCH(A1000,'جدول الجرد'!$B$2:$B$29,0)),""))</f>
        <v/>
      </c>
      <c r="C1000" s="5" t="str">
        <f>IF(A1000="","",IFERROR(INDEX('جدول الجرد'!$E$2:$E$29,MATCH(A1000,'جدول الجرد'!$B$2:$B$29,0)),""))</f>
        <v/>
      </c>
      <c r="D1000" s="4" t="n"/>
      <c r="E1000" s="4" t="n"/>
      <c r="F1000" s="4" t="n"/>
      <c r="G1000" s="4" t="n"/>
      <c r="H1000" s="5" t="str">
        <f>IF(E1000="","",IF(AND(F1000="نعم",G1000="نعم"),"جرد + مراجعة",IF(F1000="نعم","جرد فقط",IF(G1000="نعم","مراجعة فقط",""))))</f>
        <v/>
      </c>
      <c r="I1000" s="9">
        <f>IF(H1000="جرد + مراجعة",الإعدادات!$B$2,IF(H1000="مراجعة فقط",الإعدادات!$B$3,IF(H1000="جرد فقط",الإعدادات!$B$4,0)))</f>
        <v>0</v>
      </c>
    </row>
  </sheetData>
  <autoFilter ref="A1:I1000"/>
  <dataValidations count="1">
    <dataValidation sqref="F2:G1000" showDropDown="0" showInputMessage="0" showErrorMessage="0" allowBlank="1" type="list">
      <formula1>"نعم"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2026-10-15T09:54:39Z</dcterms:created>
  <dcterms:modified xsi:type="dcterms:W3CDTF">2026-10-15T09:54:39Z</dcterms:modified>
</cp:coreProperties>
</file>