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إعدادات" sheetId="2" state="visible" r:id="rId2"/>
    <sheet name="جدول الجرد" sheetId="3" state="visible" r:id="rId3"/>
    <sheet name="السجل" sheetId="4" state="visible" r:id="rId4"/>
  </sheets>
  <definedNames>
    <definedName name="_xlnm._FilterDatabase" localSheetId="3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/>
      </c>
      <c r="C4" s="5">
        <f>IF(A4="","",COUNTIFS(السجل!$E$2:$E$1000,A4,السجل!$H$2:$H$1000,"مراجعة فقط"))</f>
        <v/>
      </c>
      <c r="D4" s="5">
        <f>IF(A4="","",COUNTIFS(السجل!$E$2:$E$1000,A4,السجل!$H$2:$H$1000,"جرد فقط"))</f>
        <v/>
      </c>
      <c r="E4" s="5">
        <f>IF(A4="","",SUM(B4:D4))</f>
        <v/>
      </c>
      <c r="F4" s="6">
        <f>IF(A4="","",SUMIFS(السجل!$I$2:$I$1000,السجل!$E$2:$E$1000,A4))</f>
        <v/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/>
      </c>
      <c r="C5" s="5">
        <f>IF(A5="","",COUNTIFS(السجل!$E$2:$E$1000,A5,السجل!$H$2:$H$1000,"مراجعة فقط"))</f>
        <v/>
      </c>
      <c r="D5" s="5">
        <f>IF(A5="","",COUNTIFS(السجل!$E$2:$E$1000,A5,السجل!$H$2:$H$1000,"جرد فقط"))</f>
        <v/>
      </c>
      <c r="E5" s="5">
        <f>IF(A5="","",SUM(B5:D5))</f>
        <v/>
      </c>
      <c r="F5" s="6">
        <f>IF(A5="","",SUMIFS(السجل!$I$2:$I$1000,السجل!$E$2:$E$1000,A5))</f>
        <v/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/>
      </c>
      <c r="C6" s="5">
        <f>IF(A6="","",COUNTIFS(السجل!$E$2:$E$1000,A6,السجل!$H$2:$H$1000,"مراجعة فقط"))</f>
        <v/>
      </c>
      <c r="D6" s="5">
        <f>IF(A6="","",COUNTIFS(السجل!$E$2:$E$1000,A6,السجل!$H$2:$H$1000,"جرد فقط"))</f>
        <v/>
      </c>
      <c r="E6" s="5">
        <f>IF(A6="","",SUM(B6:D6))</f>
        <v/>
      </c>
      <c r="F6" s="6">
        <f>IF(A6="","",SUMIFS(السجل!$I$2:$I$1000,السجل!$E$2:$E$1000,A6))</f>
        <v/>
      </c>
    </row>
    <row r="7">
      <c r="A7" s="4" t="n"/>
      <c r="B7" s="5">
        <f>IF(A7="","",COUNTIFS(السجل!$E$2:$E$1000,A7,السجل!$H$2:$H$1000,"جرد + مراجعة"))</f>
        <v/>
      </c>
      <c r="C7" s="5">
        <f>IF(A7="","",COUNTIFS(السجل!$E$2:$E$1000,A7,السجل!$H$2:$H$1000,"مراجعة فقط"))</f>
        <v/>
      </c>
      <c r="D7" s="5">
        <f>IF(A7="","",COUNTIFS(السجل!$E$2:$E$1000,A7,السجل!$H$2:$H$1000,"جرد فقط"))</f>
        <v/>
      </c>
      <c r="E7" s="5">
        <f>IF(A7="","",SUM(B7:D7))</f>
        <v/>
      </c>
      <c r="F7" s="6">
        <f>IF(A7="","",SUMIFS(السجل!$I$2:$I$1000,السجل!$E$2:$E$1000,A7))</f>
        <v/>
      </c>
    </row>
    <row r="8">
      <c r="A8" s="4" t="n"/>
      <c r="B8" s="5">
        <f>IF(A8="","",COUNTIFS(السجل!$E$2:$E$1000,A8,السجل!$H$2:$H$1000,"جرد + مراجعة"))</f>
        <v/>
      </c>
      <c r="C8" s="5">
        <f>IF(A8="","",COUNTIFS(السجل!$E$2:$E$1000,A8,السجل!$H$2:$H$1000,"مراجعة فقط"))</f>
        <v/>
      </c>
      <c r="D8" s="5">
        <f>IF(A8="","",COUNTIFS(السجل!$E$2:$E$1000,A8,السجل!$H$2:$H$1000,"جرد فقط"))</f>
        <v/>
      </c>
      <c r="E8" s="5">
        <f>IF(A8="","",SUM(B8:D8))</f>
        <v/>
      </c>
      <c r="F8" s="6">
        <f>IF(A8="","",SUMIFS(السجل!$I$2:$I$1000,السجل!$E$2:$E$1000,A8))</f>
        <v/>
      </c>
    </row>
    <row r="9">
      <c r="A9" s="4" t="n"/>
      <c r="B9" s="5">
        <f>IF(A9="","",COUNTIFS(السجل!$E$2:$E$1000,A9,السجل!$H$2:$H$1000,"جرد + مراجعة"))</f>
        <v/>
      </c>
      <c r="C9" s="5">
        <f>IF(A9="","",COUNTIFS(السجل!$E$2:$E$1000,A9,السجل!$H$2:$H$1000,"مراجعة فقط"))</f>
        <v/>
      </c>
      <c r="D9" s="5">
        <f>IF(A9="","",COUNTIFS(السجل!$E$2:$E$1000,A9,السجل!$H$2:$H$1000,"جرد فقط"))</f>
        <v/>
      </c>
      <c r="E9" s="5">
        <f>IF(A9="","",SUM(B9:D9))</f>
        <v/>
      </c>
      <c r="F9" s="6">
        <f>IF(A9="","",SUMIFS(السجل!$I$2:$I$1000,السجل!$E$2:$E$1000,A9))</f>
        <v/>
      </c>
    </row>
    <row r="10">
      <c r="A10" s="4" t="n"/>
      <c r="B10" s="5">
        <f>IF(A10="","",COUNTIFS(السجل!$E$2:$E$1000,A10,السجل!$H$2:$H$1000,"جرد + مراجعة"))</f>
        <v/>
      </c>
      <c r="C10" s="5">
        <f>IF(A10="","",COUNTIFS(السجل!$E$2:$E$1000,A10,السجل!$H$2:$H$1000,"مراجعة فقط"))</f>
        <v/>
      </c>
      <c r="D10" s="5">
        <f>IF(A10="","",COUNTIFS(السجل!$E$2:$E$1000,A10,السجل!$H$2:$H$1000,"جرد فقط"))</f>
        <v/>
      </c>
      <c r="E10" s="5">
        <f>IF(A10="","",SUM(B10:D10))</f>
        <v/>
      </c>
      <c r="F10" s="6">
        <f>IF(A10="","",SUMIFS(السجل!$I$2:$I$1000,السجل!$E$2:$E$1000,A10))</f>
        <v/>
      </c>
    </row>
    <row r="11">
      <c r="A11" s="4" t="n"/>
      <c r="B11" s="5">
        <f>IF(A11="","",COUNTIFS(السجل!$E$2:$E$1000,A11,السجل!$H$2:$H$1000,"جرد + مراجعة"))</f>
        <v/>
      </c>
      <c r="C11" s="5">
        <f>IF(A11="","",COUNTIFS(السجل!$E$2:$E$1000,A11,السجل!$H$2:$H$1000,"مراجعة فقط"))</f>
        <v/>
      </c>
      <c r="D11" s="5">
        <f>IF(A11="","",COUNTIFS(السجل!$E$2:$E$1000,A11,السجل!$H$2:$H$1000,"جرد فقط"))</f>
        <v/>
      </c>
      <c r="E11" s="5">
        <f>IF(A11="","",SUM(B11:D11))</f>
        <v/>
      </c>
      <c r="F11" s="6">
        <f>IF(A11="","",SUMIFS(السجل!$I$2:$I$1000,السجل!$E$2:$E$1000,A11))</f>
        <v/>
      </c>
    </row>
    <row r="12">
      <c r="A12" s="4" t="n"/>
      <c r="B12" s="5">
        <f>IF(A12="","",COUNTIFS(السجل!$E$2:$E$1000,A12,السجل!$H$2:$H$1000,"جرد + مراجعة"))</f>
        <v/>
      </c>
      <c r="C12" s="5">
        <f>IF(A12="","",COUNTIFS(السجل!$E$2:$E$1000,A12,السجل!$H$2:$H$1000,"مراجعة فقط"))</f>
        <v/>
      </c>
      <c r="D12" s="5">
        <f>IF(A12="","",COUNTIFS(السجل!$E$2:$E$1000,A12,السجل!$H$2:$H$1000,"جرد فقط"))</f>
        <v/>
      </c>
      <c r="E12" s="5">
        <f>IF(A12="","",SUM(B12:D12))</f>
        <v/>
      </c>
      <c r="F12" s="6">
        <f>IF(A12="","",SUMIFS(السجل!$I$2:$I$1000,السجل!$E$2:$E$1000,A12))</f>
        <v/>
      </c>
    </row>
    <row r="13">
      <c r="A13" s="4" t="n"/>
      <c r="B13" s="5">
        <f>IF(A13="","",COUNTIFS(السجل!$E$2:$E$1000,A13,السجل!$H$2:$H$1000,"جرد + مراجعة"))</f>
        <v/>
      </c>
      <c r="C13" s="5">
        <f>IF(A13="","",COUNTIFS(السجل!$E$2:$E$1000,A13,السجل!$H$2:$H$1000,"مراجعة فقط"))</f>
        <v/>
      </c>
      <c r="D13" s="5">
        <f>IF(A13="","",COUNTIFS(السجل!$E$2:$E$1000,A13,السجل!$H$2:$H$1000,"جرد فقط"))</f>
        <v/>
      </c>
      <c r="E13" s="5">
        <f>IF(A13="","",SUM(B13:D13))</f>
        <v/>
      </c>
      <c r="F13" s="6">
        <f>IF(A13="","",SUMIFS(السجل!$I$2:$I$1000,السجل!$E$2:$E$1000,A13))</f>
        <v/>
      </c>
    </row>
    <row r="14">
      <c r="A14" s="4" t="n"/>
      <c r="B14" s="5">
        <f>IF(A14="","",COUNTIFS(السجل!$E$2:$E$1000,A14,السجل!$H$2:$H$1000,"جرد + مراجعة"))</f>
        <v/>
      </c>
      <c r="C14" s="5">
        <f>IF(A14="","",COUNTIFS(السجل!$E$2:$E$1000,A14,السجل!$H$2:$H$1000,"مراجعة فقط"))</f>
        <v/>
      </c>
      <c r="D14" s="5">
        <f>IF(A14="","",COUNTIFS(السجل!$E$2:$E$1000,A14,السجل!$H$2:$H$1000,"جرد فقط"))</f>
        <v/>
      </c>
      <c r="E14" s="5">
        <f>IF(A14="","",SUM(B14:D14))</f>
        <v/>
      </c>
      <c r="F14" s="6">
        <f>IF(A14="","",SUMIFS(السجل!$I$2:$I$1000,السجل!$E$2:$E$1000,A14))</f>
        <v/>
      </c>
    </row>
    <row r="15">
      <c r="A15" s="4" t="n"/>
      <c r="B15" s="5">
        <f>IF(A15="","",COUNTIFS(السجل!$E$2:$E$1000,A15,السجل!$H$2:$H$1000,"جرد + مراجعة"))</f>
        <v/>
      </c>
      <c r="C15" s="5">
        <f>IF(A15="","",COUNTIFS(السجل!$E$2:$E$1000,A15,السجل!$H$2:$H$1000,"مراجعة فقط"))</f>
        <v/>
      </c>
      <c r="D15" s="5">
        <f>IF(A15="","",COUNTIFS(السجل!$E$2:$E$1000,A15,السجل!$H$2:$H$1000,"جرد فقط"))</f>
        <v/>
      </c>
      <c r="E15" s="5">
        <f>IF(A15="","",SUM(B15:D15))</f>
        <v/>
      </c>
      <c r="F15" s="6">
        <f>IF(A15="","",SUMIFS(السجل!$I$2:$I$1000,السجل!$E$2:$E$1000,A15))</f>
        <v/>
      </c>
    </row>
    <row r="16">
      <c r="A16" s="4" t="n"/>
      <c r="B16" s="5">
        <f>IF(A16="","",COUNTIFS(السجل!$E$2:$E$1000,A16,السجل!$H$2:$H$1000,"جرد + مراجعة"))</f>
        <v/>
      </c>
      <c r="C16" s="5">
        <f>IF(A16="","",COUNTIFS(السجل!$E$2:$E$1000,A16,السجل!$H$2:$H$1000,"مراجعة فقط"))</f>
        <v/>
      </c>
      <c r="D16" s="5">
        <f>IF(A16="","",COUNTIFS(السجل!$E$2:$E$1000,A16,السجل!$H$2:$H$1000,"جرد فقط"))</f>
        <v/>
      </c>
      <c r="E16" s="5">
        <f>IF(A16="","",SUM(B16:D16))</f>
        <v/>
      </c>
      <c r="F16" s="6">
        <f>IF(A16="","",SUMIFS(السجل!$I$2:$I$1000,السجل!$E$2:$E$1000,A16))</f>
        <v/>
      </c>
    </row>
    <row r="17">
      <c r="A17" s="4" t="n"/>
      <c r="B17" s="5">
        <f>IF(A17="","",COUNTIFS(السجل!$E$2:$E$1000,A17,السجل!$H$2:$H$1000,"جرد + مراجعة"))</f>
        <v/>
      </c>
      <c r="C17" s="5">
        <f>IF(A17="","",COUNTIFS(السجل!$E$2:$E$1000,A17,السجل!$H$2:$H$1000,"مراجعة فقط"))</f>
        <v/>
      </c>
      <c r="D17" s="5">
        <f>IF(A17="","",COUNTIFS(السجل!$E$2:$E$1000,A17,السجل!$H$2:$H$1000,"جرد فقط"))</f>
        <v/>
      </c>
      <c r="E17" s="5">
        <f>IF(A17="","",SUM(B17:D17))</f>
        <v/>
      </c>
      <c r="F17" s="6">
        <f>IF(A17="","",SUMIFS(السجل!$I$2:$I$1000,السجل!$E$2:$E$1000,A17))</f>
        <v/>
      </c>
    </row>
    <row r="18">
      <c r="A18" s="4" t="n"/>
      <c r="B18" s="5">
        <f>IF(A18="","",COUNTIFS(السجل!$E$2:$E$1000,A18,السجل!$H$2:$H$1000,"جرد + مراجعة"))</f>
        <v/>
      </c>
      <c r="C18" s="5">
        <f>IF(A18="","",COUNTIFS(السجل!$E$2:$E$1000,A18,السجل!$H$2:$H$1000,"مراجعة فقط"))</f>
        <v/>
      </c>
      <c r="D18" s="5">
        <f>IF(A18="","",COUNTIFS(السجل!$E$2:$E$1000,A18,السجل!$H$2:$H$1000,"جرد فقط"))</f>
        <v/>
      </c>
      <c r="E18" s="5">
        <f>IF(A18="","",SUM(B18:D18))</f>
        <v/>
      </c>
      <c r="F18" s="6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/>
      </c>
      <c r="C19" s="7">
        <f>SUM(C4:C18)</f>
        <v/>
      </c>
      <c r="D19" s="7">
        <f>SUM(D4:D18)</f>
        <v/>
      </c>
      <c r="E19" s="7">
        <f>SUM(E4:E18)</f>
        <v/>
      </c>
      <c r="F19" s="8">
        <f>SUM(F4:F18)</f>
        <v/>
      </c>
    </row>
    <row r="21">
      <c r="A21" s="5" t="inlineStr">
        <is>
          <t>للتحقق: إجمالي السجل</t>
        </is>
      </c>
      <c r="F21" s="9">
        <f>SUM(السجل!$I$2:$I$1000)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0" t="n">
        <v>200</v>
      </c>
    </row>
    <row r="3">
      <c r="A3" s="5" t="inlineStr">
        <is>
          <t>مراجعة فقط</t>
        </is>
      </c>
      <c r="B3" s="10" t="n">
        <v>150</v>
      </c>
    </row>
    <row r="4">
      <c r="A4" s="5" t="inlineStr">
        <is>
          <t>جرد فقط</t>
        </is>
      </c>
      <c r="B4" s="10" t="n">
        <v>100</v>
      </c>
    </row>
    <row r="6">
      <c r="A6" s="11" t="inlineStr">
        <is>
          <t>ملاحظات:</t>
        </is>
      </c>
    </row>
    <row r="7">
      <c r="A7" s="12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2" t="inlineStr">
        <is>
          <t>• الخلايا الصفراء (باللون الأزرق) قابلة للتعديل، وكل الحسابات تتحدث تلقائيًا.</t>
        </is>
      </c>
    </row>
    <row r="9">
      <c r="A9" s="12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>
        <f>IF(A2="","",IFERROR(INDEX('جدول الجرد'!$A$2:$A$28,MATCH(A2,'جدول الجرد'!$B$2:$B$28,0)),""))</f>
        <v/>
      </c>
      <c r="C2" s="5">
        <f>IF(A2="","",IFERROR(INDEX('جدول الجرد'!$E$2:$E$28,MATCH(A2,'جدول الجرد'!$B$2:$B$28,0)),""))</f>
        <v/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>
        <f>IF(E2="","",IF(AND(F2="نعم",G2="نعم"),"جرد + مراجعة",IF(F2="نعم","جرد فقط",IF(G2="نعم","مراجعة فقط",""))))</f>
        <v/>
      </c>
      <c r="I2" s="9">
        <f>IF(H2="جرد + مراجعة",الإعدادات!$B$2,IF(H2="مراجعة فقط",الإعدادات!$B$3,IF(H2="جرد فقط",الإعدادات!$B$4,0)))</f>
        <v/>
      </c>
    </row>
    <row r="3">
      <c r="A3" s="4" t="inlineStr">
        <is>
          <t>2026-09-26</t>
        </is>
      </c>
      <c r="B3" s="5">
        <f>IF(A3="","",IFERROR(INDEX('جدول الجرد'!$A$2:$A$28,MATCH(A3,'جدول الجرد'!$B$2:$B$28,0)),""))</f>
        <v/>
      </c>
      <c r="C3" s="5">
        <f>IF(A3="","",IFERROR(INDEX('جدول الجرد'!$E$2:$E$28,MATCH(A3,'جدول الجرد'!$B$2:$B$28,0)),""))</f>
        <v/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>
        <f>IF(E3="","",IF(AND(F3="نعم",G3="نعم"),"جرد + مراجعة",IF(F3="نعم","جرد فقط",IF(G3="نعم","مراجعة فقط",""))))</f>
        <v/>
      </c>
      <c r="I3" s="9">
        <f>IF(H3="جرد + مراجعة",الإعدادات!$B$2,IF(H3="مراجعة فقط",الإعدادات!$B$3,IF(H3="جرد فقط",الإعدادات!$B$4,0)))</f>
        <v/>
      </c>
    </row>
    <row r="4">
      <c r="A4" s="4" t="inlineStr">
        <is>
          <t>2026-09-26</t>
        </is>
      </c>
      <c r="B4" s="5">
        <f>IF(A4="","",IFERROR(INDEX('جدول الجرد'!$A$2:$A$28,MATCH(A4,'جدول الجرد'!$B$2:$B$28,0)),""))</f>
        <v/>
      </c>
      <c r="C4" s="5">
        <f>IF(A4="","",IFERROR(INDEX('جدول الجرد'!$E$2:$E$28,MATCH(A4,'جدول الجرد'!$B$2:$B$28,0)),""))</f>
        <v/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>
        <f>IF(E4="","",IF(AND(F4="نعم",G4="نعم"),"جرد + مراجعة",IF(F4="نعم","جرد فقط",IF(G4="نعم","مراجعة فقط",""))))</f>
        <v/>
      </c>
      <c r="I4" s="9">
        <f>IF(H4="جرد + مراجعة",الإعدادات!$B$2,IF(H4="مراجعة فقط",الإعدادات!$B$3,IF(H4="جرد فقط",الإعدادات!$B$4,0)))</f>
        <v/>
      </c>
    </row>
    <row r="5">
      <c r="A5" s="4" t="inlineStr">
        <is>
          <t>2026-09-26</t>
        </is>
      </c>
      <c r="B5" s="5">
        <f>IF(A5="","",IFERROR(INDEX('جدول الجرد'!$A$2:$A$28,MATCH(A5,'جدول الجرد'!$B$2:$B$28,0)),""))</f>
        <v/>
      </c>
      <c r="C5" s="5">
        <f>IF(A5="","",IFERROR(INDEX('جدول الجرد'!$E$2:$E$28,MATCH(A5,'جدول الجرد'!$B$2:$B$28,0)),""))</f>
        <v/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>
        <f>IF(E5="","",IF(AND(F5="نعم",G5="نعم"),"جرد + مراجعة",IF(F5="نعم","جرد فقط",IF(G5="نعم","مراجعة فقط",""))))</f>
        <v/>
      </c>
      <c r="I5" s="9">
        <f>IF(H5="جرد + مراجعة",الإعدادات!$B$2,IF(H5="مراجعة فقط",الإعدادات!$B$3,IF(H5="جرد فقط",الإعدادات!$B$4,0)))</f>
        <v/>
      </c>
    </row>
    <row r="6">
      <c r="A6" s="4" t="inlineStr">
        <is>
          <t>2026-09-26</t>
        </is>
      </c>
      <c r="B6" s="5">
        <f>IF(A6="","",IFERROR(INDEX('جدول الجرد'!$A$2:$A$28,MATCH(A6,'جدول الجرد'!$B$2:$B$28,0)),""))</f>
        <v/>
      </c>
      <c r="C6" s="5">
        <f>IF(A6="","",IFERROR(INDEX('جدول الجرد'!$E$2:$E$28,MATCH(A6,'جدول الجرد'!$B$2:$B$28,0)),""))</f>
        <v/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>
        <f>IF(E6="","",IF(AND(F6="نعم",G6="نعم"),"جرد + مراجعة",IF(F6="نعم","جرد فقط",IF(G6="نعم","مراجعة فقط",""))))</f>
        <v/>
      </c>
      <c r="I6" s="9">
        <f>IF(H6="جرد + مراجعة",الإعدادات!$B$2,IF(H6="مراجعة فقط",الإعدادات!$B$3,IF(H6="جرد فقط",الإعدادات!$B$4,0)))</f>
        <v/>
      </c>
    </row>
    <row r="7">
      <c r="A7" s="4" t="inlineStr">
        <is>
          <t>2026-09-26</t>
        </is>
      </c>
      <c r="B7" s="5">
        <f>IF(A7="","",IFERROR(INDEX('جدول الجرد'!$A$2:$A$28,MATCH(A7,'جدول الجرد'!$B$2:$B$28,0)),""))</f>
        <v/>
      </c>
      <c r="C7" s="5">
        <f>IF(A7="","",IFERROR(INDEX('جدول الجرد'!$E$2:$E$28,MATCH(A7,'جدول الجرد'!$B$2:$B$28,0)),""))</f>
        <v/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>
        <f>IF(E7="","",IF(AND(F7="نعم",G7="نعم"),"جرد + مراجعة",IF(F7="نعم","جرد فقط",IF(G7="نعم","مراجعة فقط",""))))</f>
        <v/>
      </c>
      <c r="I7" s="9">
        <f>IF(H7="جرد + مراجعة",الإعدادات!$B$2,IF(H7="مراجعة فقط",الإعدادات!$B$3,IF(H7="جرد فقط",الإعدادات!$B$4,0)))</f>
        <v/>
      </c>
    </row>
    <row r="8">
      <c r="A8" s="4" t="n"/>
      <c r="B8" s="5">
        <f>IF(A8="","",IFERROR(INDEX('جدول الجرد'!$A$2:$A$28,MATCH(A8,'جدول الجرد'!$B$2:$B$28,0)),""))</f>
        <v/>
      </c>
      <c r="C8" s="5">
        <f>IF(A8="","",IFERROR(INDEX('جدول الجرد'!$E$2:$E$28,MATCH(A8,'جدول الجرد'!$B$2:$B$28,0)),""))</f>
        <v/>
      </c>
      <c r="D8" s="4" t="n"/>
      <c r="E8" s="4" t="n"/>
      <c r="F8" s="4" t="n"/>
      <c r="G8" s="4" t="n"/>
      <c r="H8" s="5">
        <f>IF(E8="","",IF(AND(F8="نعم",G8="نعم"),"جرد + مراجعة",IF(F8="نعم","جرد فقط",IF(G8="نعم","مراجعة فقط",""))))</f>
        <v/>
      </c>
      <c r="I8" s="9">
        <f>IF(H8="جرد + مراجعة",الإعدادات!$B$2,IF(H8="مراجعة فقط",الإعدادات!$B$3,IF(H8="جرد فقط",الإعدادات!$B$4,0)))</f>
        <v/>
      </c>
    </row>
    <row r="9">
      <c r="A9" s="4" t="n"/>
      <c r="B9" s="5">
        <f>IF(A9="","",IFERROR(INDEX('جدول الجرد'!$A$2:$A$28,MATCH(A9,'جدول الجرد'!$B$2:$B$28,0)),""))</f>
        <v/>
      </c>
      <c r="C9" s="5">
        <f>IF(A9="","",IFERROR(INDEX('جدول الجرد'!$E$2:$E$28,MATCH(A9,'جدول الجرد'!$B$2:$B$28,0)),""))</f>
        <v/>
      </c>
      <c r="D9" s="4" t="n"/>
      <c r="E9" s="4" t="n"/>
      <c r="F9" s="4" t="n"/>
      <c r="G9" s="4" t="n"/>
      <c r="H9" s="5">
        <f>IF(E9="","",IF(AND(F9="نعم",G9="نعم"),"جرد + مراجعة",IF(F9="نعم","جرد فقط",IF(G9="نعم","مراجعة فقط",""))))</f>
        <v/>
      </c>
      <c r="I9" s="9">
        <f>IF(H9="جرد + مراجعة",الإعدادات!$B$2,IF(H9="مراجعة فقط",الإعدادات!$B$3,IF(H9="جرد فقط",الإعدادات!$B$4,0)))</f>
        <v/>
      </c>
    </row>
    <row r="10">
      <c r="A10" s="4" t="n"/>
      <c r="B10" s="5">
        <f>IF(A10="","",IFERROR(INDEX('جدول الجرد'!$A$2:$A$28,MATCH(A10,'جدول الجرد'!$B$2:$B$28,0)),""))</f>
        <v/>
      </c>
      <c r="C10" s="5">
        <f>IF(A10="","",IFERROR(INDEX('جدول الجرد'!$E$2:$E$28,MATCH(A10,'جدول الجرد'!$B$2:$B$28,0)),""))</f>
        <v/>
      </c>
      <c r="D10" s="4" t="n"/>
      <c r="E10" s="4" t="n"/>
      <c r="F10" s="4" t="n"/>
      <c r="G10" s="4" t="n"/>
      <c r="H10" s="5">
        <f>IF(E10="","",IF(AND(F10="نعم",G10="نعم"),"جرد + مراجعة",IF(F10="نعم","جرد فقط",IF(G10="نعم","مراجعة فقط",""))))</f>
        <v/>
      </c>
      <c r="I10" s="9">
        <f>IF(H10="جرد + مراجعة",الإعدادات!$B$2,IF(H10="مراجعة فقط",الإعدادات!$B$3,IF(H10="جرد فقط",الإعدادات!$B$4,0)))</f>
        <v/>
      </c>
    </row>
    <row r="11">
      <c r="A11" s="4" t="n"/>
      <c r="B11" s="5">
        <f>IF(A11="","",IFERROR(INDEX('جدول الجرد'!$A$2:$A$28,MATCH(A11,'جدول الجرد'!$B$2:$B$28,0)),""))</f>
        <v/>
      </c>
      <c r="C11" s="5">
        <f>IF(A11="","",IFERROR(INDEX('جدول الجرد'!$E$2:$E$28,MATCH(A11,'جدول الجرد'!$B$2:$B$28,0)),""))</f>
        <v/>
      </c>
      <c r="D11" s="4" t="n"/>
      <c r="E11" s="4" t="n"/>
      <c r="F11" s="4" t="n"/>
      <c r="G11" s="4" t="n"/>
      <c r="H11" s="5">
        <f>IF(E11="","",IF(AND(F11="نعم",G11="نعم"),"جرد + مراجعة",IF(F11="نعم","جرد فقط",IF(G11="نعم","مراجعة فقط",""))))</f>
        <v/>
      </c>
      <c r="I11" s="9">
        <f>IF(H11="جرد + مراجعة",الإعدادات!$B$2,IF(H11="مراجعة فقط",الإعدادات!$B$3,IF(H11="جرد فقط",الإعدادات!$B$4,0)))</f>
        <v/>
      </c>
    </row>
    <row r="12">
      <c r="A12" s="4" t="n"/>
      <c r="B12" s="5">
        <f>IF(A12="","",IFERROR(INDEX('جدول الجرد'!$A$2:$A$28,MATCH(A12,'جدول الجرد'!$B$2:$B$28,0)),""))</f>
        <v/>
      </c>
      <c r="C12" s="5">
        <f>IF(A12="","",IFERROR(INDEX('جدول الجرد'!$E$2:$E$28,MATCH(A12,'جدول الجرد'!$B$2:$B$28,0)),""))</f>
        <v/>
      </c>
      <c r="D12" s="4" t="n"/>
      <c r="E12" s="4" t="n"/>
      <c r="F12" s="4" t="n"/>
      <c r="G12" s="4" t="n"/>
      <c r="H12" s="5">
        <f>IF(E12="","",IF(AND(F12="نعم",G12="نعم"),"جرد + مراجعة",IF(F12="نعم","جرد فقط",IF(G12="نعم","مراجعة فقط",""))))</f>
        <v/>
      </c>
      <c r="I12" s="9">
        <f>IF(H12="جرد + مراجعة",الإعدادات!$B$2,IF(H12="مراجعة فقط",الإعدادات!$B$3,IF(H12="جرد فقط",الإعدادات!$B$4,0)))</f>
        <v/>
      </c>
    </row>
    <row r="13">
      <c r="A13" s="4" t="n"/>
      <c r="B13" s="5">
        <f>IF(A13="","",IFERROR(INDEX('جدول الجرد'!$A$2:$A$28,MATCH(A13,'جدول الجرد'!$B$2:$B$28,0)),""))</f>
        <v/>
      </c>
      <c r="C13" s="5">
        <f>IF(A13="","",IFERROR(INDEX('جدول الجرد'!$E$2:$E$28,MATCH(A13,'جدول الجرد'!$B$2:$B$28,0)),""))</f>
        <v/>
      </c>
      <c r="D13" s="4" t="n"/>
      <c r="E13" s="4" t="n"/>
      <c r="F13" s="4" t="n"/>
      <c r="G13" s="4" t="n"/>
      <c r="H13" s="5">
        <f>IF(E13="","",IF(AND(F13="نعم",G13="نعم"),"جرد + مراجعة",IF(F13="نعم","جرد فقط",IF(G13="نعم","مراجعة فقط",""))))</f>
        <v/>
      </c>
      <c r="I13" s="9">
        <f>IF(H13="جرد + مراجعة",الإعدادات!$B$2,IF(H13="مراجعة فقط",الإعدادات!$B$3,IF(H13="جرد فقط",الإعدادات!$B$4,0)))</f>
        <v/>
      </c>
    </row>
    <row r="14">
      <c r="A14" s="4" t="n"/>
      <c r="B14" s="5">
        <f>IF(A14="","",IFERROR(INDEX('جدول الجرد'!$A$2:$A$28,MATCH(A14,'جدول الجرد'!$B$2:$B$28,0)),""))</f>
        <v/>
      </c>
      <c r="C14" s="5">
        <f>IF(A14="","",IFERROR(INDEX('جدول الجرد'!$E$2:$E$28,MATCH(A14,'جدول الجرد'!$B$2:$B$28,0)),""))</f>
        <v/>
      </c>
      <c r="D14" s="4" t="n"/>
      <c r="E14" s="4" t="n"/>
      <c r="F14" s="4" t="n"/>
      <c r="G14" s="4" t="n"/>
      <c r="H14" s="5">
        <f>IF(E14="","",IF(AND(F14="نعم",G14="نعم"),"جرد + مراجعة",IF(F14="نعم","جرد فقط",IF(G14="نعم","مراجعة فقط",""))))</f>
        <v/>
      </c>
      <c r="I14" s="9">
        <f>IF(H14="جرد + مراجعة",الإعدادات!$B$2,IF(H14="مراجعة فقط",الإعدادات!$B$3,IF(H14="جرد فقط",الإعدادات!$B$4,0)))</f>
        <v/>
      </c>
    </row>
    <row r="15">
      <c r="A15" s="4" t="n"/>
      <c r="B15" s="5">
        <f>IF(A15="","",IFERROR(INDEX('جدول الجرد'!$A$2:$A$28,MATCH(A15,'جدول الجرد'!$B$2:$B$28,0)),""))</f>
        <v/>
      </c>
      <c r="C15" s="5">
        <f>IF(A15="","",IFERROR(INDEX('جدول الجرد'!$E$2:$E$28,MATCH(A15,'جدول الجرد'!$B$2:$B$28,0)),""))</f>
        <v/>
      </c>
      <c r="D15" s="4" t="n"/>
      <c r="E15" s="4" t="n"/>
      <c r="F15" s="4" t="n"/>
      <c r="G15" s="4" t="n"/>
      <c r="H15" s="5">
        <f>IF(E15="","",IF(AND(F15="نعم",G15="نعم"),"جرد + مراجعة",IF(F15="نعم","جرد فقط",IF(G15="نعم","مراجعة فقط",""))))</f>
        <v/>
      </c>
      <c r="I15" s="9">
        <f>IF(H15="جرد + مراجعة",الإعدادات!$B$2,IF(H15="مراجعة فقط",الإعدادات!$B$3,IF(H15="جرد فقط",الإعدادات!$B$4,0)))</f>
        <v/>
      </c>
    </row>
    <row r="16">
      <c r="A16" s="4" t="n"/>
      <c r="B16" s="5">
        <f>IF(A16="","",IFERROR(INDEX('جدول الجرد'!$A$2:$A$28,MATCH(A16,'جدول الجرد'!$B$2:$B$28,0)),""))</f>
        <v/>
      </c>
      <c r="C16" s="5">
        <f>IF(A16="","",IFERROR(INDEX('جدول الجرد'!$E$2:$E$28,MATCH(A16,'جدول الجرد'!$B$2:$B$28,0)),""))</f>
        <v/>
      </c>
      <c r="D16" s="4" t="n"/>
      <c r="E16" s="4" t="n"/>
      <c r="F16" s="4" t="n"/>
      <c r="G16" s="4" t="n"/>
      <c r="H16" s="5">
        <f>IF(E16="","",IF(AND(F16="نعم",G16="نعم"),"جرد + مراجعة",IF(F16="نعم","جرد فقط",IF(G16="نعم","مراجعة فقط",""))))</f>
        <v/>
      </c>
      <c r="I16" s="9">
        <f>IF(H16="جرد + مراجعة",الإعدادات!$B$2,IF(H16="مراجعة فقط",الإعدادات!$B$3,IF(H16="جرد فقط",الإعدادات!$B$4,0)))</f>
        <v/>
      </c>
    </row>
    <row r="17">
      <c r="A17" s="4" t="n"/>
      <c r="B17" s="5">
        <f>IF(A17="","",IFERROR(INDEX('جدول الجرد'!$A$2:$A$28,MATCH(A17,'جدول الجرد'!$B$2:$B$28,0)),""))</f>
        <v/>
      </c>
      <c r="C17" s="5">
        <f>IF(A17="","",IFERROR(INDEX('جدول الجرد'!$E$2:$E$28,MATCH(A17,'جدول الجرد'!$B$2:$B$28,0)),""))</f>
        <v/>
      </c>
      <c r="D17" s="4" t="n"/>
      <c r="E17" s="4" t="n"/>
      <c r="F17" s="4" t="n"/>
      <c r="G17" s="4" t="n"/>
      <c r="H17" s="5">
        <f>IF(E17="","",IF(AND(F17="نعم",G17="نعم"),"جرد + مراجعة",IF(F17="نعم","جرد فقط",IF(G17="نعم","مراجعة فقط",""))))</f>
        <v/>
      </c>
      <c r="I17" s="9">
        <f>IF(H17="جرد + مراجعة",الإعدادات!$B$2,IF(H17="مراجعة فقط",الإعدادات!$B$3,IF(H17="جرد فقط",الإعدادات!$B$4,0)))</f>
        <v/>
      </c>
    </row>
    <row r="18">
      <c r="A18" s="4" t="n"/>
      <c r="B18" s="5">
        <f>IF(A18="","",IFERROR(INDEX('جدول الجرد'!$A$2:$A$28,MATCH(A18,'جدول الجرد'!$B$2:$B$28,0)),""))</f>
        <v/>
      </c>
      <c r="C18" s="5">
        <f>IF(A18="","",IFERROR(INDEX('جدول الجرد'!$E$2:$E$28,MATCH(A18,'جدول الجرد'!$B$2:$B$28,0)),""))</f>
        <v/>
      </c>
      <c r="D18" s="4" t="n"/>
      <c r="E18" s="4" t="n"/>
      <c r="F18" s="4" t="n"/>
      <c r="G18" s="4" t="n"/>
      <c r="H18" s="5">
        <f>IF(E18="","",IF(AND(F18="نعم",G18="نعم"),"جرد + مراجعة",IF(F18="نعم","جرد فقط",IF(G18="نعم","مراجعة فقط",""))))</f>
        <v/>
      </c>
      <c r="I18" s="9">
        <f>IF(H18="جرد + مراجعة",الإعدادات!$B$2,IF(H18="مراجعة فقط",الإعدادات!$B$3,IF(H18="جرد فقط",الإعدادات!$B$4,0)))</f>
        <v/>
      </c>
    </row>
    <row r="19">
      <c r="A19" s="4" t="n"/>
      <c r="B19" s="5">
        <f>IF(A19="","",IFERROR(INDEX('جدول الجرد'!$A$2:$A$28,MATCH(A19,'جدول الجرد'!$B$2:$B$28,0)),""))</f>
        <v/>
      </c>
      <c r="C19" s="5">
        <f>IF(A19="","",IFERROR(INDEX('جدول الجرد'!$E$2:$E$28,MATCH(A19,'جدول الجرد'!$B$2:$B$28,0)),""))</f>
        <v/>
      </c>
      <c r="D19" s="4" t="n"/>
      <c r="E19" s="4" t="n"/>
      <c r="F19" s="4" t="n"/>
      <c r="G19" s="4" t="n"/>
      <c r="H19" s="5">
        <f>IF(E19="","",IF(AND(F19="نعم",G19="نعم"),"جرد + مراجعة",IF(F19="نعم","جرد فقط",IF(G19="نعم","مراجعة فقط",""))))</f>
        <v/>
      </c>
      <c r="I19" s="9">
        <f>IF(H19="جرد + مراجعة",الإعدادات!$B$2,IF(H19="مراجعة فقط",الإعدادات!$B$3,IF(H19="جرد فقط",الإعدادات!$B$4,0)))</f>
        <v/>
      </c>
    </row>
    <row r="20">
      <c r="A20" s="4" t="n"/>
      <c r="B20" s="5">
        <f>IF(A20="","",IFERROR(INDEX('جدول الجرد'!$A$2:$A$28,MATCH(A20,'جدول الجرد'!$B$2:$B$28,0)),""))</f>
        <v/>
      </c>
      <c r="C20" s="5">
        <f>IF(A20="","",IFERROR(INDEX('جدول الجرد'!$E$2:$E$28,MATCH(A20,'جدول الجرد'!$B$2:$B$28,0)),""))</f>
        <v/>
      </c>
      <c r="D20" s="4" t="n"/>
      <c r="E20" s="4" t="n"/>
      <c r="F20" s="4" t="n"/>
      <c r="G20" s="4" t="n"/>
      <c r="H20" s="5">
        <f>IF(E20="","",IF(AND(F20="نعم",G20="نعم"),"جرد + مراجعة",IF(F20="نعم","جرد فقط",IF(G20="نعم","مراجعة فقط",""))))</f>
        <v/>
      </c>
      <c r="I20" s="9">
        <f>IF(H20="جرد + مراجعة",الإعدادات!$B$2,IF(H20="مراجعة فقط",الإعدادات!$B$3,IF(H20="جرد فقط",الإعدادات!$B$4,0)))</f>
        <v/>
      </c>
    </row>
    <row r="21">
      <c r="A21" s="4" t="n"/>
      <c r="B21" s="5">
        <f>IF(A21="","",IFERROR(INDEX('جدول الجرد'!$A$2:$A$28,MATCH(A21,'جدول الجرد'!$B$2:$B$28,0)),""))</f>
        <v/>
      </c>
      <c r="C21" s="5">
        <f>IF(A21="","",IFERROR(INDEX('جدول الجرد'!$E$2:$E$28,MATCH(A21,'جدول الجرد'!$B$2:$B$28,0)),""))</f>
        <v/>
      </c>
      <c r="D21" s="4" t="n"/>
      <c r="E21" s="4" t="n"/>
      <c r="F21" s="4" t="n"/>
      <c r="G21" s="4" t="n"/>
      <c r="H21" s="5">
        <f>IF(E21="","",IF(AND(F21="نعم",G21="نعم"),"جرد + مراجعة",IF(F21="نعم","جرد فقط",IF(G21="نعم","مراجعة فقط",""))))</f>
        <v/>
      </c>
      <c r="I21" s="9">
        <f>IF(H21="جرد + مراجعة",الإعدادات!$B$2,IF(H21="مراجعة فقط",الإعدادات!$B$3,IF(H21="جرد فقط",الإعدادات!$B$4,0)))</f>
        <v/>
      </c>
    </row>
    <row r="22">
      <c r="A22" s="4" t="n"/>
      <c r="B22" s="5">
        <f>IF(A22="","",IFERROR(INDEX('جدول الجرد'!$A$2:$A$28,MATCH(A22,'جدول الجرد'!$B$2:$B$28,0)),""))</f>
        <v/>
      </c>
      <c r="C22" s="5">
        <f>IF(A22="","",IFERROR(INDEX('جدول الجرد'!$E$2:$E$28,MATCH(A22,'جدول الجرد'!$B$2:$B$28,0)),""))</f>
        <v/>
      </c>
      <c r="D22" s="4" t="n"/>
      <c r="E22" s="4" t="n"/>
      <c r="F22" s="4" t="n"/>
      <c r="G22" s="4" t="n"/>
      <c r="H22" s="5">
        <f>IF(E22="","",IF(AND(F22="نعم",G22="نعم"),"جرد + مراجعة",IF(F22="نعم","جرد فقط",IF(G22="نعم","مراجعة فقط",""))))</f>
        <v/>
      </c>
      <c r="I22" s="9">
        <f>IF(H22="جرد + مراجعة",الإعدادات!$B$2,IF(H22="مراجعة فقط",الإعدادات!$B$3,IF(H22="جرد فقط",الإعدادات!$B$4,0)))</f>
        <v/>
      </c>
    </row>
    <row r="23">
      <c r="A23" s="4" t="n"/>
      <c r="B23" s="5">
        <f>IF(A23="","",IFERROR(INDEX('جدول الجرد'!$A$2:$A$28,MATCH(A23,'جدول الجرد'!$B$2:$B$28,0)),""))</f>
        <v/>
      </c>
      <c r="C23" s="5">
        <f>IF(A23="","",IFERROR(INDEX('جدول الجرد'!$E$2:$E$28,MATCH(A23,'جدول الجرد'!$B$2:$B$28,0)),""))</f>
        <v/>
      </c>
      <c r="D23" s="4" t="n"/>
      <c r="E23" s="4" t="n"/>
      <c r="F23" s="4" t="n"/>
      <c r="G23" s="4" t="n"/>
      <c r="H23" s="5">
        <f>IF(E23="","",IF(AND(F23="نعم",G23="نعم"),"جرد + مراجعة",IF(F23="نعم","جرد فقط",IF(G23="نعم","مراجعة فقط",""))))</f>
        <v/>
      </c>
      <c r="I23" s="9">
        <f>IF(H23="جرد + مراجعة",الإعدادات!$B$2,IF(H23="مراجعة فقط",الإعدادات!$B$3,IF(H23="جرد فقط",الإعدادات!$B$4,0)))</f>
        <v/>
      </c>
    </row>
    <row r="24">
      <c r="A24" s="4" t="n"/>
      <c r="B24" s="5">
        <f>IF(A24="","",IFERROR(INDEX('جدول الجرد'!$A$2:$A$28,MATCH(A24,'جدول الجرد'!$B$2:$B$28,0)),""))</f>
        <v/>
      </c>
      <c r="C24" s="5">
        <f>IF(A24="","",IFERROR(INDEX('جدول الجرد'!$E$2:$E$28,MATCH(A24,'جدول الجرد'!$B$2:$B$28,0)),""))</f>
        <v/>
      </c>
      <c r="D24" s="4" t="n"/>
      <c r="E24" s="4" t="n"/>
      <c r="F24" s="4" t="n"/>
      <c r="G24" s="4" t="n"/>
      <c r="H24" s="5">
        <f>IF(E24="","",IF(AND(F24="نعم",G24="نعم"),"جرد + مراجعة",IF(F24="نعم","جرد فقط",IF(G24="نعم","مراجعة فقط",""))))</f>
        <v/>
      </c>
      <c r="I24" s="9">
        <f>IF(H24="جرد + مراجعة",الإعدادات!$B$2,IF(H24="مراجعة فقط",الإعدادات!$B$3,IF(H24="جرد فقط",الإعدادات!$B$4,0)))</f>
        <v/>
      </c>
    </row>
    <row r="25">
      <c r="A25" s="4" t="n"/>
      <c r="B25" s="5">
        <f>IF(A25="","",IFERROR(INDEX('جدول الجرد'!$A$2:$A$28,MATCH(A25,'جدول الجرد'!$B$2:$B$28,0)),""))</f>
        <v/>
      </c>
      <c r="C25" s="5">
        <f>IF(A25="","",IFERROR(INDEX('جدول الجرد'!$E$2:$E$28,MATCH(A25,'جدول الجرد'!$B$2:$B$28,0)),""))</f>
        <v/>
      </c>
      <c r="D25" s="4" t="n"/>
      <c r="E25" s="4" t="n"/>
      <c r="F25" s="4" t="n"/>
      <c r="G25" s="4" t="n"/>
      <c r="H25" s="5">
        <f>IF(E25="","",IF(AND(F25="نعم",G25="نعم"),"جرد + مراجعة",IF(F25="نعم","جرد فقط",IF(G25="نعم","مراجعة فقط",""))))</f>
        <v/>
      </c>
      <c r="I25" s="9">
        <f>IF(H25="جرد + مراجعة",الإعدادات!$B$2,IF(H25="مراجعة فقط",الإعدادات!$B$3,IF(H25="جرد فقط",الإعدادات!$B$4,0)))</f>
        <v/>
      </c>
    </row>
    <row r="26">
      <c r="A26" s="4" t="n"/>
      <c r="B26" s="5">
        <f>IF(A26="","",IFERROR(INDEX('جدول الجرد'!$A$2:$A$28,MATCH(A26,'جدول الجرد'!$B$2:$B$28,0)),""))</f>
        <v/>
      </c>
      <c r="C26" s="5">
        <f>IF(A26="","",IFERROR(INDEX('جدول الجرد'!$E$2:$E$28,MATCH(A26,'جدول الجرد'!$B$2:$B$28,0)),""))</f>
        <v/>
      </c>
      <c r="D26" s="4" t="n"/>
      <c r="E26" s="4" t="n"/>
      <c r="F26" s="4" t="n"/>
      <c r="G26" s="4" t="n"/>
      <c r="H26" s="5">
        <f>IF(E26="","",IF(AND(F26="نعم",G26="نعم"),"جرد + مراجعة",IF(F26="نعم","جرد فقط",IF(G26="نعم","مراجعة فقط",""))))</f>
        <v/>
      </c>
      <c r="I26" s="9">
        <f>IF(H26="جرد + مراجعة",الإعدادات!$B$2,IF(H26="مراجعة فقط",الإعدادات!$B$3,IF(H26="جرد فقط",الإعدادات!$B$4,0)))</f>
        <v/>
      </c>
    </row>
    <row r="27">
      <c r="A27" s="4" t="n"/>
      <c r="B27" s="5">
        <f>IF(A27="","",IFERROR(INDEX('جدول الجرد'!$A$2:$A$28,MATCH(A27,'جدول الجرد'!$B$2:$B$28,0)),""))</f>
        <v/>
      </c>
      <c r="C27" s="5">
        <f>IF(A27="","",IFERROR(INDEX('جدول الجرد'!$E$2:$E$28,MATCH(A27,'جدول الجرد'!$B$2:$B$28,0)),""))</f>
        <v/>
      </c>
      <c r="D27" s="4" t="n"/>
      <c r="E27" s="4" t="n"/>
      <c r="F27" s="4" t="n"/>
      <c r="G27" s="4" t="n"/>
      <c r="H27" s="5">
        <f>IF(E27="","",IF(AND(F27="نعم",G27="نعم"),"جرد + مراجعة",IF(F27="نعم","جرد فقط",IF(G27="نعم","مراجعة فقط",""))))</f>
        <v/>
      </c>
      <c r="I27" s="9">
        <f>IF(H27="جرد + مراجعة",الإعدادات!$B$2,IF(H27="مراجعة فقط",الإعدادات!$B$3,IF(H27="جرد فقط",الإعدادات!$B$4,0)))</f>
        <v/>
      </c>
    </row>
    <row r="28">
      <c r="A28" s="4" t="n"/>
      <c r="B28" s="5">
        <f>IF(A28="","",IFERROR(INDEX('جدول الجرد'!$A$2:$A$28,MATCH(A28,'جدول الجرد'!$B$2:$B$28,0)),""))</f>
        <v/>
      </c>
      <c r="C28" s="5">
        <f>IF(A28="","",IFERROR(INDEX('جدول الجرد'!$E$2:$E$28,MATCH(A28,'جدول الجرد'!$B$2:$B$28,0)),""))</f>
        <v/>
      </c>
      <c r="D28" s="4" t="n"/>
      <c r="E28" s="4" t="n"/>
      <c r="F28" s="4" t="n"/>
      <c r="G28" s="4" t="n"/>
      <c r="H28" s="5">
        <f>IF(E28="","",IF(AND(F28="نعم",G28="نعم"),"جرد + مراجعة",IF(F28="نعم","جرد فقط",IF(G28="نعم","مراجعة فقط",""))))</f>
        <v/>
      </c>
      <c r="I28" s="9">
        <f>IF(H28="جرد + مراجعة",الإعدادات!$B$2,IF(H28="مراجعة فقط",الإعدادات!$B$3,IF(H28="جرد فقط",الإعدادات!$B$4,0)))</f>
        <v/>
      </c>
    </row>
    <row r="29">
      <c r="A29" s="4" t="n"/>
      <c r="B29" s="5">
        <f>IF(A29="","",IFERROR(INDEX('جدول الجرد'!$A$2:$A$28,MATCH(A29,'جدول الجرد'!$B$2:$B$28,0)),""))</f>
        <v/>
      </c>
      <c r="C29" s="5">
        <f>IF(A29="","",IFERROR(INDEX('جدول الجرد'!$E$2:$E$28,MATCH(A29,'جدول الجرد'!$B$2:$B$28,0)),""))</f>
        <v/>
      </c>
      <c r="D29" s="4" t="n"/>
      <c r="E29" s="4" t="n"/>
      <c r="F29" s="4" t="n"/>
      <c r="G29" s="4" t="n"/>
      <c r="H29" s="5">
        <f>IF(E29="","",IF(AND(F29="نعم",G29="نعم"),"جرد + مراجعة",IF(F29="نعم","جرد فقط",IF(G29="نعم","مراجعة فقط",""))))</f>
        <v/>
      </c>
      <c r="I29" s="9">
        <f>IF(H29="جرد + مراجعة",الإعدادات!$B$2,IF(H29="مراجعة فقط",الإعدادات!$B$3,IF(H29="جرد فقط",الإعدادات!$B$4,0)))</f>
        <v/>
      </c>
    </row>
    <row r="30">
      <c r="A30" s="4" t="n"/>
      <c r="B30" s="5">
        <f>IF(A30="","",IFERROR(INDEX('جدول الجرد'!$A$2:$A$28,MATCH(A30,'جدول الجرد'!$B$2:$B$28,0)),""))</f>
        <v/>
      </c>
      <c r="C30" s="5">
        <f>IF(A30="","",IFERROR(INDEX('جدول الجرد'!$E$2:$E$28,MATCH(A30,'جدول الجرد'!$B$2:$B$28,0)),""))</f>
        <v/>
      </c>
      <c r="D30" s="4" t="n"/>
      <c r="E30" s="4" t="n"/>
      <c r="F30" s="4" t="n"/>
      <c r="G30" s="4" t="n"/>
      <c r="H30" s="5">
        <f>IF(E30="","",IF(AND(F30="نعم",G30="نعم"),"جرد + مراجعة",IF(F30="نعم","جرد فقط",IF(G30="نعم","مراجعة فقط",""))))</f>
        <v/>
      </c>
      <c r="I30" s="9">
        <f>IF(H30="جرد + مراجعة",الإعدادات!$B$2,IF(H30="مراجعة فقط",الإعدادات!$B$3,IF(H30="جرد فقط",الإعدادات!$B$4,0)))</f>
        <v/>
      </c>
    </row>
    <row r="31">
      <c r="A31" s="4" t="n"/>
      <c r="B31" s="5">
        <f>IF(A31="","",IFERROR(INDEX('جدول الجرد'!$A$2:$A$28,MATCH(A31,'جدول الجرد'!$B$2:$B$28,0)),""))</f>
        <v/>
      </c>
      <c r="C31" s="5">
        <f>IF(A31="","",IFERROR(INDEX('جدول الجرد'!$E$2:$E$28,MATCH(A31,'جدول الجرد'!$B$2:$B$28,0)),""))</f>
        <v/>
      </c>
      <c r="D31" s="4" t="n"/>
      <c r="E31" s="4" t="n"/>
      <c r="F31" s="4" t="n"/>
      <c r="G31" s="4" t="n"/>
      <c r="H31" s="5">
        <f>IF(E31="","",IF(AND(F31="نعم",G31="نعم"),"جرد + مراجعة",IF(F31="نعم","جرد فقط",IF(G31="نعم","مراجعة فقط",""))))</f>
        <v/>
      </c>
      <c r="I31" s="9">
        <f>IF(H31="جرد + مراجعة",الإعدادات!$B$2,IF(H31="مراجعة فقط",الإعدادات!$B$3,IF(H31="جرد فقط",الإعدادات!$B$4,0)))</f>
        <v/>
      </c>
    </row>
    <row r="32">
      <c r="A32" s="4" t="n"/>
      <c r="B32" s="5">
        <f>IF(A32="","",IFERROR(INDEX('جدول الجرد'!$A$2:$A$28,MATCH(A32,'جدول الجرد'!$B$2:$B$28,0)),""))</f>
        <v/>
      </c>
      <c r="C32" s="5">
        <f>IF(A32="","",IFERROR(INDEX('جدول الجرد'!$E$2:$E$28,MATCH(A32,'جدول الجرد'!$B$2:$B$28,0)),""))</f>
        <v/>
      </c>
      <c r="D32" s="4" t="n"/>
      <c r="E32" s="4" t="n"/>
      <c r="F32" s="4" t="n"/>
      <c r="G32" s="4" t="n"/>
      <c r="H32" s="5">
        <f>IF(E32="","",IF(AND(F32="نعم",G32="نعم"),"جرد + مراجعة",IF(F32="نعم","جرد فقط",IF(G32="نعم","مراجعة فقط",""))))</f>
        <v/>
      </c>
      <c r="I32" s="9">
        <f>IF(H32="جرد + مراجعة",الإعدادات!$B$2,IF(H32="مراجعة فقط",الإعدادات!$B$3,IF(H32="جرد فقط",الإعدادات!$B$4,0)))</f>
        <v/>
      </c>
    </row>
    <row r="33">
      <c r="A33" s="4" t="n"/>
      <c r="B33" s="5">
        <f>IF(A33="","",IFERROR(INDEX('جدول الجرد'!$A$2:$A$28,MATCH(A33,'جدول الجرد'!$B$2:$B$28,0)),""))</f>
        <v/>
      </c>
      <c r="C33" s="5">
        <f>IF(A33="","",IFERROR(INDEX('جدول الجرد'!$E$2:$E$28,MATCH(A33,'جدول الجرد'!$B$2:$B$28,0)),""))</f>
        <v/>
      </c>
      <c r="D33" s="4" t="n"/>
      <c r="E33" s="4" t="n"/>
      <c r="F33" s="4" t="n"/>
      <c r="G33" s="4" t="n"/>
      <c r="H33" s="5">
        <f>IF(E33="","",IF(AND(F33="نعم",G33="نعم"),"جرد + مراجعة",IF(F33="نعم","جرد فقط",IF(G33="نعم","مراجعة فقط",""))))</f>
        <v/>
      </c>
      <c r="I33" s="9">
        <f>IF(H33="جرد + مراجعة",الإعدادات!$B$2,IF(H33="مراجعة فقط",الإعدادات!$B$3,IF(H33="جرد فقط",الإعدادات!$B$4,0)))</f>
        <v/>
      </c>
    </row>
    <row r="34">
      <c r="A34" s="4" t="n"/>
      <c r="B34" s="5">
        <f>IF(A34="","",IFERROR(INDEX('جدول الجرد'!$A$2:$A$28,MATCH(A34,'جدول الجرد'!$B$2:$B$28,0)),""))</f>
        <v/>
      </c>
      <c r="C34" s="5">
        <f>IF(A34="","",IFERROR(INDEX('جدول الجرد'!$E$2:$E$28,MATCH(A34,'جدول الجرد'!$B$2:$B$28,0)),""))</f>
        <v/>
      </c>
      <c r="D34" s="4" t="n"/>
      <c r="E34" s="4" t="n"/>
      <c r="F34" s="4" t="n"/>
      <c r="G34" s="4" t="n"/>
      <c r="H34" s="5">
        <f>IF(E34="","",IF(AND(F34="نعم",G34="نعم"),"جرد + مراجعة",IF(F34="نعم","جرد فقط",IF(G34="نعم","مراجعة فقط",""))))</f>
        <v/>
      </c>
      <c r="I34" s="9">
        <f>IF(H34="جرد + مراجعة",الإعدادات!$B$2,IF(H34="مراجعة فقط",الإعدادات!$B$3,IF(H34="جرد فقط",الإعدادات!$B$4,0)))</f>
        <v/>
      </c>
    </row>
    <row r="35">
      <c r="A35" s="4" t="n"/>
      <c r="B35" s="5">
        <f>IF(A35="","",IFERROR(INDEX('جدول الجرد'!$A$2:$A$28,MATCH(A35,'جدول الجرد'!$B$2:$B$28,0)),""))</f>
        <v/>
      </c>
      <c r="C35" s="5">
        <f>IF(A35="","",IFERROR(INDEX('جدول الجرد'!$E$2:$E$28,MATCH(A35,'جدول الجرد'!$B$2:$B$28,0)),""))</f>
        <v/>
      </c>
      <c r="D35" s="4" t="n"/>
      <c r="E35" s="4" t="n"/>
      <c r="F35" s="4" t="n"/>
      <c r="G35" s="4" t="n"/>
      <c r="H35" s="5">
        <f>IF(E35="","",IF(AND(F35="نعم",G35="نعم"),"جرد + مراجعة",IF(F35="نعم","جرد فقط",IF(G35="نعم","مراجعة فقط",""))))</f>
        <v/>
      </c>
      <c r="I35" s="9">
        <f>IF(H35="جرد + مراجعة",الإعدادات!$B$2,IF(H35="مراجعة فقط",الإعدادات!$B$3,IF(H35="جرد فقط",الإعدادات!$B$4,0)))</f>
        <v/>
      </c>
    </row>
    <row r="36">
      <c r="A36" s="4" t="n"/>
      <c r="B36" s="5">
        <f>IF(A36="","",IFERROR(INDEX('جدول الجرد'!$A$2:$A$28,MATCH(A36,'جدول الجرد'!$B$2:$B$28,0)),""))</f>
        <v/>
      </c>
      <c r="C36" s="5">
        <f>IF(A36="","",IFERROR(INDEX('جدول الجرد'!$E$2:$E$28,MATCH(A36,'جدول الجرد'!$B$2:$B$28,0)),""))</f>
        <v/>
      </c>
      <c r="D36" s="4" t="n"/>
      <c r="E36" s="4" t="n"/>
      <c r="F36" s="4" t="n"/>
      <c r="G36" s="4" t="n"/>
      <c r="H36" s="5">
        <f>IF(E36="","",IF(AND(F36="نعم",G36="نعم"),"جرد + مراجعة",IF(F36="نعم","جرد فقط",IF(G36="نعم","مراجعة فقط",""))))</f>
        <v/>
      </c>
      <c r="I36" s="9">
        <f>IF(H36="جرد + مراجعة",الإعدادات!$B$2,IF(H36="مراجعة فقط",الإعدادات!$B$3,IF(H36="جرد فقط",الإعدادات!$B$4,0)))</f>
        <v/>
      </c>
    </row>
    <row r="37">
      <c r="A37" s="4" t="n"/>
      <c r="B37" s="5">
        <f>IF(A37="","",IFERROR(INDEX('جدول الجرد'!$A$2:$A$28,MATCH(A37,'جدول الجرد'!$B$2:$B$28,0)),""))</f>
        <v/>
      </c>
      <c r="C37" s="5">
        <f>IF(A37="","",IFERROR(INDEX('جدول الجرد'!$E$2:$E$28,MATCH(A37,'جدول الجرد'!$B$2:$B$28,0)),""))</f>
        <v/>
      </c>
      <c r="D37" s="4" t="n"/>
      <c r="E37" s="4" t="n"/>
      <c r="F37" s="4" t="n"/>
      <c r="G37" s="4" t="n"/>
      <c r="H37" s="5">
        <f>IF(E37="","",IF(AND(F37="نعم",G37="نعم"),"جرد + مراجعة",IF(F37="نعم","جرد فقط",IF(G37="نعم","مراجعة فقط",""))))</f>
        <v/>
      </c>
      <c r="I37" s="9">
        <f>IF(H37="جرد + مراجعة",الإعدادات!$B$2,IF(H37="مراجعة فقط",الإعدادات!$B$3,IF(H37="جرد فقط",الإعدادات!$B$4,0)))</f>
        <v/>
      </c>
    </row>
    <row r="38">
      <c r="A38" s="4" t="n"/>
      <c r="B38" s="5">
        <f>IF(A38="","",IFERROR(INDEX('جدول الجرد'!$A$2:$A$28,MATCH(A38,'جدول الجرد'!$B$2:$B$28,0)),""))</f>
        <v/>
      </c>
      <c r="C38" s="5">
        <f>IF(A38="","",IFERROR(INDEX('جدول الجرد'!$E$2:$E$28,MATCH(A38,'جدول الجرد'!$B$2:$B$28,0)),""))</f>
        <v/>
      </c>
      <c r="D38" s="4" t="n"/>
      <c r="E38" s="4" t="n"/>
      <c r="F38" s="4" t="n"/>
      <c r="G38" s="4" t="n"/>
      <c r="H38" s="5">
        <f>IF(E38="","",IF(AND(F38="نعم",G38="نعم"),"جرد + مراجعة",IF(F38="نعم","جرد فقط",IF(G38="نعم","مراجعة فقط",""))))</f>
        <v/>
      </c>
      <c r="I38" s="9">
        <f>IF(H38="جرد + مراجعة",الإعدادات!$B$2,IF(H38="مراجعة فقط",الإعدادات!$B$3,IF(H38="جرد فقط",الإعدادات!$B$4,0)))</f>
        <v/>
      </c>
    </row>
    <row r="39">
      <c r="A39" s="4" t="n"/>
      <c r="B39" s="5">
        <f>IF(A39="","",IFERROR(INDEX('جدول الجرد'!$A$2:$A$28,MATCH(A39,'جدول الجرد'!$B$2:$B$28,0)),""))</f>
        <v/>
      </c>
      <c r="C39" s="5">
        <f>IF(A39="","",IFERROR(INDEX('جدول الجرد'!$E$2:$E$28,MATCH(A39,'جدول الجرد'!$B$2:$B$28,0)),""))</f>
        <v/>
      </c>
      <c r="D39" s="4" t="n"/>
      <c r="E39" s="4" t="n"/>
      <c r="F39" s="4" t="n"/>
      <c r="G39" s="4" t="n"/>
      <c r="H39" s="5">
        <f>IF(E39="","",IF(AND(F39="نعم",G39="نعم"),"جرد + مراجعة",IF(F39="نعم","جرد فقط",IF(G39="نعم","مراجعة فقط",""))))</f>
        <v/>
      </c>
      <c r="I39" s="9">
        <f>IF(H39="جرد + مراجعة",الإعدادات!$B$2,IF(H39="مراجعة فقط",الإعدادات!$B$3,IF(H39="جرد فقط",الإعدادات!$B$4,0)))</f>
        <v/>
      </c>
    </row>
    <row r="40">
      <c r="A40" s="4" t="n"/>
      <c r="B40" s="5">
        <f>IF(A40="","",IFERROR(INDEX('جدول الجرد'!$A$2:$A$28,MATCH(A40,'جدول الجرد'!$B$2:$B$28,0)),""))</f>
        <v/>
      </c>
      <c r="C40" s="5">
        <f>IF(A40="","",IFERROR(INDEX('جدول الجرد'!$E$2:$E$28,MATCH(A40,'جدول الجرد'!$B$2:$B$28,0)),""))</f>
        <v/>
      </c>
      <c r="D40" s="4" t="n"/>
      <c r="E40" s="4" t="n"/>
      <c r="F40" s="4" t="n"/>
      <c r="G40" s="4" t="n"/>
      <c r="H40" s="5">
        <f>IF(E40="","",IF(AND(F40="نعم",G40="نعم"),"جرد + مراجعة",IF(F40="نعم","جرد فقط",IF(G40="نعم","مراجعة فقط",""))))</f>
        <v/>
      </c>
      <c r="I40" s="9">
        <f>IF(H40="جرد + مراجعة",الإعدادات!$B$2,IF(H40="مراجعة فقط",الإعدادات!$B$3,IF(H40="جرد فقط",الإعدادات!$B$4,0)))</f>
        <v/>
      </c>
    </row>
    <row r="41">
      <c r="A41" s="4" t="n"/>
      <c r="B41" s="5">
        <f>IF(A41="","",IFERROR(INDEX('جدول الجرد'!$A$2:$A$28,MATCH(A41,'جدول الجرد'!$B$2:$B$28,0)),""))</f>
        <v/>
      </c>
      <c r="C41" s="5">
        <f>IF(A41="","",IFERROR(INDEX('جدول الجرد'!$E$2:$E$28,MATCH(A41,'جدول الجرد'!$B$2:$B$28,0)),""))</f>
        <v/>
      </c>
      <c r="D41" s="4" t="n"/>
      <c r="E41" s="4" t="n"/>
      <c r="F41" s="4" t="n"/>
      <c r="G41" s="4" t="n"/>
      <c r="H41" s="5">
        <f>IF(E41="","",IF(AND(F41="نعم",G41="نعم"),"جرد + مراجعة",IF(F41="نعم","جرد فقط",IF(G41="نعم","مراجعة فقط",""))))</f>
        <v/>
      </c>
      <c r="I41" s="9">
        <f>IF(H41="جرد + مراجعة",الإعدادات!$B$2,IF(H41="مراجعة فقط",الإعدادات!$B$3,IF(H41="جرد فقط",الإعدادات!$B$4,0)))</f>
        <v/>
      </c>
    </row>
    <row r="42">
      <c r="A42" s="4" t="n"/>
      <c r="B42" s="5">
        <f>IF(A42="","",IFERROR(INDEX('جدول الجرد'!$A$2:$A$28,MATCH(A42,'جدول الجرد'!$B$2:$B$28,0)),""))</f>
        <v/>
      </c>
      <c r="C42" s="5">
        <f>IF(A42="","",IFERROR(INDEX('جدول الجرد'!$E$2:$E$28,MATCH(A42,'جدول الجرد'!$B$2:$B$28,0)),""))</f>
        <v/>
      </c>
      <c r="D42" s="4" t="n"/>
      <c r="E42" s="4" t="n"/>
      <c r="F42" s="4" t="n"/>
      <c r="G42" s="4" t="n"/>
      <c r="H42" s="5">
        <f>IF(E42="","",IF(AND(F42="نعم",G42="نعم"),"جرد + مراجعة",IF(F42="نعم","جرد فقط",IF(G42="نعم","مراجعة فقط",""))))</f>
        <v/>
      </c>
      <c r="I42" s="9">
        <f>IF(H42="جرد + مراجعة",الإعدادات!$B$2,IF(H42="مراجعة فقط",الإعدادات!$B$3,IF(H42="جرد فقط",الإعدادات!$B$4,0)))</f>
        <v/>
      </c>
    </row>
    <row r="43">
      <c r="A43" s="4" t="n"/>
      <c r="B43" s="5">
        <f>IF(A43="","",IFERROR(INDEX('جدول الجرد'!$A$2:$A$28,MATCH(A43,'جدول الجرد'!$B$2:$B$28,0)),""))</f>
        <v/>
      </c>
      <c r="C43" s="5">
        <f>IF(A43="","",IFERROR(INDEX('جدول الجرد'!$E$2:$E$28,MATCH(A43,'جدول الجرد'!$B$2:$B$28,0)),""))</f>
        <v/>
      </c>
      <c r="D43" s="4" t="n"/>
      <c r="E43" s="4" t="n"/>
      <c r="F43" s="4" t="n"/>
      <c r="G43" s="4" t="n"/>
      <c r="H43" s="5">
        <f>IF(E43="","",IF(AND(F43="نعم",G43="نعم"),"جرد + مراجعة",IF(F43="نعم","جرد فقط",IF(G43="نعم","مراجعة فقط",""))))</f>
        <v/>
      </c>
      <c r="I43" s="9">
        <f>IF(H43="جرد + مراجعة",الإعدادات!$B$2,IF(H43="مراجعة فقط",الإعدادات!$B$3,IF(H43="جرد فقط",الإعدادات!$B$4,0)))</f>
        <v/>
      </c>
    </row>
    <row r="44">
      <c r="A44" s="4" t="n"/>
      <c r="B44" s="5">
        <f>IF(A44="","",IFERROR(INDEX('جدول الجرد'!$A$2:$A$28,MATCH(A44,'جدول الجرد'!$B$2:$B$28,0)),""))</f>
        <v/>
      </c>
      <c r="C44" s="5">
        <f>IF(A44="","",IFERROR(INDEX('جدول الجرد'!$E$2:$E$28,MATCH(A44,'جدول الجرد'!$B$2:$B$28,0)),""))</f>
        <v/>
      </c>
      <c r="D44" s="4" t="n"/>
      <c r="E44" s="4" t="n"/>
      <c r="F44" s="4" t="n"/>
      <c r="G44" s="4" t="n"/>
      <c r="H44" s="5">
        <f>IF(E44="","",IF(AND(F44="نعم",G44="نعم"),"جرد + مراجعة",IF(F44="نعم","جرد فقط",IF(G44="نعم","مراجعة فقط",""))))</f>
        <v/>
      </c>
      <c r="I44" s="9">
        <f>IF(H44="جرد + مراجعة",الإعدادات!$B$2,IF(H44="مراجعة فقط",الإعدادات!$B$3,IF(H44="جرد فقط",الإعدادات!$B$4,0)))</f>
        <v/>
      </c>
    </row>
    <row r="45">
      <c r="A45" s="4" t="n"/>
      <c r="B45" s="5">
        <f>IF(A45="","",IFERROR(INDEX('جدول الجرد'!$A$2:$A$28,MATCH(A45,'جدول الجرد'!$B$2:$B$28,0)),""))</f>
        <v/>
      </c>
      <c r="C45" s="5">
        <f>IF(A45="","",IFERROR(INDEX('جدول الجرد'!$E$2:$E$28,MATCH(A45,'جدول الجرد'!$B$2:$B$28,0)),""))</f>
        <v/>
      </c>
      <c r="D45" s="4" t="n"/>
      <c r="E45" s="4" t="n"/>
      <c r="F45" s="4" t="n"/>
      <c r="G45" s="4" t="n"/>
      <c r="H45" s="5">
        <f>IF(E45="","",IF(AND(F45="نعم",G45="نعم"),"جرد + مراجعة",IF(F45="نعم","جرد فقط",IF(G45="نعم","مراجعة فقط",""))))</f>
        <v/>
      </c>
      <c r="I45" s="9">
        <f>IF(H45="جرد + مراجعة",الإعدادات!$B$2,IF(H45="مراجعة فقط",الإعدادات!$B$3,IF(H45="جرد فقط",الإعدادات!$B$4,0)))</f>
        <v/>
      </c>
    </row>
    <row r="46">
      <c r="A46" s="4" t="n"/>
      <c r="B46" s="5">
        <f>IF(A46="","",IFERROR(INDEX('جدول الجرد'!$A$2:$A$28,MATCH(A46,'جدول الجرد'!$B$2:$B$28,0)),""))</f>
        <v/>
      </c>
      <c r="C46" s="5">
        <f>IF(A46="","",IFERROR(INDEX('جدول الجرد'!$E$2:$E$28,MATCH(A46,'جدول الجرد'!$B$2:$B$28,0)),""))</f>
        <v/>
      </c>
      <c r="D46" s="4" t="n"/>
      <c r="E46" s="4" t="n"/>
      <c r="F46" s="4" t="n"/>
      <c r="G46" s="4" t="n"/>
      <c r="H46" s="5">
        <f>IF(E46="","",IF(AND(F46="نعم",G46="نعم"),"جرد + مراجعة",IF(F46="نعم","جرد فقط",IF(G46="نعم","مراجعة فقط",""))))</f>
        <v/>
      </c>
      <c r="I46" s="9">
        <f>IF(H46="جرد + مراجعة",الإعدادات!$B$2,IF(H46="مراجعة فقط",الإعدادات!$B$3,IF(H46="جرد فقط",الإعدادات!$B$4,0)))</f>
        <v/>
      </c>
    </row>
    <row r="47">
      <c r="A47" s="4" t="n"/>
      <c r="B47" s="5">
        <f>IF(A47="","",IFERROR(INDEX('جدول الجرد'!$A$2:$A$28,MATCH(A47,'جدول الجرد'!$B$2:$B$28,0)),""))</f>
        <v/>
      </c>
      <c r="C47" s="5">
        <f>IF(A47="","",IFERROR(INDEX('جدول الجرد'!$E$2:$E$28,MATCH(A47,'جدول الجرد'!$B$2:$B$28,0)),""))</f>
        <v/>
      </c>
      <c r="D47" s="4" t="n"/>
      <c r="E47" s="4" t="n"/>
      <c r="F47" s="4" t="n"/>
      <c r="G47" s="4" t="n"/>
      <c r="H47" s="5">
        <f>IF(E47="","",IF(AND(F47="نعم",G47="نعم"),"جرد + مراجعة",IF(F47="نعم","جرد فقط",IF(G47="نعم","مراجعة فقط",""))))</f>
        <v/>
      </c>
      <c r="I47" s="9">
        <f>IF(H47="جرد + مراجعة",الإعدادات!$B$2,IF(H47="مراجعة فقط",الإعدادات!$B$3,IF(H47="جرد فقط",الإعدادات!$B$4,0)))</f>
        <v/>
      </c>
    </row>
    <row r="48">
      <c r="A48" s="4" t="n"/>
      <c r="B48" s="5">
        <f>IF(A48="","",IFERROR(INDEX('جدول الجرد'!$A$2:$A$28,MATCH(A48,'جدول الجرد'!$B$2:$B$28,0)),""))</f>
        <v/>
      </c>
      <c r="C48" s="5">
        <f>IF(A48="","",IFERROR(INDEX('جدول الجرد'!$E$2:$E$28,MATCH(A48,'جدول الجرد'!$B$2:$B$28,0)),""))</f>
        <v/>
      </c>
      <c r="D48" s="4" t="n"/>
      <c r="E48" s="4" t="n"/>
      <c r="F48" s="4" t="n"/>
      <c r="G48" s="4" t="n"/>
      <c r="H48" s="5">
        <f>IF(E48="","",IF(AND(F48="نعم",G48="نعم"),"جرد + مراجعة",IF(F48="نعم","جرد فقط",IF(G48="نعم","مراجعة فقط",""))))</f>
        <v/>
      </c>
      <c r="I48" s="9">
        <f>IF(H48="جرد + مراجعة",الإعدادات!$B$2,IF(H48="مراجعة فقط",الإعدادات!$B$3,IF(H48="جرد فقط",الإعدادات!$B$4,0)))</f>
        <v/>
      </c>
    </row>
    <row r="49">
      <c r="A49" s="4" t="n"/>
      <c r="B49" s="5">
        <f>IF(A49="","",IFERROR(INDEX('جدول الجرد'!$A$2:$A$28,MATCH(A49,'جدول الجرد'!$B$2:$B$28,0)),""))</f>
        <v/>
      </c>
      <c r="C49" s="5">
        <f>IF(A49="","",IFERROR(INDEX('جدول الجرد'!$E$2:$E$28,MATCH(A49,'جدول الجرد'!$B$2:$B$28,0)),""))</f>
        <v/>
      </c>
      <c r="D49" s="4" t="n"/>
      <c r="E49" s="4" t="n"/>
      <c r="F49" s="4" t="n"/>
      <c r="G49" s="4" t="n"/>
      <c r="H49" s="5">
        <f>IF(E49="","",IF(AND(F49="نعم",G49="نعم"),"جرد + مراجعة",IF(F49="نعم","جرد فقط",IF(G49="نعم","مراجعة فقط",""))))</f>
        <v/>
      </c>
      <c r="I49" s="9">
        <f>IF(H49="جرد + مراجعة",الإعدادات!$B$2,IF(H49="مراجعة فقط",الإعدادات!$B$3,IF(H49="جرد فقط",الإعدادات!$B$4,0)))</f>
        <v/>
      </c>
    </row>
    <row r="50">
      <c r="A50" s="4" t="n"/>
      <c r="B50" s="5">
        <f>IF(A50="","",IFERROR(INDEX('جدول الجرد'!$A$2:$A$28,MATCH(A50,'جدول الجرد'!$B$2:$B$28,0)),""))</f>
        <v/>
      </c>
      <c r="C50" s="5">
        <f>IF(A50="","",IFERROR(INDEX('جدول الجرد'!$E$2:$E$28,MATCH(A50,'جدول الجرد'!$B$2:$B$28,0)),""))</f>
        <v/>
      </c>
      <c r="D50" s="4" t="n"/>
      <c r="E50" s="4" t="n"/>
      <c r="F50" s="4" t="n"/>
      <c r="G50" s="4" t="n"/>
      <c r="H50" s="5">
        <f>IF(E50="","",IF(AND(F50="نعم",G50="نعم"),"جرد + مراجعة",IF(F50="نعم","جرد فقط",IF(G50="نعم","مراجعة فقط",""))))</f>
        <v/>
      </c>
      <c r="I50" s="9">
        <f>IF(H50="جرد + مراجعة",الإعدادات!$B$2,IF(H50="مراجعة فقط",الإعدادات!$B$3,IF(H50="جرد فقط",الإعدادات!$B$4,0)))</f>
        <v/>
      </c>
    </row>
    <row r="51">
      <c r="A51" s="4" t="n"/>
      <c r="B51" s="5">
        <f>IF(A51="","",IFERROR(INDEX('جدول الجرد'!$A$2:$A$28,MATCH(A51,'جدول الجرد'!$B$2:$B$28,0)),""))</f>
        <v/>
      </c>
      <c r="C51" s="5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/>
      </c>
    </row>
    <row r="52">
      <c r="A52" s="4" t="n"/>
      <c r="B52" s="5">
        <f>IF(A52="","",IFERROR(INDEX('جدول الجرد'!$A$2:$A$28,MATCH(A52,'جدول الجرد'!$B$2:$B$28,0)),""))</f>
        <v/>
      </c>
      <c r="C52" s="5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/>
      </c>
    </row>
    <row r="53">
      <c r="A53" s="4" t="n"/>
      <c r="B53" s="5">
        <f>IF(A53="","",IFERROR(INDEX('جدول الجرد'!$A$2:$A$28,MATCH(A53,'جدول الجرد'!$B$2:$B$28,0)),""))</f>
        <v/>
      </c>
      <c r="C53" s="5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/>
      </c>
    </row>
    <row r="54">
      <c r="A54" s="4" t="n"/>
      <c r="B54" s="5">
        <f>IF(A54="","",IFERROR(INDEX('جدول الجرد'!$A$2:$A$28,MATCH(A54,'جدول الجرد'!$B$2:$B$28,0)),""))</f>
        <v/>
      </c>
      <c r="C54" s="5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/>
      </c>
    </row>
    <row r="55">
      <c r="A55" s="4" t="n"/>
      <c r="B55" s="5">
        <f>IF(A55="","",IFERROR(INDEX('جدول الجرد'!$A$2:$A$28,MATCH(A55,'جدول الجرد'!$B$2:$B$28,0)),""))</f>
        <v/>
      </c>
      <c r="C55" s="5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/>
      </c>
    </row>
    <row r="56">
      <c r="A56" s="4" t="n"/>
      <c r="B56" s="5">
        <f>IF(A56="","",IFERROR(INDEX('جدول الجرد'!$A$2:$A$28,MATCH(A56,'جدول الجرد'!$B$2:$B$28,0)),""))</f>
        <v/>
      </c>
      <c r="C56" s="5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/>
      </c>
    </row>
    <row r="57">
      <c r="A57" s="4" t="n"/>
      <c r="B57" s="5">
        <f>IF(A57="","",IFERROR(INDEX('جدول الجرد'!$A$2:$A$28,MATCH(A57,'جدول الجرد'!$B$2:$B$28,0)),""))</f>
        <v/>
      </c>
      <c r="C57" s="5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/>
      </c>
    </row>
    <row r="58">
      <c r="A58" s="4" t="n"/>
      <c r="B58" s="5">
        <f>IF(A58="","",IFERROR(INDEX('جدول الجرد'!$A$2:$A$28,MATCH(A58,'جدول الجرد'!$B$2:$B$28,0)),""))</f>
        <v/>
      </c>
      <c r="C58" s="5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/>
      </c>
    </row>
    <row r="59">
      <c r="A59" s="4" t="n"/>
      <c r="B59" s="5">
        <f>IF(A59="","",IFERROR(INDEX('جدول الجرد'!$A$2:$A$28,MATCH(A59,'جدول الجرد'!$B$2:$B$28,0)),""))</f>
        <v/>
      </c>
      <c r="C59" s="5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/>
      </c>
    </row>
    <row r="60">
      <c r="A60" s="4" t="n"/>
      <c r="B60" s="5">
        <f>IF(A60="","",IFERROR(INDEX('جدول الجرد'!$A$2:$A$28,MATCH(A60,'جدول الجرد'!$B$2:$B$28,0)),""))</f>
        <v/>
      </c>
      <c r="C60" s="5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/>
      </c>
    </row>
    <row r="61">
      <c r="A61" s="4" t="n"/>
      <c r="B61" s="5">
        <f>IF(A61="","",IFERROR(INDEX('جدول الجرد'!$A$2:$A$28,MATCH(A61,'جدول الجرد'!$B$2:$B$28,0)),""))</f>
        <v/>
      </c>
      <c r="C61" s="5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/>
      </c>
    </row>
    <row r="62">
      <c r="A62" s="4" t="n"/>
      <c r="B62" s="5">
        <f>IF(A62="","",IFERROR(INDEX('جدول الجرد'!$A$2:$A$28,MATCH(A62,'جدول الجرد'!$B$2:$B$28,0)),""))</f>
        <v/>
      </c>
      <c r="C62" s="5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/>
      </c>
    </row>
    <row r="63">
      <c r="A63" s="4" t="n"/>
      <c r="B63" s="5">
        <f>IF(A63="","",IFERROR(INDEX('جدول الجرد'!$A$2:$A$28,MATCH(A63,'جدول الجرد'!$B$2:$B$28,0)),""))</f>
        <v/>
      </c>
      <c r="C63" s="5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/>
      </c>
    </row>
    <row r="64">
      <c r="A64" s="4" t="n"/>
      <c r="B64" s="5">
        <f>IF(A64="","",IFERROR(INDEX('جدول الجرد'!$A$2:$A$28,MATCH(A64,'جدول الجرد'!$B$2:$B$28,0)),""))</f>
        <v/>
      </c>
      <c r="C64" s="5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/>
      </c>
    </row>
    <row r="65">
      <c r="A65" s="4" t="n"/>
      <c r="B65" s="5">
        <f>IF(A65="","",IFERROR(INDEX('جدول الجرد'!$A$2:$A$28,MATCH(A65,'جدول الجرد'!$B$2:$B$28,0)),""))</f>
        <v/>
      </c>
      <c r="C65" s="5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/>
      </c>
    </row>
    <row r="66">
      <c r="A66" s="4" t="n"/>
      <c r="B66" s="5">
        <f>IF(A66="","",IFERROR(INDEX('جدول الجرد'!$A$2:$A$28,MATCH(A66,'جدول الجرد'!$B$2:$B$28,0)),""))</f>
        <v/>
      </c>
      <c r="C66" s="5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/>
      </c>
    </row>
    <row r="67">
      <c r="A67" s="4" t="n"/>
      <c r="B67" s="5">
        <f>IF(A67="","",IFERROR(INDEX('جدول الجرد'!$A$2:$A$28,MATCH(A67,'جدول الجرد'!$B$2:$B$28,0)),""))</f>
        <v/>
      </c>
      <c r="C67" s="5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/>
      </c>
    </row>
    <row r="68">
      <c r="A68" s="4" t="n"/>
      <c r="B68" s="5">
        <f>IF(A68="","",IFERROR(INDEX('جدول الجرد'!$A$2:$A$28,MATCH(A68,'جدول الجرد'!$B$2:$B$28,0)),""))</f>
        <v/>
      </c>
      <c r="C68" s="5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/>
      </c>
    </row>
    <row r="69">
      <c r="A69" s="4" t="n"/>
      <c r="B69" s="5">
        <f>IF(A69="","",IFERROR(INDEX('جدول الجرد'!$A$2:$A$28,MATCH(A69,'جدول الجرد'!$B$2:$B$28,0)),""))</f>
        <v/>
      </c>
      <c r="C69" s="5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/>
      </c>
    </row>
    <row r="70">
      <c r="A70" s="4" t="n"/>
      <c r="B70" s="5">
        <f>IF(A70="","",IFERROR(INDEX('جدول الجرد'!$A$2:$A$28,MATCH(A70,'جدول الجرد'!$B$2:$B$28,0)),""))</f>
        <v/>
      </c>
      <c r="C70" s="5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/>
      </c>
    </row>
    <row r="71">
      <c r="A71" s="4" t="n"/>
      <c r="B71" s="5">
        <f>IF(A71="","",IFERROR(INDEX('جدول الجرد'!$A$2:$A$28,MATCH(A71,'جدول الجرد'!$B$2:$B$28,0)),""))</f>
        <v/>
      </c>
      <c r="C71" s="5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/>
      </c>
    </row>
    <row r="72">
      <c r="A72" s="4" t="n"/>
      <c r="B72" s="5">
        <f>IF(A72="","",IFERROR(INDEX('جدول الجرد'!$A$2:$A$28,MATCH(A72,'جدول الجرد'!$B$2:$B$28,0)),""))</f>
        <v/>
      </c>
      <c r="C72" s="5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/>
      </c>
    </row>
    <row r="73">
      <c r="A73" s="4" t="n"/>
      <c r="B73" s="5">
        <f>IF(A73="","",IFERROR(INDEX('جدول الجرد'!$A$2:$A$28,MATCH(A73,'جدول الجرد'!$B$2:$B$28,0)),""))</f>
        <v/>
      </c>
      <c r="C73" s="5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/>
      </c>
    </row>
    <row r="74">
      <c r="A74" s="4" t="n"/>
      <c r="B74" s="5">
        <f>IF(A74="","",IFERROR(INDEX('جدول الجرد'!$A$2:$A$28,MATCH(A74,'جدول الجرد'!$B$2:$B$28,0)),""))</f>
        <v/>
      </c>
      <c r="C74" s="5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/>
      </c>
    </row>
    <row r="75">
      <c r="A75" s="4" t="n"/>
      <c r="B75" s="5">
        <f>IF(A75="","",IFERROR(INDEX('جدول الجرد'!$A$2:$A$28,MATCH(A75,'جدول الجرد'!$B$2:$B$28,0)),""))</f>
        <v/>
      </c>
      <c r="C75" s="5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/>
      </c>
    </row>
    <row r="76">
      <c r="A76" s="4" t="n"/>
      <c r="B76" s="5">
        <f>IF(A76="","",IFERROR(INDEX('جدول الجرد'!$A$2:$A$28,MATCH(A76,'جدول الجرد'!$B$2:$B$28,0)),""))</f>
        <v/>
      </c>
      <c r="C76" s="5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/>
      </c>
    </row>
    <row r="77">
      <c r="A77" s="4" t="n"/>
      <c r="B77" s="5">
        <f>IF(A77="","",IFERROR(INDEX('جدول الجرد'!$A$2:$A$28,MATCH(A77,'جدول الجرد'!$B$2:$B$28,0)),""))</f>
        <v/>
      </c>
      <c r="C77" s="5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/>
      </c>
    </row>
    <row r="78">
      <c r="A78" s="4" t="n"/>
      <c r="B78" s="5">
        <f>IF(A78="","",IFERROR(INDEX('جدول الجرد'!$A$2:$A$28,MATCH(A78,'جدول الجرد'!$B$2:$B$28,0)),""))</f>
        <v/>
      </c>
      <c r="C78" s="5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/>
      </c>
    </row>
    <row r="79">
      <c r="A79" s="4" t="n"/>
      <c r="B79" s="5">
        <f>IF(A79="","",IFERROR(INDEX('جدول الجرد'!$A$2:$A$28,MATCH(A79,'جدول الجرد'!$B$2:$B$28,0)),""))</f>
        <v/>
      </c>
      <c r="C79" s="5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/>
      </c>
    </row>
    <row r="80">
      <c r="A80" s="4" t="n"/>
      <c r="B80" s="5">
        <f>IF(A80="","",IFERROR(INDEX('جدول الجرد'!$A$2:$A$28,MATCH(A80,'جدول الجرد'!$B$2:$B$28,0)),""))</f>
        <v/>
      </c>
      <c r="C80" s="5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/>
      </c>
    </row>
    <row r="81">
      <c r="A81" s="4" t="n"/>
      <c r="B81" s="5">
        <f>IF(A81="","",IFERROR(INDEX('جدول الجرد'!$A$2:$A$28,MATCH(A81,'جدول الجرد'!$B$2:$B$28,0)),""))</f>
        <v/>
      </c>
      <c r="C81" s="5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/>
      </c>
    </row>
    <row r="82">
      <c r="A82" s="4" t="n"/>
      <c r="B82" s="5">
        <f>IF(A82="","",IFERROR(INDEX('جدول الجرد'!$A$2:$A$28,MATCH(A82,'جدول الجرد'!$B$2:$B$28,0)),""))</f>
        <v/>
      </c>
      <c r="C82" s="5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/>
      </c>
    </row>
    <row r="83">
      <c r="A83" s="4" t="n"/>
      <c r="B83" s="5">
        <f>IF(A83="","",IFERROR(INDEX('جدول الجرد'!$A$2:$A$28,MATCH(A83,'جدول الجرد'!$B$2:$B$28,0)),""))</f>
        <v/>
      </c>
      <c r="C83" s="5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/>
      </c>
    </row>
    <row r="84">
      <c r="A84" s="4" t="n"/>
      <c r="B84" s="5">
        <f>IF(A84="","",IFERROR(INDEX('جدول الجرد'!$A$2:$A$28,MATCH(A84,'جدول الجرد'!$B$2:$B$28,0)),""))</f>
        <v/>
      </c>
      <c r="C84" s="5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/>
      </c>
    </row>
    <row r="85">
      <c r="A85" s="4" t="n"/>
      <c r="B85" s="5">
        <f>IF(A85="","",IFERROR(INDEX('جدول الجرد'!$A$2:$A$28,MATCH(A85,'جدول الجرد'!$B$2:$B$28,0)),""))</f>
        <v/>
      </c>
      <c r="C85" s="5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/>
      </c>
    </row>
    <row r="86">
      <c r="A86" s="4" t="n"/>
      <c r="B86" s="5">
        <f>IF(A86="","",IFERROR(INDEX('جدول الجرد'!$A$2:$A$28,MATCH(A86,'جدول الجرد'!$B$2:$B$28,0)),""))</f>
        <v/>
      </c>
      <c r="C86" s="5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/>
      </c>
    </row>
    <row r="87">
      <c r="A87" s="4" t="n"/>
      <c r="B87" s="5">
        <f>IF(A87="","",IFERROR(INDEX('جدول الجرد'!$A$2:$A$28,MATCH(A87,'جدول الجرد'!$B$2:$B$28,0)),""))</f>
        <v/>
      </c>
      <c r="C87" s="5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/>
      </c>
    </row>
    <row r="88">
      <c r="A88" s="4" t="n"/>
      <c r="B88" s="5">
        <f>IF(A88="","",IFERROR(INDEX('جدول الجرد'!$A$2:$A$28,MATCH(A88,'جدول الجرد'!$B$2:$B$28,0)),""))</f>
        <v/>
      </c>
      <c r="C88" s="5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/>
      </c>
    </row>
    <row r="89">
      <c r="A89" s="4" t="n"/>
      <c r="B89" s="5">
        <f>IF(A89="","",IFERROR(INDEX('جدول الجرد'!$A$2:$A$28,MATCH(A89,'جدول الجرد'!$B$2:$B$28,0)),""))</f>
        <v/>
      </c>
      <c r="C89" s="5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/>
      </c>
    </row>
    <row r="90">
      <c r="A90" s="4" t="n"/>
      <c r="B90" s="5">
        <f>IF(A90="","",IFERROR(INDEX('جدول الجرد'!$A$2:$A$28,MATCH(A90,'جدول الجرد'!$B$2:$B$28,0)),""))</f>
        <v/>
      </c>
      <c r="C90" s="5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/>
      </c>
    </row>
    <row r="91">
      <c r="A91" s="4" t="n"/>
      <c r="B91" s="5">
        <f>IF(A91="","",IFERROR(INDEX('جدول الجرد'!$A$2:$A$28,MATCH(A91,'جدول الجرد'!$B$2:$B$28,0)),""))</f>
        <v/>
      </c>
      <c r="C91" s="5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/>
      </c>
    </row>
    <row r="92">
      <c r="A92" s="4" t="n"/>
      <c r="B92" s="5">
        <f>IF(A92="","",IFERROR(INDEX('جدول الجرد'!$A$2:$A$28,MATCH(A92,'جدول الجرد'!$B$2:$B$28,0)),""))</f>
        <v/>
      </c>
      <c r="C92" s="5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/>
      </c>
    </row>
    <row r="93">
      <c r="A93" s="4" t="n"/>
      <c r="B93" s="5">
        <f>IF(A93="","",IFERROR(INDEX('جدول الجرد'!$A$2:$A$28,MATCH(A93,'جدول الجرد'!$B$2:$B$28,0)),""))</f>
        <v/>
      </c>
      <c r="C93" s="5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/>
      </c>
    </row>
    <row r="94">
      <c r="A94" s="4" t="n"/>
      <c r="B94" s="5">
        <f>IF(A94="","",IFERROR(INDEX('جدول الجرد'!$A$2:$A$28,MATCH(A94,'جدول الجرد'!$B$2:$B$28,0)),""))</f>
        <v/>
      </c>
      <c r="C94" s="5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/>
      </c>
    </row>
    <row r="95">
      <c r="A95" s="4" t="n"/>
      <c r="B95" s="5">
        <f>IF(A95="","",IFERROR(INDEX('جدول الجرد'!$A$2:$A$28,MATCH(A95,'جدول الجرد'!$B$2:$B$28,0)),""))</f>
        <v/>
      </c>
      <c r="C95" s="5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/>
      </c>
    </row>
    <row r="96">
      <c r="A96" s="4" t="n"/>
      <c r="B96" s="5">
        <f>IF(A96="","",IFERROR(INDEX('جدول الجرد'!$A$2:$A$28,MATCH(A96,'جدول الجرد'!$B$2:$B$28,0)),""))</f>
        <v/>
      </c>
      <c r="C96" s="5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/>
      </c>
    </row>
    <row r="97">
      <c r="A97" s="4" t="n"/>
      <c r="B97" s="5">
        <f>IF(A97="","",IFERROR(INDEX('جدول الجرد'!$A$2:$A$28,MATCH(A97,'جدول الجرد'!$B$2:$B$28,0)),""))</f>
        <v/>
      </c>
      <c r="C97" s="5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/>
      </c>
    </row>
    <row r="98">
      <c r="A98" s="4" t="n"/>
      <c r="B98" s="5">
        <f>IF(A98="","",IFERROR(INDEX('جدول الجرد'!$A$2:$A$28,MATCH(A98,'جدول الجرد'!$B$2:$B$28,0)),""))</f>
        <v/>
      </c>
      <c r="C98" s="5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/>
      </c>
    </row>
    <row r="99">
      <c r="A99" s="4" t="n"/>
      <c r="B99" s="5">
        <f>IF(A99="","",IFERROR(INDEX('جدول الجرد'!$A$2:$A$28,MATCH(A99,'جدول الجرد'!$B$2:$B$28,0)),""))</f>
        <v/>
      </c>
      <c r="C99" s="5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/>
      </c>
    </row>
    <row r="100">
      <c r="A100" s="4" t="n"/>
      <c r="B100" s="5">
        <f>IF(A100="","",IFERROR(INDEX('جدول الجرد'!$A$2:$A$28,MATCH(A100,'جدول الجرد'!$B$2:$B$28,0)),""))</f>
        <v/>
      </c>
      <c r="C100" s="5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/>
      </c>
    </row>
    <row r="101">
      <c r="A101" s="4" t="n"/>
      <c r="B101" s="5">
        <f>IF(A101="","",IFERROR(INDEX('جدول الجرد'!$A$2:$A$28,MATCH(A101,'جدول الجرد'!$B$2:$B$28,0)),""))</f>
        <v/>
      </c>
      <c r="C101" s="5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/>
      </c>
    </row>
    <row r="102">
      <c r="A102" s="4" t="n"/>
      <c r="B102" s="5">
        <f>IF(A102="","",IFERROR(INDEX('جدول الجرد'!$A$2:$A$28,MATCH(A102,'جدول الجرد'!$B$2:$B$28,0)),""))</f>
        <v/>
      </c>
      <c r="C102" s="5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/>
      </c>
    </row>
    <row r="103">
      <c r="A103" s="4" t="n"/>
      <c r="B103" s="5">
        <f>IF(A103="","",IFERROR(INDEX('جدول الجرد'!$A$2:$A$28,MATCH(A103,'جدول الجرد'!$B$2:$B$28,0)),""))</f>
        <v/>
      </c>
      <c r="C103" s="5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/>
      </c>
    </row>
    <row r="104">
      <c r="A104" s="4" t="n"/>
      <c r="B104" s="5">
        <f>IF(A104="","",IFERROR(INDEX('جدول الجرد'!$A$2:$A$28,MATCH(A104,'جدول الجرد'!$B$2:$B$28,0)),""))</f>
        <v/>
      </c>
      <c r="C104" s="5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/>
      </c>
    </row>
    <row r="105">
      <c r="A105" s="4" t="n"/>
      <c r="B105" s="5">
        <f>IF(A105="","",IFERROR(INDEX('جدول الجرد'!$A$2:$A$28,MATCH(A105,'جدول الجرد'!$B$2:$B$28,0)),""))</f>
        <v/>
      </c>
      <c r="C105" s="5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/>
      </c>
    </row>
    <row r="106">
      <c r="A106" s="4" t="n"/>
      <c r="B106" s="5">
        <f>IF(A106="","",IFERROR(INDEX('جدول الجرد'!$A$2:$A$28,MATCH(A106,'جدول الجرد'!$B$2:$B$28,0)),""))</f>
        <v/>
      </c>
      <c r="C106" s="5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/>
      </c>
    </row>
    <row r="107">
      <c r="A107" s="4" t="n"/>
      <c r="B107" s="5">
        <f>IF(A107="","",IFERROR(INDEX('جدول الجرد'!$A$2:$A$28,MATCH(A107,'جدول الجرد'!$B$2:$B$28,0)),""))</f>
        <v/>
      </c>
      <c r="C107" s="5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/>
      </c>
    </row>
    <row r="108">
      <c r="A108" s="4" t="n"/>
      <c r="B108" s="5">
        <f>IF(A108="","",IFERROR(INDEX('جدول الجرد'!$A$2:$A$28,MATCH(A108,'جدول الجرد'!$B$2:$B$28,0)),""))</f>
        <v/>
      </c>
      <c r="C108" s="5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/>
      </c>
    </row>
    <row r="109">
      <c r="A109" s="4" t="n"/>
      <c r="B109" s="5">
        <f>IF(A109="","",IFERROR(INDEX('جدول الجرد'!$A$2:$A$28,MATCH(A109,'جدول الجرد'!$B$2:$B$28,0)),""))</f>
        <v/>
      </c>
      <c r="C109" s="5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/>
      </c>
    </row>
    <row r="110">
      <c r="A110" s="4" t="n"/>
      <c r="B110" s="5">
        <f>IF(A110="","",IFERROR(INDEX('جدول الجرد'!$A$2:$A$28,MATCH(A110,'جدول الجرد'!$B$2:$B$28,0)),""))</f>
        <v/>
      </c>
      <c r="C110" s="5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/>
      </c>
    </row>
    <row r="111">
      <c r="A111" s="4" t="n"/>
      <c r="B111" s="5">
        <f>IF(A111="","",IFERROR(INDEX('جدول الجرد'!$A$2:$A$28,MATCH(A111,'جدول الجرد'!$B$2:$B$28,0)),""))</f>
        <v/>
      </c>
      <c r="C111" s="5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/>
      </c>
    </row>
    <row r="112">
      <c r="A112" s="4" t="n"/>
      <c r="B112" s="5">
        <f>IF(A112="","",IFERROR(INDEX('جدول الجرد'!$A$2:$A$28,MATCH(A112,'جدول الجرد'!$B$2:$B$28,0)),""))</f>
        <v/>
      </c>
      <c r="C112" s="5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/>
      </c>
    </row>
    <row r="113">
      <c r="A113" s="4" t="n"/>
      <c r="B113" s="5">
        <f>IF(A113="","",IFERROR(INDEX('جدول الجرد'!$A$2:$A$28,MATCH(A113,'جدول الجرد'!$B$2:$B$28,0)),""))</f>
        <v/>
      </c>
      <c r="C113" s="5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/>
      </c>
    </row>
    <row r="114">
      <c r="A114" s="4" t="n"/>
      <c r="B114" s="5">
        <f>IF(A114="","",IFERROR(INDEX('جدول الجرد'!$A$2:$A$28,MATCH(A114,'جدول الجرد'!$B$2:$B$28,0)),""))</f>
        <v/>
      </c>
      <c r="C114" s="5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/>
      </c>
    </row>
    <row r="115">
      <c r="A115" s="4" t="n"/>
      <c r="B115" s="5">
        <f>IF(A115="","",IFERROR(INDEX('جدول الجرد'!$A$2:$A$28,MATCH(A115,'جدول الجرد'!$B$2:$B$28,0)),""))</f>
        <v/>
      </c>
      <c r="C115" s="5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/>
      </c>
    </row>
    <row r="116">
      <c r="A116" s="4" t="n"/>
      <c r="B116" s="5">
        <f>IF(A116="","",IFERROR(INDEX('جدول الجرد'!$A$2:$A$28,MATCH(A116,'جدول الجرد'!$B$2:$B$28,0)),""))</f>
        <v/>
      </c>
      <c r="C116" s="5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/>
      </c>
    </row>
    <row r="117">
      <c r="A117" s="4" t="n"/>
      <c r="B117" s="5">
        <f>IF(A117="","",IFERROR(INDEX('جدول الجرد'!$A$2:$A$28,MATCH(A117,'جدول الجرد'!$B$2:$B$28,0)),""))</f>
        <v/>
      </c>
      <c r="C117" s="5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/>
      </c>
    </row>
    <row r="118">
      <c r="A118" s="4" t="n"/>
      <c r="B118" s="5">
        <f>IF(A118="","",IFERROR(INDEX('جدول الجرد'!$A$2:$A$28,MATCH(A118,'جدول الجرد'!$B$2:$B$28,0)),""))</f>
        <v/>
      </c>
      <c r="C118" s="5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/>
      </c>
    </row>
    <row r="119">
      <c r="A119" s="4" t="n"/>
      <c r="B119" s="5">
        <f>IF(A119="","",IFERROR(INDEX('جدول الجرد'!$A$2:$A$28,MATCH(A119,'جدول الجرد'!$B$2:$B$28,0)),""))</f>
        <v/>
      </c>
      <c r="C119" s="5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/>
      </c>
    </row>
    <row r="120">
      <c r="A120" s="4" t="n"/>
      <c r="B120" s="5">
        <f>IF(A120="","",IFERROR(INDEX('جدول الجرد'!$A$2:$A$28,MATCH(A120,'جدول الجرد'!$B$2:$B$28,0)),""))</f>
        <v/>
      </c>
      <c r="C120" s="5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/>
      </c>
    </row>
    <row r="121">
      <c r="A121" s="4" t="n"/>
      <c r="B121" s="5">
        <f>IF(A121="","",IFERROR(INDEX('جدول الجرد'!$A$2:$A$28,MATCH(A121,'جدول الجرد'!$B$2:$B$28,0)),""))</f>
        <v/>
      </c>
      <c r="C121" s="5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/>
      </c>
    </row>
    <row r="122">
      <c r="A122" s="4" t="n"/>
      <c r="B122" s="5">
        <f>IF(A122="","",IFERROR(INDEX('جدول الجرد'!$A$2:$A$28,MATCH(A122,'جدول الجرد'!$B$2:$B$28,0)),""))</f>
        <v/>
      </c>
      <c r="C122" s="5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/>
      </c>
    </row>
    <row r="123">
      <c r="A123" s="4" t="n"/>
      <c r="B123" s="5">
        <f>IF(A123="","",IFERROR(INDEX('جدول الجرد'!$A$2:$A$28,MATCH(A123,'جدول الجرد'!$B$2:$B$28,0)),""))</f>
        <v/>
      </c>
      <c r="C123" s="5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/>
      </c>
    </row>
    <row r="124">
      <c r="A124" s="4" t="n"/>
      <c r="B124" s="5">
        <f>IF(A124="","",IFERROR(INDEX('جدول الجرد'!$A$2:$A$28,MATCH(A124,'جدول الجرد'!$B$2:$B$28,0)),""))</f>
        <v/>
      </c>
      <c r="C124" s="5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/>
      </c>
    </row>
    <row r="125">
      <c r="A125" s="4" t="n"/>
      <c r="B125" s="5">
        <f>IF(A125="","",IFERROR(INDEX('جدول الجرد'!$A$2:$A$28,MATCH(A125,'جدول الجرد'!$B$2:$B$28,0)),""))</f>
        <v/>
      </c>
      <c r="C125" s="5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/>
      </c>
    </row>
    <row r="126">
      <c r="A126" s="4" t="n"/>
      <c r="B126" s="5">
        <f>IF(A126="","",IFERROR(INDEX('جدول الجرد'!$A$2:$A$28,MATCH(A126,'جدول الجرد'!$B$2:$B$28,0)),""))</f>
        <v/>
      </c>
      <c r="C126" s="5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/>
      </c>
    </row>
    <row r="127">
      <c r="A127" s="4" t="n"/>
      <c r="B127" s="5">
        <f>IF(A127="","",IFERROR(INDEX('جدول الجرد'!$A$2:$A$28,MATCH(A127,'جدول الجرد'!$B$2:$B$28,0)),""))</f>
        <v/>
      </c>
      <c r="C127" s="5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/>
      </c>
    </row>
    <row r="128">
      <c r="A128" s="4" t="n"/>
      <c r="B128" s="5">
        <f>IF(A128="","",IFERROR(INDEX('جدول الجرد'!$A$2:$A$28,MATCH(A128,'جدول الجرد'!$B$2:$B$28,0)),""))</f>
        <v/>
      </c>
      <c r="C128" s="5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/>
      </c>
    </row>
    <row r="129">
      <c r="A129" s="4" t="n"/>
      <c r="B129" s="5">
        <f>IF(A129="","",IFERROR(INDEX('جدول الجرد'!$A$2:$A$28,MATCH(A129,'جدول الجرد'!$B$2:$B$28,0)),""))</f>
        <v/>
      </c>
      <c r="C129" s="5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/>
      </c>
    </row>
    <row r="130">
      <c r="A130" s="4" t="n"/>
      <c r="B130" s="5">
        <f>IF(A130="","",IFERROR(INDEX('جدول الجرد'!$A$2:$A$28,MATCH(A130,'جدول الجرد'!$B$2:$B$28,0)),""))</f>
        <v/>
      </c>
      <c r="C130" s="5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/>
      </c>
    </row>
    <row r="131">
      <c r="A131" s="4" t="n"/>
      <c r="B131" s="5">
        <f>IF(A131="","",IFERROR(INDEX('جدول الجرد'!$A$2:$A$28,MATCH(A131,'جدول الجرد'!$B$2:$B$28,0)),""))</f>
        <v/>
      </c>
      <c r="C131" s="5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/>
      </c>
    </row>
    <row r="132">
      <c r="A132" s="4" t="n"/>
      <c r="B132" s="5">
        <f>IF(A132="","",IFERROR(INDEX('جدول الجرد'!$A$2:$A$28,MATCH(A132,'جدول الجرد'!$B$2:$B$28,0)),""))</f>
        <v/>
      </c>
      <c r="C132" s="5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/>
      </c>
    </row>
    <row r="133">
      <c r="A133" s="4" t="n"/>
      <c r="B133" s="5">
        <f>IF(A133="","",IFERROR(INDEX('جدول الجرد'!$A$2:$A$28,MATCH(A133,'جدول الجرد'!$B$2:$B$28,0)),""))</f>
        <v/>
      </c>
      <c r="C133" s="5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/>
      </c>
    </row>
    <row r="134">
      <c r="A134" s="4" t="n"/>
      <c r="B134" s="5">
        <f>IF(A134="","",IFERROR(INDEX('جدول الجرد'!$A$2:$A$28,MATCH(A134,'جدول الجرد'!$B$2:$B$28,0)),""))</f>
        <v/>
      </c>
      <c r="C134" s="5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/>
      </c>
    </row>
    <row r="135">
      <c r="A135" s="4" t="n"/>
      <c r="B135" s="5">
        <f>IF(A135="","",IFERROR(INDEX('جدول الجرد'!$A$2:$A$28,MATCH(A135,'جدول الجرد'!$B$2:$B$28,0)),""))</f>
        <v/>
      </c>
      <c r="C135" s="5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/>
      </c>
    </row>
    <row r="136">
      <c r="A136" s="4" t="n"/>
      <c r="B136" s="5">
        <f>IF(A136="","",IFERROR(INDEX('جدول الجرد'!$A$2:$A$28,MATCH(A136,'جدول الجرد'!$B$2:$B$28,0)),""))</f>
        <v/>
      </c>
      <c r="C136" s="5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/>
      </c>
    </row>
    <row r="137">
      <c r="A137" s="4" t="n"/>
      <c r="B137" s="5">
        <f>IF(A137="","",IFERROR(INDEX('جدول الجرد'!$A$2:$A$28,MATCH(A137,'جدول الجرد'!$B$2:$B$28,0)),""))</f>
        <v/>
      </c>
      <c r="C137" s="5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/>
      </c>
    </row>
    <row r="138">
      <c r="A138" s="4" t="n"/>
      <c r="B138" s="5">
        <f>IF(A138="","",IFERROR(INDEX('جدول الجرد'!$A$2:$A$28,MATCH(A138,'جدول الجرد'!$B$2:$B$28,0)),""))</f>
        <v/>
      </c>
      <c r="C138" s="5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/>
      </c>
    </row>
    <row r="139">
      <c r="A139" s="4" t="n"/>
      <c r="B139" s="5">
        <f>IF(A139="","",IFERROR(INDEX('جدول الجرد'!$A$2:$A$28,MATCH(A139,'جدول الجرد'!$B$2:$B$28,0)),""))</f>
        <v/>
      </c>
      <c r="C139" s="5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/>
      </c>
    </row>
    <row r="140">
      <c r="A140" s="4" t="n"/>
      <c r="B140" s="5">
        <f>IF(A140="","",IFERROR(INDEX('جدول الجرد'!$A$2:$A$28,MATCH(A140,'جدول الجرد'!$B$2:$B$28,0)),""))</f>
        <v/>
      </c>
      <c r="C140" s="5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/>
      </c>
    </row>
    <row r="141">
      <c r="A141" s="4" t="n"/>
      <c r="B141" s="5">
        <f>IF(A141="","",IFERROR(INDEX('جدول الجرد'!$A$2:$A$28,MATCH(A141,'جدول الجرد'!$B$2:$B$28,0)),""))</f>
        <v/>
      </c>
      <c r="C141" s="5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/>
      </c>
    </row>
    <row r="142">
      <c r="A142" s="4" t="n"/>
      <c r="B142" s="5">
        <f>IF(A142="","",IFERROR(INDEX('جدول الجرد'!$A$2:$A$28,MATCH(A142,'جدول الجرد'!$B$2:$B$28,0)),""))</f>
        <v/>
      </c>
      <c r="C142" s="5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/>
      </c>
    </row>
    <row r="143">
      <c r="A143" s="4" t="n"/>
      <c r="B143" s="5">
        <f>IF(A143="","",IFERROR(INDEX('جدول الجرد'!$A$2:$A$28,MATCH(A143,'جدول الجرد'!$B$2:$B$28,0)),""))</f>
        <v/>
      </c>
      <c r="C143" s="5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/>
      </c>
    </row>
    <row r="144">
      <c r="A144" s="4" t="n"/>
      <c r="B144" s="5">
        <f>IF(A144="","",IFERROR(INDEX('جدول الجرد'!$A$2:$A$28,MATCH(A144,'جدول الجرد'!$B$2:$B$28,0)),""))</f>
        <v/>
      </c>
      <c r="C144" s="5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/>
      </c>
    </row>
    <row r="145">
      <c r="A145" s="4" t="n"/>
      <c r="B145" s="5">
        <f>IF(A145="","",IFERROR(INDEX('جدول الجرد'!$A$2:$A$28,MATCH(A145,'جدول الجرد'!$B$2:$B$28,0)),""))</f>
        <v/>
      </c>
      <c r="C145" s="5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/>
      </c>
    </row>
    <row r="146">
      <c r="A146" s="4" t="n"/>
      <c r="B146" s="5">
        <f>IF(A146="","",IFERROR(INDEX('جدول الجرد'!$A$2:$A$28,MATCH(A146,'جدول الجرد'!$B$2:$B$28,0)),""))</f>
        <v/>
      </c>
      <c r="C146" s="5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/>
      </c>
    </row>
    <row r="147">
      <c r="A147" s="4" t="n"/>
      <c r="B147" s="5">
        <f>IF(A147="","",IFERROR(INDEX('جدول الجرد'!$A$2:$A$28,MATCH(A147,'جدول الجرد'!$B$2:$B$28,0)),""))</f>
        <v/>
      </c>
      <c r="C147" s="5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/>
      </c>
    </row>
    <row r="148">
      <c r="A148" s="4" t="n"/>
      <c r="B148" s="5">
        <f>IF(A148="","",IFERROR(INDEX('جدول الجرد'!$A$2:$A$28,MATCH(A148,'جدول الجرد'!$B$2:$B$28,0)),""))</f>
        <v/>
      </c>
      <c r="C148" s="5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/>
      </c>
    </row>
    <row r="149">
      <c r="A149" s="4" t="n"/>
      <c r="B149" s="5">
        <f>IF(A149="","",IFERROR(INDEX('جدول الجرد'!$A$2:$A$28,MATCH(A149,'جدول الجرد'!$B$2:$B$28,0)),""))</f>
        <v/>
      </c>
      <c r="C149" s="5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/>
      </c>
    </row>
    <row r="150">
      <c r="A150" s="4" t="n"/>
      <c r="B150" s="5">
        <f>IF(A150="","",IFERROR(INDEX('جدول الجرد'!$A$2:$A$28,MATCH(A150,'جدول الجرد'!$B$2:$B$28,0)),""))</f>
        <v/>
      </c>
      <c r="C150" s="5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/>
      </c>
    </row>
    <row r="151">
      <c r="A151" s="4" t="n"/>
      <c r="B151" s="5">
        <f>IF(A151="","",IFERROR(INDEX('جدول الجرد'!$A$2:$A$28,MATCH(A151,'جدول الجرد'!$B$2:$B$28,0)),""))</f>
        <v/>
      </c>
      <c r="C151" s="5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/>
      </c>
    </row>
    <row r="152">
      <c r="A152" s="4" t="n"/>
      <c r="B152" s="5">
        <f>IF(A152="","",IFERROR(INDEX('جدول الجرد'!$A$2:$A$28,MATCH(A152,'جدول الجرد'!$B$2:$B$28,0)),""))</f>
        <v/>
      </c>
      <c r="C152" s="5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/>
      </c>
    </row>
    <row r="153">
      <c r="A153" s="4" t="n"/>
      <c r="B153" s="5">
        <f>IF(A153="","",IFERROR(INDEX('جدول الجرد'!$A$2:$A$28,MATCH(A153,'جدول الجرد'!$B$2:$B$28,0)),""))</f>
        <v/>
      </c>
      <c r="C153" s="5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/>
      </c>
    </row>
    <row r="154">
      <c r="A154" s="4" t="n"/>
      <c r="B154" s="5">
        <f>IF(A154="","",IFERROR(INDEX('جدول الجرد'!$A$2:$A$28,MATCH(A154,'جدول الجرد'!$B$2:$B$28,0)),""))</f>
        <v/>
      </c>
      <c r="C154" s="5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/>
      </c>
    </row>
    <row r="155">
      <c r="A155" s="4" t="n"/>
      <c r="B155" s="5">
        <f>IF(A155="","",IFERROR(INDEX('جدول الجرد'!$A$2:$A$28,MATCH(A155,'جدول الجرد'!$B$2:$B$28,0)),""))</f>
        <v/>
      </c>
      <c r="C155" s="5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/>
      </c>
    </row>
    <row r="156">
      <c r="A156" s="4" t="n"/>
      <c r="B156" s="5">
        <f>IF(A156="","",IFERROR(INDEX('جدول الجرد'!$A$2:$A$28,MATCH(A156,'جدول الجرد'!$B$2:$B$28,0)),""))</f>
        <v/>
      </c>
      <c r="C156" s="5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/>
      </c>
    </row>
    <row r="157">
      <c r="A157" s="4" t="n"/>
      <c r="B157" s="5">
        <f>IF(A157="","",IFERROR(INDEX('جدول الجرد'!$A$2:$A$28,MATCH(A157,'جدول الجرد'!$B$2:$B$28,0)),""))</f>
        <v/>
      </c>
      <c r="C157" s="5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/>
      </c>
    </row>
    <row r="158">
      <c r="A158" s="4" t="n"/>
      <c r="B158" s="5">
        <f>IF(A158="","",IFERROR(INDEX('جدول الجرد'!$A$2:$A$28,MATCH(A158,'جدول الجرد'!$B$2:$B$28,0)),""))</f>
        <v/>
      </c>
      <c r="C158" s="5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/>
      </c>
    </row>
    <row r="159">
      <c r="A159" s="4" t="n"/>
      <c r="B159" s="5">
        <f>IF(A159="","",IFERROR(INDEX('جدول الجرد'!$A$2:$A$28,MATCH(A159,'جدول الجرد'!$B$2:$B$28,0)),""))</f>
        <v/>
      </c>
      <c r="C159" s="5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/>
      </c>
    </row>
    <row r="160">
      <c r="A160" s="4" t="n"/>
      <c r="B160" s="5">
        <f>IF(A160="","",IFERROR(INDEX('جدول الجرد'!$A$2:$A$28,MATCH(A160,'جدول الجرد'!$B$2:$B$28,0)),""))</f>
        <v/>
      </c>
      <c r="C160" s="5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/>
      </c>
    </row>
    <row r="161">
      <c r="A161" s="4" t="n"/>
      <c r="B161" s="5">
        <f>IF(A161="","",IFERROR(INDEX('جدول الجرد'!$A$2:$A$28,MATCH(A161,'جدول الجرد'!$B$2:$B$28,0)),""))</f>
        <v/>
      </c>
      <c r="C161" s="5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/>
      </c>
    </row>
    <row r="162">
      <c r="A162" s="4" t="n"/>
      <c r="B162" s="5">
        <f>IF(A162="","",IFERROR(INDEX('جدول الجرد'!$A$2:$A$28,MATCH(A162,'جدول الجرد'!$B$2:$B$28,0)),""))</f>
        <v/>
      </c>
      <c r="C162" s="5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/>
      </c>
    </row>
    <row r="163">
      <c r="A163" s="4" t="n"/>
      <c r="B163" s="5">
        <f>IF(A163="","",IFERROR(INDEX('جدول الجرد'!$A$2:$A$28,MATCH(A163,'جدول الجرد'!$B$2:$B$28,0)),""))</f>
        <v/>
      </c>
      <c r="C163" s="5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/>
      </c>
    </row>
    <row r="164">
      <c r="A164" s="4" t="n"/>
      <c r="B164" s="5">
        <f>IF(A164="","",IFERROR(INDEX('جدول الجرد'!$A$2:$A$28,MATCH(A164,'جدول الجرد'!$B$2:$B$28,0)),""))</f>
        <v/>
      </c>
      <c r="C164" s="5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/>
      </c>
    </row>
    <row r="165">
      <c r="A165" s="4" t="n"/>
      <c r="B165" s="5">
        <f>IF(A165="","",IFERROR(INDEX('جدول الجرد'!$A$2:$A$28,MATCH(A165,'جدول الجرد'!$B$2:$B$28,0)),""))</f>
        <v/>
      </c>
      <c r="C165" s="5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/>
      </c>
    </row>
    <row r="166">
      <c r="A166" s="4" t="n"/>
      <c r="B166" s="5">
        <f>IF(A166="","",IFERROR(INDEX('جدول الجرد'!$A$2:$A$28,MATCH(A166,'جدول الجرد'!$B$2:$B$28,0)),""))</f>
        <v/>
      </c>
      <c r="C166" s="5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/>
      </c>
    </row>
    <row r="167">
      <c r="A167" s="4" t="n"/>
      <c r="B167" s="5">
        <f>IF(A167="","",IFERROR(INDEX('جدول الجرد'!$A$2:$A$28,MATCH(A167,'جدول الجرد'!$B$2:$B$28,0)),""))</f>
        <v/>
      </c>
      <c r="C167" s="5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/>
      </c>
    </row>
    <row r="168">
      <c r="A168" s="4" t="n"/>
      <c r="B168" s="5">
        <f>IF(A168="","",IFERROR(INDEX('جدول الجرد'!$A$2:$A$28,MATCH(A168,'جدول الجرد'!$B$2:$B$28,0)),""))</f>
        <v/>
      </c>
      <c r="C168" s="5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/>
      </c>
    </row>
    <row r="169">
      <c r="A169" s="4" t="n"/>
      <c r="B169" s="5">
        <f>IF(A169="","",IFERROR(INDEX('جدول الجرد'!$A$2:$A$28,MATCH(A169,'جدول الجرد'!$B$2:$B$28,0)),""))</f>
        <v/>
      </c>
      <c r="C169" s="5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/>
      </c>
    </row>
    <row r="170">
      <c r="A170" s="4" t="n"/>
      <c r="B170" s="5">
        <f>IF(A170="","",IFERROR(INDEX('جدول الجرد'!$A$2:$A$28,MATCH(A170,'جدول الجرد'!$B$2:$B$28,0)),""))</f>
        <v/>
      </c>
      <c r="C170" s="5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/>
      </c>
    </row>
    <row r="171">
      <c r="A171" s="4" t="n"/>
      <c r="B171" s="5">
        <f>IF(A171="","",IFERROR(INDEX('جدول الجرد'!$A$2:$A$28,MATCH(A171,'جدول الجرد'!$B$2:$B$28,0)),""))</f>
        <v/>
      </c>
      <c r="C171" s="5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/>
      </c>
    </row>
    <row r="172">
      <c r="A172" s="4" t="n"/>
      <c r="B172" s="5">
        <f>IF(A172="","",IFERROR(INDEX('جدول الجرد'!$A$2:$A$28,MATCH(A172,'جدول الجرد'!$B$2:$B$28,0)),""))</f>
        <v/>
      </c>
      <c r="C172" s="5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/>
      </c>
    </row>
    <row r="173">
      <c r="A173" s="4" t="n"/>
      <c r="B173" s="5">
        <f>IF(A173="","",IFERROR(INDEX('جدول الجرد'!$A$2:$A$28,MATCH(A173,'جدول الجرد'!$B$2:$B$28,0)),""))</f>
        <v/>
      </c>
      <c r="C173" s="5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/>
      </c>
    </row>
    <row r="174">
      <c r="A174" s="4" t="n"/>
      <c r="B174" s="5">
        <f>IF(A174="","",IFERROR(INDEX('جدول الجرد'!$A$2:$A$28,MATCH(A174,'جدول الجرد'!$B$2:$B$28,0)),""))</f>
        <v/>
      </c>
      <c r="C174" s="5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/>
      </c>
    </row>
    <row r="175">
      <c r="A175" s="4" t="n"/>
      <c r="B175" s="5">
        <f>IF(A175="","",IFERROR(INDEX('جدول الجرد'!$A$2:$A$28,MATCH(A175,'جدول الجرد'!$B$2:$B$28,0)),""))</f>
        <v/>
      </c>
      <c r="C175" s="5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/>
      </c>
    </row>
    <row r="176">
      <c r="A176" s="4" t="n"/>
      <c r="B176" s="5">
        <f>IF(A176="","",IFERROR(INDEX('جدول الجرد'!$A$2:$A$28,MATCH(A176,'جدول الجرد'!$B$2:$B$28,0)),""))</f>
        <v/>
      </c>
      <c r="C176" s="5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/>
      </c>
    </row>
    <row r="177">
      <c r="A177" s="4" t="n"/>
      <c r="B177" s="5">
        <f>IF(A177="","",IFERROR(INDEX('جدول الجرد'!$A$2:$A$28,MATCH(A177,'جدول الجرد'!$B$2:$B$28,0)),""))</f>
        <v/>
      </c>
      <c r="C177" s="5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/>
      </c>
    </row>
    <row r="178">
      <c r="A178" s="4" t="n"/>
      <c r="B178" s="5">
        <f>IF(A178="","",IFERROR(INDEX('جدول الجرد'!$A$2:$A$28,MATCH(A178,'جدول الجرد'!$B$2:$B$28,0)),""))</f>
        <v/>
      </c>
      <c r="C178" s="5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/>
      </c>
    </row>
    <row r="179">
      <c r="A179" s="4" t="n"/>
      <c r="B179" s="5">
        <f>IF(A179="","",IFERROR(INDEX('جدول الجرد'!$A$2:$A$28,MATCH(A179,'جدول الجرد'!$B$2:$B$28,0)),""))</f>
        <v/>
      </c>
      <c r="C179" s="5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/>
      </c>
    </row>
    <row r="180">
      <c r="A180" s="4" t="n"/>
      <c r="B180" s="5">
        <f>IF(A180="","",IFERROR(INDEX('جدول الجرد'!$A$2:$A$28,MATCH(A180,'جدول الجرد'!$B$2:$B$28,0)),""))</f>
        <v/>
      </c>
      <c r="C180" s="5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/>
      </c>
    </row>
    <row r="181">
      <c r="A181" s="4" t="n"/>
      <c r="B181" s="5">
        <f>IF(A181="","",IFERROR(INDEX('جدول الجرد'!$A$2:$A$28,MATCH(A181,'جدول الجرد'!$B$2:$B$28,0)),""))</f>
        <v/>
      </c>
      <c r="C181" s="5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/>
      </c>
    </row>
    <row r="182">
      <c r="A182" s="4" t="n"/>
      <c r="B182" s="5">
        <f>IF(A182="","",IFERROR(INDEX('جدول الجرد'!$A$2:$A$28,MATCH(A182,'جدول الجرد'!$B$2:$B$28,0)),""))</f>
        <v/>
      </c>
      <c r="C182" s="5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/>
      </c>
    </row>
    <row r="183">
      <c r="A183" s="4" t="n"/>
      <c r="B183" s="5">
        <f>IF(A183="","",IFERROR(INDEX('جدول الجرد'!$A$2:$A$28,MATCH(A183,'جدول الجرد'!$B$2:$B$28,0)),""))</f>
        <v/>
      </c>
      <c r="C183" s="5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/>
      </c>
    </row>
    <row r="184">
      <c r="A184" s="4" t="n"/>
      <c r="B184" s="5">
        <f>IF(A184="","",IFERROR(INDEX('جدول الجرد'!$A$2:$A$28,MATCH(A184,'جدول الجرد'!$B$2:$B$28,0)),""))</f>
        <v/>
      </c>
      <c r="C184" s="5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/>
      </c>
    </row>
    <row r="185">
      <c r="A185" s="4" t="n"/>
      <c r="B185" s="5">
        <f>IF(A185="","",IFERROR(INDEX('جدول الجرد'!$A$2:$A$28,MATCH(A185,'جدول الجرد'!$B$2:$B$28,0)),""))</f>
        <v/>
      </c>
      <c r="C185" s="5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/>
      </c>
    </row>
    <row r="186">
      <c r="A186" s="4" t="n"/>
      <c r="B186" s="5">
        <f>IF(A186="","",IFERROR(INDEX('جدول الجرد'!$A$2:$A$28,MATCH(A186,'جدول الجرد'!$B$2:$B$28,0)),""))</f>
        <v/>
      </c>
      <c r="C186" s="5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/>
      </c>
    </row>
    <row r="187">
      <c r="A187" s="4" t="n"/>
      <c r="B187" s="5">
        <f>IF(A187="","",IFERROR(INDEX('جدول الجرد'!$A$2:$A$28,MATCH(A187,'جدول الجرد'!$B$2:$B$28,0)),""))</f>
        <v/>
      </c>
      <c r="C187" s="5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/>
      </c>
    </row>
    <row r="188">
      <c r="A188" s="4" t="n"/>
      <c r="B188" s="5">
        <f>IF(A188="","",IFERROR(INDEX('جدول الجرد'!$A$2:$A$28,MATCH(A188,'جدول الجرد'!$B$2:$B$28,0)),""))</f>
        <v/>
      </c>
      <c r="C188" s="5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/>
      </c>
    </row>
    <row r="189">
      <c r="A189" s="4" t="n"/>
      <c r="B189" s="5">
        <f>IF(A189="","",IFERROR(INDEX('جدول الجرد'!$A$2:$A$28,MATCH(A189,'جدول الجرد'!$B$2:$B$28,0)),""))</f>
        <v/>
      </c>
      <c r="C189" s="5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/>
      </c>
    </row>
    <row r="190">
      <c r="A190" s="4" t="n"/>
      <c r="B190" s="5">
        <f>IF(A190="","",IFERROR(INDEX('جدول الجرد'!$A$2:$A$28,MATCH(A190,'جدول الجرد'!$B$2:$B$28,0)),""))</f>
        <v/>
      </c>
      <c r="C190" s="5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/>
      </c>
    </row>
    <row r="191">
      <c r="A191" s="4" t="n"/>
      <c r="B191" s="5">
        <f>IF(A191="","",IFERROR(INDEX('جدول الجرد'!$A$2:$A$28,MATCH(A191,'جدول الجرد'!$B$2:$B$28,0)),""))</f>
        <v/>
      </c>
      <c r="C191" s="5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/>
      </c>
    </row>
    <row r="192">
      <c r="A192" s="4" t="n"/>
      <c r="B192" s="5">
        <f>IF(A192="","",IFERROR(INDEX('جدول الجرد'!$A$2:$A$28,MATCH(A192,'جدول الجرد'!$B$2:$B$28,0)),""))</f>
        <v/>
      </c>
      <c r="C192" s="5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/>
      </c>
    </row>
    <row r="193">
      <c r="A193" s="4" t="n"/>
      <c r="B193" s="5">
        <f>IF(A193="","",IFERROR(INDEX('جدول الجرد'!$A$2:$A$28,MATCH(A193,'جدول الجرد'!$B$2:$B$28,0)),""))</f>
        <v/>
      </c>
      <c r="C193" s="5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/>
      </c>
    </row>
    <row r="194">
      <c r="A194" s="4" t="n"/>
      <c r="B194" s="5">
        <f>IF(A194="","",IFERROR(INDEX('جدول الجرد'!$A$2:$A$28,MATCH(A194,'جدول الجرد'!$B$2:$B$28,0)),""))</f>
        <v/>
      </c>
      <c r="C194" s="5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/>
      </c>
    </row>
    <row r="195">
      <c r="A195" s="4" t="n"/>
      <c r="B195" s="5">
        <f>IF(A195="","",IFERROR(INDEX('جدول الجرد'!$A$2:$A$28,MATCH(A195,'جدول الجرد'!$B$2:$B$28,0)),""))</f>
        <v/>
      </c>
      <c r="C195" s="5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/>
      </c>
    </row>
    <row r="196">
      <c r="A196" s="4" t="n"/>
      <c r="B196" s="5">
        <f>IF(A196="","",IFERROR(INDEX('جدول الجرد'!$A$2:$A$28,MATCH(A196,'جدول الجرد'!$B$2:$B$28,0)),""))</f>
        <v/>
      </c>
      <c r="C196" s="5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/>
      </c>
    </row>
    <row r="197">
      <c r="A197" s="4" t="n"/>
      <c r="B197" s="5">
        <f>IF(A197="","",IFERROR(INDEX('جدول الجرد'!$A$2:$A$28,MATCH(A197,'جدول الجرد'!$B$2:$B$28,0)),""))</f>
        <v/>
      </c>
      <c r="C197" s="5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/>
      </c>
    </row>
    <row r="198">
      <c r="A198" s="4" t="n"/>
      <c r="B198" s="5">
        <f>IF(A198="","",IFERROR(INDEX('جدول الجرد'!$A$2:$A$28,MATCH(A198,'جدول الجرد'!$B$2:$B$28,0)),""))</f>
        <v/>
      </c>
      <c r="C198" s="5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/>
      </c>
    </row>
    <row r="199">
      <c r="A199" s="4" t="n"/>
      <c r="B199" s="5">
        <f>IF(A199="","",IFERROR(INDEX('جدول الجرد'!$A$2:$A$28,MATCH(A199,'جدول الجرد'!$B$2:$B$28,0)),""))</f>
        <v/>
      </c>
      <c r="C199" s="5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/>
      </c>
    </row>
    <row r="200">
      <c r="A200" s="4" t="n"/>
      <c r="B200" s="5">
        <f>IF(A200="","",IFERROR(INDEX('جدول الجرد'!$A$2:$A$28,MATCH(A200,'جدول الجرد'!$B$2:$B$28,0)),""))</f>
        <v/>
      </c>
      <c r="C200" s="5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/>
      </c>
    </row>
    <row r="201">
      <c r="A201" s="4" t="n"/>
      <c r="B201" s="5">
        <f>IF(A201="","",IFERROR(INDEX('جدول الجرد'!$A$2:$A$28,MATCH(A201,'جدول الجرد'!$B$2:$B$28,0)),""))</f>
        <v/>
      </c>
      <c r="C201" s="5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/>
      </c>
    </row>
    <row r="202">
      <c r="A202" s="4" t="n"/>
      <c r="B202" s="5">
        <f>IF(A202="","",IFERROR(INDEX('جدول الجرد'!$A$2:$A$28,MATCH(A202,'جدول الجرد'!$B$2:$B$28,0)),""))</f>
        <v/>
      </c>
      <c r="C202" s="5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/>
      </c>
    </row>
    <row r="203">
      <c r="A203" s="4" t="n"/>
      <c r="B203" s="5">
        <f>IF(A203="","",IFERROR(INDEX('جدول الجرد'!$A$2:$A$28,MATCH(A203,'جدول الجرد'!$B$2:$B$28,0)),""))</f>
        <v/>
      </c>
      <c r="C203" s="5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/>
      </c>
    </row>
    <row r="204">
      <c r="A204" s="4" t="n"/>
      <c r="B204" s="5">
        <f>IF(A204="","",IFERROR(INDEX('جدول الجرد'!$A$2:$A$28,MATCH(A204,'جدول الجرد'!$B$2:$B$28,0)),""))</f>
        <v/>
      </c>
      <c r="C204" s="5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/>
      </c>
    </row>
    <row r="205">
      <c r="A205" s="4" t="n"/>
      <c r="B205" s="5">
        <f>IF(A205="","",IFERROR(INDEX('جدول الجرد'!$A$2:$A$28,MATCH(A205,'جدول الجرد'!$B$2:$B$28,0)),""))</f>
        <v/>
      </c>
      <c r="C205" s="5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/>
      </c>
    </row>
    <row r="206">
      <c r="A206" s="4" t="n"/>
      <c r="B206" s="5">
        <f>IF(A206="","",IFERROR(INDEX('جدول الجرد'!$A$2:$A$28,MATCH(A206,'جدول الجرد'!$B$2:$B$28,0)),""))</f>
        <v/>
      </c>
      <c r="C206" s="5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/>
      </c>
    </row>
    <row r="207">
      <c r="A207" s="4" t="n"/>
      <c r="B207" s="5">
        <f>IF(A207="","",IFERROR(INDEX('جدول الجرد'!$A$2:$A$28,MATCH(A207,'جدول الجرد'!$B$2:$B$28,0)),""))</f>
        <v/>
      </c>
      <c r="C207" s="5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/>
      </c>
    </row>
    <row r="208">
      <c r="A208" s="4" t="n"/>
      <c r="B208" s="5">
        <f>IF(A208="","",IFERROR(INDEX('جدول الجرد'!$A$2:$A$28,MATCH(A208,'جدول الجرد'!$B$2:$B$28,0)),""))</f>
        <v/>
      </c>
      <c r="C208" s="5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/>
      </c>
    </row>
    <row r="209">
      <c r="A209" s="4" t="n"/>
      <c r="B209" s="5">
        <f>IF(A209="","",IFERROR(INDEX('جدول الجرد'!$A$2:$A$28,MATCH(A209,'جدول الجرد'!$B$2:$B$28,0)),""))</f>
        <v/>
      </c>
      <c r="C209" s="5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/>
      </c>
    </row>
    <row r="210">
      <c r="A210" s="4" t="n"/>
      <c r="B210" s="5">
        <f>IF(A210="","",IFERROR(INDEX('جدول الجرد'!$A$2:$A$28,MATCH(A210,'جدول الجرد'!$B$2:$B$28,0)),""))</f>
        <v/>
      </c>
      <c r="C210" s="5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/>
      </c>
    </row>
    <row r="211">
      <c r="A211" s="4" t="n"/>
      <c r="B211" s="5">
        <f>IF(A211="","",IFERROR(INDEX('جدول الجرد'!$A$2:$A$28,MATCH(A211,'جدول الجرد'!$B$2:$B$28,0)),""))</f>
        <v/>
      </c>
      <c r="C211" s="5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/>
      </c>
    </row>
    <row r="212">
      <c r="A212" s="4" t="n"/>
      <c r="B212" s="5">
        <f>IF(A212="","",IFERROR(INDEX('جدول الجرد'!$A$2:$A$28,MATCH(A212,'جدول الجرد'!$B$2:$B$28,0)),""))</f>
        <v/>
      </c>
      <c r="C212" s="5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/>
      </c>
    </row>
    <row r="213">
      <c r="A213" s="4" t="n"/>
      <c r="B213" s="5">
        <f>IF(A213="","",IFERROR(INDEX('جدول الجرد'!$A$2:$A$28,MATCH(A213,'جدول الجرد'!$B$2:$B$28,0)),""))</f>
        <v/>
      </c>
      <c r="C213" s="5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/>
      </c>
    </row>
    <row r="214">
      <c r="A214" s="4" t="n"/>
      <c r="B214" s="5">
        <f>IF(A214="","",IFERROR(INDEX('جدول الجرد'!$A$2:$A$28,MATCH(A214,'جدول الجرد'!$B$2:$B$28,0)),""))</f>
        <v/>
      </c>
      <c r="C214" s="5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/>
      </c>
    </row>
    <row r="215">
      <c r="A215" s="4" t="n"/>
      <c r="B215" s="5">
        <f>IF(A215="","",IFERROR(INDEX('جدول الجرد'!$A$2:$A$28,MATCH(A215,'جدول الجرد'!$B$2:$B$28,0)),""))</f>
        <v/>
      </c>
      <c r="C215" s="5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/>
      </c>
    </row>
    <row r="216">
      <c r="A216" s="4" t="n"/>
      <c r="B216" s="5">
        <f>IF(A216="","",IFERROR(INDEX('جدول الجرد'!$A$2:$A$28,MATCH(A216,'جدول الجرد'!$B$2:$B$28,0)),""))</f>
        <v/>
      </c>
      <c r="C216" s="5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/>
      </c>
    </row>
    <row r="217">
      <c r="A217" s="4" t="n"/>
      <c r="B217" s="5">
        <f>IF(A217="","",IFERROR(INDEX('جدول الجرد'!$A$2:$A$28,MATCH(A217,'جدول الجرد'!$B$2:$B$28,0)),""))</f>
        <v/>
      </c>
      <c r="C217" s="5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/>
      </c>
    </row>
    <row r="218">
      <c r="A218" s="4" t="n"/>
      <c r="B218" s="5">
        <f>IF(A218="","",IFERROR(INDEX('جدول الجرد'!$A$2:$A$28,MATCH(A218,'جدول الجرد'!$B$2:$B$28,0)),""))</f>
        <v/>
      </c>
      <c r="C218" s="5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/>
      </c>
    </row>
    <row r="219">
      <c r="A219" s="4" t="n"/>
      <c r="B219" s="5">
        <f>IF(A219="","",IFERROR(INDEX('جدول الجرد'!$A$2:$A$28,MATCH(A219,'جدول الجرد'!$B$2:$B$28,0)),""))</f>
        <v/>
      </c>
      <c r="C219" s="5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/>
      </c>
    </row>
    <row r="220">
      <c r="A220" s="4" t="n"/>
      <c r="B220" s="5">
        <f>IF(A220="","",IFERROR(INDEX('جدول الجرد'!$A$2:$A$28,MATCH(A220,'جدول الجرد'!$B$2:$B$28,0)),""))</f>
        <v/>
      </c>
      <c r="C220" s="5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/>
      </c>
    </row>
    <row r="221">
      <c r="A221" s="4" t="n"/>
      <c r="B221" s="5">
        <f>IF(A221="","",IFERROR(INDEX('جدول الجرد'!$A$2:$A$28,MATCH(A221,'جدول الجرد'!$B$2:$B$28,0)),""))</f>
        <v/>
      </c>
      <c r="C221" s="5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/>
      </c>
    </row>
    <row r="222">
      <c r="A222" s="4" t="n"/>
      <c r="B222" s="5">
        <f>IF(A222="","",IFERROR(INDEX('جدول الجرد'!$A$2:$A$28,MATCH(A222,'جدول الجرد'!$B$2:$B$28,0)),""))</f>
        <v/>
      </c>
      <c r="C222" s="5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/>
      </c>
    </row>
    <row r="223">
      <c r="A223" s="4" t="n"/>
      <c r="B223" s="5">
        <f>IF(A223="","",IFERROR(INDEX('جدول الجرد'!$A$2:$A$28,MATCH(A223,'جدول الجرد'!$B$2:$B$28,0)),""))</f>
        <v/>
      </c>
      <c r="C223" s="5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/>
      </c>
    </row>
    <row r="224">
      <c r="A224" s="4" t="n"/>
      <c r="B224" s="5">
        <f>IF(A224="","",IFERROR(INDEX('جدول الجرد'!$A$2:$A$28,MATCH(A224,'جدول الجرد'!$B$2:$B$28,0)),""))</f>
        <v/>
      </c>
      <c r="C224" s="5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/>
      </c>
    </row>
    <row r="225">
      <c r="A225" s="4" t="n"/>
      <c r="B225" s="5">
        <f>IF(A225="","",IFERROR(INDEX('جدول الجرد'!$A$2:$A$28,MATCH(A225,'جدول الجرد'!$B$2:$B$28,0)),""))</f>
        <v/>
      </c>
      <c r="C225" s="5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/>
      </c>
    </row>
    <row r="226">
      <c r="A226" s="4" t="n"/>
      <c r="B226" s="5">
        <f>IF(A226="","",IFERROR(INDEX('جدول الجرد'!$A$2:$A$28,MATCH(A226,'جدول الجرد'!$B$2:$B$28,0)),""))</f>
        <v/>
      </c>
      <c r="C226" s="5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/>
      </c>
    </row>
    <row r="227">
      <c r="A227" s="4" t="n"/>
      <c r="B227" s="5">
        <f>IF(A227="","",IFERROR(INDEX('جدول الجرد'!$A$2:$A$28,MATCH(A227,'جدول الجرد'!$B$2:$B$28,0)),""))</f>
        <v/>
      </c>
      <c r="C227" s="5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/>
      </c>
    </row>
    <row r="228">
      <c r="A228" s="4" t="n"/>
      <c r="B228" s="5">
        <f>IF(A228="","",IFERROR(INDEX('جدول الجرد'!$A$2:$A$28,MATCH(A228,'جدول الجرد'!$B$2:$B$28,0)),""))</f>
        <v/>
      </c>
      <c r="C228" s="5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/>
      </c>
    </row>
    <row r="229">
      <c r="A229" s="4" t="n"/>
      <c r="B229" s="5">
        <f>IF(A229="","",IFERROR(INDEX('جدول الجرد'!$A$2:$A$28,MATCH(A229,'جدول الجرد'!$B$2:$B$28,0)),""))</f>
        <v/>
      </c>
      <c r="C229" s="5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/>
      </c>
    </row>
    <row r="230">
      <c r="A230" s="4" t="n"/>
      <c r="B230" s="5">
        <f>IF(A230="","",IFERROR(INDEX('جدول الجرد'!$A$2:$A$28,MATCH(A230,'جدول الجرد'!$B$2:$B$28,0)),""))</f>
        <v/>
      </c>
      <c r="C230" s="5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/>
      </c>
    </row>
    <row r="231">
      <c r="A231" s="4" t="n"/>
      <c r="B231" s="5">
        <f>IF(A231="","",IFERROR(INDEX('جدول الجرد'!$A$2:$A$28,MATCH(A231,'جدول الجرد'!$B$2:$B$28,0)),""))</f>
        <v/>
      </c>
      <c r="C231" s="5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/>
      </c>
    </row>
    <row r="232">
      <c r="A232" s="4" t="n"/>
      <c r="B232" s="5">
        <f>IF(A232="","",IFERROR(INDEX('جدول الجرد'!$A$2:$A$28,MATCH(A232,'جدول الجرد'!$B$2:$B$28,0)),""))</f>
        <v/>
      </c>
      <c r="C232" s="5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/>
      </c>
    </row>
    <row r="233">
      <c r="A233" s="4" t="n"/>
      <c r="B233" s="5">
        <f>IF(A233="","",IFERROR(INDEX('جدول الجرد'!$A$2:$A$28,MATCH(A233,'جدول الجرد'!$B$2:$B$28,0)),""))</f>
        <v/>
      </c>
      <c r="C233" s="5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/>
      </c>
    </row>
    <row r="234">
      <c r="A234" s="4" t="n"/>
      <c r="B234" s="5">
        <f>IF(A234="","",IFERROR(INDEX('جدول الجرد'!$A$2:$A$28,MATCH(A234,'جدول الجرد'!$B$2:$B$28,0)),""))</f>
        <v/>
      </c>
      <c r="C234" s="5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/>
      </c>
    </row>
    <row r="235">
      <c r="A235" s="4" t="n"/>
      <c r="B235" s="5">
        <f>IF(A235="","",IFERROR(INDEX('جدول الجرد'!$A$2:$A$28,MATCH(A235,'جدول الجرد'!$B$2:$B$28,0)),""))</f>
        <v/>
      </c>
      <c r="C235" s="5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/>
      </c>
    </row>
    <row r="236">
      <c r="A236" s="4" t="n"/>
      <c r="B236" s="5">
        <f>IF(A236="","",IFERROR(INDEX('جدول الجرد'!$A$2:$A$28,MATCH(A236,'جدول الجرد'!$B$2:$B$28,0)),""))</f>
        <v/>
      </c>
      <c r="C236" s="5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/>
      </c>
    </row>
    <row r="237">
      <c r="A237" s="4" t="n"/>
      <c r="B237" s="5">
        <f>IF(A237="","",IFERROR(INDEX('جدول الجرد'!$A$2:$A$28,MATCH(A237,'جدول الجرد'!$B$2:$B$28,0)),""))</f>
        <v/>
      </c>
      <c r="C237" s="5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/>
      </c>
    </row>
    <row r="238">
      <c r="A238" s="4" t="n"/>
      <c r="B238" s="5">
        <f>IF(A238="","",IFERROR(INDEX('جدول الجرد'!$A$2:$A$28,MATCH(A238,'جدول الجرد'!$B$2:$B$28,0)),""))</f>
        <v/>
      </c>
      <c r="C238" s="5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/>
      </c>
    </row>
    <row r="239">
      <c r="A239" s="4" t="n"/>
      <c r="B239" s="5">
        <f>IF(A239="","",IFERROR(INDEX('جدول الجرد'!$A$2:$A$28,MATCH(A239,'جدول الجرد'!$B$2:$B$28,0)),""))</f>
        <v/>
      </c>
      <c r="C239" s="5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/>
      </c>
    </row>
    <row r="240">
      <c r="A240" s="4" t="n"/>
      <c r="B240" s="5">
        <f>IF(A240="","",IFERROR(INDEX('جدول الجرد'!$A$2:$A$28,MATCH(A240,'جدول الجرد'!$B$2:$B$28,0)),""))</f>
        <v/>
      </c>
      <c r="C240" s="5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/>
      </c>
    </row>
    <row r="241">
      <c r="A241" s="4" t="n"/>
      <c r="B241" s="5">
        <f>IF(A241="","",IFERROR(INDEX('جدول الجرد'!$A$2:$A$28,MATCH(A241,'جدول الجرد'!$B$2:$B$28,0)),""))</f>
        <v/>
      </c>
      <c r="C241" s="5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/>
      </c>
    </row>
    <row r="242">
      <c r="A242" s="4" t="n"/>
      <c r="B242" s="5">
        <f>IF(A242="","",IFERROR(INDEX('جدول الجرد'!$A$2:$A$28,MATCH(A242,'جدول الجرد'!$B$2:$B$28,0)),""))</f>
        <v/>
      </c>
      <c r="C242" s="5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/>
      </c>
    </row>
    <row r="243">
      <c r="A243" s="4" t="n"/>
      <c r="B243" s="5">
        <f>IF(A243="","",IFERROR(INDEX('جدول الجرد'!$A$2:$A$28,MATCH(A243,'جدول الجرد'!$B$2:$B$28,0)),""))</f>
        <v/>
      </c>
      <c r="C243" s="5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/>
      </c>
    </row>
    <row r="244">
      <c r="A244" s="4" t="n"/>
      <c r="B244" s="5">
        <f>IF(A244="","",IFERROR(INDEX('جدول الجرد'!$A$2:$A$28,MATCH(A244,'جدول الجرد'!$B$2:$B$28,0)),""))</f>
        <v/>
      </c>
      <c r="C244" s="5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/>
      </c>
    </row>
    <row r="245">
      <c r="A245" s="4" t="n"/>
      <c r="B245" s="5">
        <f>IF(A245="","",IFERROR(INDEX('جدول الجرد'!$A$2:$A$28,MATCH(A245,'جدول الجرد'!$B$2:$B$28,0)),""))</f>
        <v/>
      </c>
      <c r="C245" s="5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/>
      </c>
    </row>
    <row r="246">
      <c r="A246" s="4" t="n"/>
      <c r="B246" s="5">
        <f>IF(A246="","",IFERROR(INDEX('جدول الجرد'!$A$2:$A$28,MATCH(A246,'جدول الجرد'!$B$2:$B$28,0)),""))</f>
        <v/>
      </c>
      <c r="C246" s="5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/>
      </c>
    </row>
    <row r="247">
      <c r="A247" s="4" t="n"/>
      <c r="B247" s="5">
        <f>IF(A247="","",IFERROR(INDEX('جدول الجرد'!$A$2:$A$28,MATCH(A247,'جدول الجرد'!$B$2:$B$28,0)),""))</f>
        <v/>
      </c>
      <c r="C247" s="5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/>
      </c>
    </row>
    <row r="248">
      <c r="A248" s="4" t="n"/>
      <c r="B248" s="5">
        <f>IF(A248="","",IFERROR(INDEX('جدول الجرد'!$A$2:$A$28,MATCH(A248,'جدول الجرد'!$B$2:$B$28,0)),""))</f>
        <v/>
      </c>
      <c r="C248" s="5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/>
      </c>
    </row>
    <row r="249">
      <c r="A249" s="4" t="n"/>
      <c r="B249" s="5">
        <f>IF(A249="","",IFERROR(INDEX('جدول الجرد'!$A$2:$A$28,MATCH(A249,'جدول الجرد'!$B$2:$B$28,0)),""))</f>
        <v/>
      </c>
      <c r="C249" s="5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/>
      </c>
    </row>
    <row r="250">
      <c r="A250" s="4" t="n"/>
      <c r="B250" s="5">
        <f>IF(A250="","",IFERROR(INDEX('جدول الجرد'!$A$2:$A$28,MATCH(A250,'جدول الجرد'!$B$2:$B$28,0)),""))</f>
        <v/>
      </c>
      <c r="C250" s="5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/>
      </c>
    </row>
    <row r="251">
      <c r="A251" s="4" t="n"/>
      <c r="B251" s="5">
        <f>IF(A251="","",IFERROR(INDEX('جدول الجرد'!$A$2:$A$28,MATCH(A251,'جدول الجرد'!$B$2:$B$28,0)),""))</f>
        <v/>
      </c>
      <c r="C251" s="5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/>
      </c>
    </row>
    <row r="252">
      <c r="A252" s="4" t="n"/>
      <c r="B252" s="5">
        <f>IF(A252="","",IFERROR(INDEX('جدول الجرد'!$A$2:$A$28,MATCH(A252,'جدول الجرد'!$B$2:$B$28,0)),""))</f>
        <v/>
      </c>
      <c r="C252" s="5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/>
      </c>
    </row>
    <row r="253">
      <c r="A253" s="4" t="n"/>
      <c r="B253" s="5">
        <f>IF(A253="","",IFERROR(INDEX('جدول الجرد'!$A$2:$A$28,MATCH(A253,'جدول الجرد'!$B$2:$B$28,0)),""))</f>
        <v/>
      </c>
      <c r="C253" s="5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/>
      </c>
    </row>
    <row r="254">
      <c r="A254" s="4" t="n"/>
      <c r="B254" s="5">
        <f>IF(A254="","",IFERROR(INDEX('جدول الجرد'!$A$2:$A$28,MATCH(A254,'جدول الجرد'!$B$2:$B$28,0)),""))</f>
        <v/>
      </c>
      <c r="C254" s="5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/>
      </c>
    </row>
    <row r="255">
      <c r="A255" s="4" t="n"/>
      <c r="B255" s="5">
        <f>IF(A255="","",IFERROR(INDEX('جدول الجرد'!$A$2:$A$28,MATCH(A255,'جدول الجرد'!$B$2:$B$28,0)),""))</f>
        <v/>
      </c>
      <c r="C255" s="5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/>
      </c>
    </row>
    <row r="256">
      <c r="A256" s="4" t="n"/>
      <c r="B256" s="5">
        <f>IF(A256="","",IFERROR(INDEX('جدول الجرد'!$A$2:$A$28,MATCH(A256,'جدول الجرد'!$B$2:$B$28,0)),""))</f>
        <v/>
      </c>
      <c r="C256" s="5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/>
      </c>
    </row>
    <row r="257">
      <c r="A257" s="4" t="n"/>
      <c r="B257" s="5">
        <f>IF(A257="","",IFERROR(INDEX('جدول الجرد'!$A$2:$A$28,MATCH(A257,'جدول الجرد'!$B$2:$B$28,0)),""))</f>
        <v/>
      </c>
      <c r="C257" s="5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/>
      </c>
    </row>
    <row r="258">
      <c r="A258" s="4" t="n"/>
      <c r="B258" s="5">
        <f>IF(A258="","",IFERROR(INDEX('جدول الجرد'!$A$2:$A$28,MATCH(A258,'جدول الجرد'!$B$2:$B$28,0)),""))</f>
        <v/>
      </c>
      <c r="C258" s="5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/>
      </c>
    </row>
    <row r="259">
      <c r="A259" s="4" t="n"/>
      <c r="B259" s="5">
        <f>IF(A259="","",IFERROR(INDEX('جدول الجرد'!$A$2:$A$28,MATCH(A259,'جدول الجرد'!$B$2:$B$28,0)),""))</f>
        <v/>
      </c>
      <c r="C259" s="5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/>
      </c>
    </row>
    <row r="260">
      <c r="A260" s="4" t="n"/>
      <c r="B260" s="5">
        <f>IF(A260="","",IFERROR(INDEX('جدول الجرد'!$A$2:$A$28,MATCH(A260,'جدول الجرد'!$B$2:$B$28,0)),""))</f>
        <v/>
      </c>
      <c r="C260" s="5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/>
      </c>
    </row>
    <row r="261">
      <c r="A261" s="4" t="n"/>
      <c r="B261" s="5">
        <f>IF(A261="","",IFERROR(INDEX('جدول الجرد'!$A$2:$A$28,MATCH(A261,'جدول الجرد'!$B$2:$B$28,0)),""))</f>
        <v/>
      </c>
      <c r="C261" s="5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/>
      </c>
    </row>
    <row r="262">
      <c r="A262" s="4" t="n"/>
      <c r="B262" s="5">
        <f>IF(A262="","",IFERROR(INDEX('جدول الجرد'!$A$2:$A$28,MATCH(A262,'جدول الجرد'!$B$2:$B$28,0)),""))</f>
        <v/>
      </c>
      <c r="C262" s="5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/>
      </c>
    </row>
    <row r="263">
      <c r="A263" s="4" t="n"/>
      <c r="B263" s="5">
        <f>IF(A263="","",IFERROR(INDEX('جدول الجرد'!$A$2:$A$28,MATCH(A263,'جدول الجرد'!$B$2:$B$28,0)),""))</f>
        <v/>
      </c>
      <c r="C263" s="5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/>
      </c>
    </row>
    <row r="264">
      <c r="A264" s="4" t="n"/>
      <c r="B264" s="5">
        <f>IF(A264="","",IFERROR(INDEX('جدول الجرد'!$A$2:$A$28,MATCH(A264,'جدول الجرد'!$B$2:$B$28,0)),""))</f>
        <v/>
      </c>
      <c r="C264" s="5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/>
      </c>
    </row>
    <row r="265">
      <c r="A265" s="4" t="n"/>
      <c r="B265" s="5">
        <f>IF(A265="","",IFERROR(INDEX('جدول الجرد'!$A$2:$A$28,MATCH(A265,'جدول الجرد'!$B$2:$B$28,0)),""))</f>
        <v/>
      </c>
      <c r="C265" s="5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/>
      </c>
    </row>
    <row r="266">
      <c r="A266" s="4" t="n"/>
      <c r="B266" s="5">
        <f>IF(A266="","",IFERROR(INDEX('جدول الجرد'!$A$2:$A$28,MATCH(A266,'جدول الجرد'!$B$2:$B$28,0)),""))</f>
        <v/>
      </c>
      <c r="C266" s="5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/>
      </c>
    </row>
    <row r="267">
      <c r="A267" s="4" t="n"/>
      <c r="B267" s="5">
        <f>IF(A267="","",IFERROR(INDEX('جدول الجرد'!$A$2:$A$28,MATCH(A267,'جدول الجرد'!$B$2:$B$28,0)),""))</f>
        <v/>
      </c>
      <c r="C267" s="5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/>
      </c>
    </row>
    <row r="268">
      <c r="A268" s="4" t="n"/>
      <c r="B268" s="5">
        <f>IF(A268="","",IFERROR(INDEX('جدول الجرد'!$A$2:$A$28,MATCH(A268,'جدول الجرد'!$B$2:$B$28,0)),""))</f>
        <v/>
      </c>
      <c r="C268" s="5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/>
      </c>
    </row>
    <row r="269">
      <c r="A269" s="4" t="n"/>
      <c r="B269" s="5">
        <f>IF(A269="","",IFERROR(INDEX('جدول الجرد'!$A$2:$A$28,MATCH(A269,'جدول الجرد'!$B$2:$B$28,0)),""))</f>
        <v/>
      </c>
      <c r="C269" s="5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/>
      </c>
    </row>
    <row r="270">
      <c r="A270" s="4" t="n"/>
      <c r="B270" s="5">
        <f>IF(A270="","",IFERROR(INDEX('جدول الجرد'!$A$2:$A$28,MATCH(A270,'جدول الجرد'!$B$2:$B$28,0)),""))</f>
        <v/>
      </c>
      <c r="C270" s="5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/>
      </c>
    </row>
    <row r="271">
      <c r="A271" s="4" t="n"/>
      <c r="B271" s="5">
        <f>IF(A271="","",IFERROR(INDEX('جدول الجرد'!$A$2:$A$28,MATCH(A271,'جدول الجرد'!$B$2:$B$28,0)),""))</f>
        <v/>
      </c>
      <c r="C271" s="5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/>
      </c>
    </row>
    <row r="272">
      <c r="A272" s="4" t="n"/>
      <c r="B272" s="5">
        <f>IF(A272="","",IFERROR(INDEX('جدول الجرد'!$A$2:$A$28,MATCH(A272,'جدول الجرد'!$B$2:$B$28,0)),""))</f>
        <v/>
      </c>
      <c r="C272" s="5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/>
      </c>
    </row>
    <row r="273">
      <c r="A273" s="4" t="n"/>
      <c r="B273" s="5">
        <f>IF(A273="","",IFERROR(INDEX('جدول الجرد'!$A$2:$A$28,MATCH(A273,'جدول الجرد'!$B$2:$B$28,0)),""))</f>
        <v/>
      </c>
      <c r="C273" s="5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/>
      </c>
    </row>
    <row r="274">
      <c r="A274" s="4" t="n"/>
      <c r="B274" s="5">
        <f>IF(A274="","",IFERROR(INDEX('جدول الجرد'!$A$2:$A$28,MATCH(A274,'جدول الجرد'!$B$2:$B$28,0)),""))</f>
        <v/>
      </c>
      <c r="C274" s="5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/>
      </c>
    </row>
    <row r="275">
      <c r="A275" s="4" t="n"/>
      <c r="B275" s="5">
        <f>IF(A275="","",IFERROR(INDEX('جدول الجرد'!$A$2:$A$28,MATCH(A275,'جدول الجرد'!$B$2:$B$28,0)),""))</f>
        <v/>
      </c>
      <c r="C275" s="5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/>
      </c>
    </row>
    <row r="276">
      <c r="A276" s="4" t="n"/>
      <c r="B276" s="5">
        <f>IF(A276="","",IFERROR(INDEX('جدول الجرد'!$A$2:$A$28,MATCH(A276,'جدول الجرد'!$B$2:$B$28,0)),""))</f>
        <v/>
      </c>
      <c r="C276" s="5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/>
      </c>
    </row>
    <row r="277">
      <c r="A277" s="4" t="n"/>
      <c r="B277" s="5">
        <f>IF(A277="","",IFERROR(INDEX('جدول الجرد'!$A$2:$A$28,MATCH(A277,'جدول الجرد'!$B$2:$B$28,0)),""))</f>
        <v/>
      </c>
      <c r="C277" s="5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/>
      </c>
    </row>
    <row r="278">
      <c r="A278" s="4" t="n"/>
      <c r="B278" s="5">
        <f>IF(A278="","",IFERROR(INDEX('جدول الجرد'!$A$2:$A$28,MATCH(A278,'جدول الجرد'!$B$2:$B$28,0)),""))</f>
        <v/>
      </c>
      <c r="C278" s="5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/>
      </c>
    </row>
    <row r="279">
      <c r="A279" s="4" t="n"/>
      <c r="B279" s="5">
        <f>IF(A279="","",IFERROR(INDEX('جدول الجرد'!$A$2:$A$28,MATCH(A279,'جدول الجرد'!$B$2:$B$28,0)),""))</f>
        <v/>
      </c>
      <c r="C279" s="5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/>
      </c>
    </row>
    <row r="280">
      <c r="A280" s="4" t="n"/>
      <c r="B280" s="5">
        <f>IF(A280="","",IFERROR(INDEX('جدول الجرد'!$A$2:$A$28,MATCH(A280,'جدول الجرد'!$B$2:$B$28,0)),""))</f>
        <v/>
      </c>
      <c r="C280" s="5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/>
      </c>
    </row>
    <row r="281">
      <c r="A281" s="4" t="n"/>
      <c r="B281" s="5">
        <f>IF(A281="","",IFERROR(INDEX('جدول الجرد'!$A$2:$A$28,MATCH(A281,'جدول الجرد'!$B$2:$B$28,0)),""))</f>
        <v/>
      </c>
      <c r="C281" s="5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/>
      </c>
    </row>
    <row r="282">
      <c r="A282" s="4" t="n"/>
      <c r="B282" s="5">
        <f>IF(A282="","",IFERROR(INDEX('جدول الجرد'!$A$2:$A$28,MATCH(A282,'جدول الجرد'!$B$2:$B$28,0)),""))</f>
        <v/>
      </c>
      <c r="C282" s="5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/>
      </c>
    </row>
    <row r="283">
      <c r="A283" s="4" t="n"/>
      <c r="B283" s="5">
        <f>IF(A283="","",IFERROR(INDEX('جدول الجرد'!$A$2:$A$28,MATCH(A283,'جدول الجرد'!$B$2:$B$28,0)),""))</f>
        <v/>
      </c>
      <c r="C283" s="5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/>
      </c>
    </row>
    <row r="284">
      <c r="A284" s="4" t="n"/>
      <c r="B284" s="5">
        <f>IF(A284="","",IFERROR(INDEX('جدول الجرد'!$A$2:$A$28,MATCH(A284,'جدول الجرد'!$B$2:$B$28,0)),""))</f>
        <v/>
      </c>
      <c r="C284" s="5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/>
      </c>
    </row>
    <row r="285">
      <c r="A285" s="4" t="n"/>
      <c r="B285" s="5">
        <f>IF(A285="","",IFERROR(INDEX('جدول الجرد'!$A$2:$A$28,MATCH(A285,'جدول الجرد'!$B$2:$B$28,0)),""))</f>
        <v/>
      </c>
      <c r="C285" s="5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/>
      </c>
    </row>
    <row r="286">
      <c r="A286" s="4" t="n"/>
      <c r="B286" s="5">
        <f>IF(A286="","",IFERROR(INDEX('جدول الجرد'!$A$2:$A$28,MATCH(A286,'جدول الجرد'!$B$2:$B$28,0)),""))</f>
        <v/>
      </c>
      <c r="C286" s="5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/>
      </c>
    </row>
    <row r="287">
      <c r="A287" s="4" t="n"/>
      <c r="B287" s="5">
        <f>IF(A287="","",IFERROR(INDEX('جدول الجرد'!$A$2:$A$28,MATCH(A287,'جدول الجرد'!$B$2:$B$28,0)),""))</f>
        <v/>
      </c>
      <c r="C287" s="5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/>
      </c>
    </row>
    <row r="288">
      <c r="A288" s="4" t="n"/>
      <c r="B288" s="5">
        <f>IF(A288="","",IFERROR(INDEX('جدول الجرد'!$A$2:$A$28,MATCH(A288,'جدول الجرد'!$B$2:$B$28,0)),""))</f>
        <v/>
      </c>
      <c r="C288" s="5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/>
      </c>
    </row>
    <row r="289">
      <c r="A289" s="4" t="n"/>
      <c r="B289" s="5">
        <f>IF(A289="","",IFERROR(INDEX('جدول الجرد'!$A$2:$A$28,MATCH(A289,'جدول الجرد'!$B$2:$B$28,0)),""))</f>
        <v/>
      </c>
      <c r="C289" s="5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/>
      </c>
    </row>
    <row r="290">
      <c r="A290" s="4" t="n"/>
      <c r="B290" s="5">
        <f>IF(A290="","",IFERROR(INDEX('جدول الجرد'!$A$2:$A$28,MATCH(A290,'جدول الجرد'!$B$2:$B$28,0)),""))</f>
        <v/>
      </c>
      <c r="C290" s="5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/>
      </c>
    </row>
    <row r="291">
      <c r="A291" s="4" t="n"/>
      <c r="B291" s="5">
        <f>IF(A291="","",IFERROR(INDEX('جدول الجرد'!$A$2:$A$28,MATCH(A291,'جدول الجرد'!$B$2:$B$28,0)),""))</f>
        <v/>
      </c>
      <c r="C291" s="5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/>
      </c>
    </row>
    <row r="292">
      <c r="A292" s="4" t="n"/>
      <c r="B292" s="5">
        <f>IF(A292="","",IFERROR(INDEX('جدول الجرد'!$A$2:$A$28,MATCH(A292,'جدول الجرد'!$B$2:$B$28,0)),""))</f>
        <v/>
      </c>
      <c r="C292" s="5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/>
      </c>
    </row>
    <row r="293">
      <c r="A293" s="4" t="n"/>
      <c r="B293" s="5">
        <f>IF(A293="","",IFERROR(INDEX('جدول الجرد'!$A$2:$A$28,MATCH(A293,'جدول الجرد'!$B$2:$B$28,0)),""))</f>
        <v/>
      </c>
      <c r="C293" s="5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/>
      </c>
    </row>
    <row r="294">
      <c r="A294" s="4" t="n"/>
      <c r="B294" s="5">
        <f>IF(A294="","",IFERROR(INDEX('جدول الجرد'!$A$2:$A$28,MATCH(A294,'جدول الجرد'!$B$2:$B$28,0)),""))</f>
        <v/>
      </c>
      <c r="C294" s="5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/>
      </c>
    </row>
    <row r="295">
      <c r="A295" s="4" t="n"/>
      <c r="B295" s="5">
        <f>IF(A295="","",IFERROR(INDEX('جدول الجرد'!$A$2:$A$28,MATCH(A295,'جدول الجرد'!$B$2:$B$28,0)),""))</f>
        <v/>
      </c>
      <c r="C295" s="5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/>
      </c>
    </row>
    <row r="296">
      <c r="A296" s="4" t="n"/>
      <c r="B296" s="5">
        <f>IF(A296="","",IFERROR(INDEX('جدول الجرد'!$A$2:$A$28,MATCH(A296,'جدول الجرد'!$B$2:$B$28,0)),""))</f>
        <v/>
      </c>
      <c r="C296" s="5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/>
      </c>
    </row>
    <row r="297">
      <c r="A297" s="4" t="n"/>
      <c r="B297" s="5">
        <f>IF(A297="","",IFERROR(INDEX('جدول الجرد'!$A$2:$A$28,MATCH(A297,'جدول الجرد'!$B$2:$B$28,0)),""))</f>
        <v/>
      </c>
      <c r="C297" s="5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/>
      </c>
    </row>
    <row r="298">
      <c r="A298" s="4" t="n"/>
      <c r="B298" s="5">
        <f>IF(A298="","",IFERROR(INDEX('جدول الجرد'!$A$2:$A$28,MATCH(A298,'جدول الجرد'!$B$2:$B$28,0)),""))</f>
        <v/>
      </c>
      <c r="C298" s="5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/>
      </c>
    </row>
    <row r="299">
      <c r="A299" s="4" t="n"/>
      <c r="B299" s="5">
        <f>IF(A299="","",IFERROR(INDEX('جدول الجرد'!$A$2:$A$28,MATCH(A299,'جدول الجرد'!$B$2:$B$28,0)),""))</f>
        <v/>
      </c>
      <c r="C299" s="5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/>
      </c>
    </row>
    <row r="300">
      <c r="A300" s="4" t="n"/>
      <c r="B300" s="5">
        <f>IF(A300="","",IFERROR(INDEX('جدول الجرد'!$A$2:$A$28,MATCH(A300,'جدول الجرد'!$B$2:$B$28,0)),""))</f>
        <v/>
      </c>
      <c r="C300" s="5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/>
      </c>
    </row>
    <row r="301">
      <c r="A301" s="4" t="n"/>
      <c r="B301" s="5">
        <f>IF(A301="","",IFERROR(INDEX('جدول الجرد'!$A$2:$A$28,MATCH(A301,'جدول الجرد'!$B$2:$B$28,0)),""))</f>
        <v/>
      </c>
      <c r="C301" s="5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/>
      </c>
    </row>
    <row r="302">
      <c r="A302" s="4" t="n"/>
      <c r="B302" s="5">
        <f>IF(A302="","",IFERROR(INDEX('جدول الجرد'!$A$2:$A$28,MATCH(A302,'جدول الجرد'!$B$2:$B$28,0)),""))</f>
        <v/>
      </c>
      <c r="C302" s="5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/>
      </c>
    </row>
    <row r="303">
      <c r="A303" s="4" t="n"/>
      <c r="B303" s="5">
        <f>IF(A303="","",IFERROR(INDEX('جدول الجرد'!$A$2:$A$28,MATCH(A303,'جدول الجرد'!$B$2:$B$28,0)),""))</f>
        <v/>
      </c>
      <c r="C303" s="5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/>
      </c>
    </row>
    <row r="304">
      <c r="A304" s="4" t="n"/>
      <c r="B304" s="5">
        <f>IF(A304="","",IFERROR(INDEX('جدول الجرد'!$A$2:$A$28,MATCH(A304,'جدول الجرد'!$B$2:$B$28,0)),""))</f>
        <v/>
      </c>
      <c r="C304" s="5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/>
      </c>
    </row>
    <row r="305">
      <c r="A305" s="4" t="n"/>
      <c r="B305" s="5">
        <f>IF(A305="","",IFERROR(INDEX('جدول الجرد'!$A$2:$A$28,MATCH(A305,'جدول الجرد'!$B$2:$B$28,0)),""))</f>
        <v/>
      </c>
      <c r="C305" s="5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/>
      </c>
    </row>
    <row r="306">
      <c r="A306" s="4" t="n"/>
      <c r="B306" s="5">
        <f>IF(A306="","",IFERROR(INDEX('جدول الجرد'!$A$2:$A$28,MATCH(A306,'جدول الجرد'!$B$2:$B$28,0)),""))</f>
        <v/>
      </c>
      <c r="C306" s="5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/>
      </c>
    </row>
    <row r="307">
      <c r="A307" s="4" t="n"/>
      <c r="B307" s="5">
        <f>IF(A307="","",IFERROR(INDEX('جدول الجرد'!$A$2:$A$28,MATCH(A307,'جدول الجرد'!$B$2:$B$28,0)),""))</f>
        <v/>
      </c>
      <c r="C307" s="5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/>
      </c>
    </row>
    <row r="308">
      <c r="A308" s="4" t="n"/>
      <c r="B308" s="5">
        <f>IF(A308="","",IFERROR(INDEX('جدول الجرد'!$A$2:$A$28,MATCH(A308,'جدول الجرد'!$B$2:$B$28,0)),""))</f>
        <v/>
      </c>
      <c r="C308" s="5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/>
      </c>
    </row>
    <row r="309">
      <c r="A309" s="4" t="n"/>
      <c r="B309" s="5">
        <f>IF(A309="","",IFERROR(INDEX('جدول الجرد'!$A$2:$A$28,MATCH(A309,'جدول الجرد'!$B$2:$B$28,0)),""))</f>
        <v/>
      </c>
      <c r="C309" s="5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/>
      </c>
    </row>
    <row r="310">
      <c r="A310" s="4" t="n"/>
      <c r="B310" s="5">
        <f>IF(A310="","",IFERROR(INDEX('جدول الجرد'!$A$2:$A$28,MATCH(A310,'جدول الجرد'!$B$2:$B$28,0)),""))</f>
        <v/>
      </c>
      <c r="C310" s="5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/>
      </c>
    </row>
    <row r="311">
      <c r="A311" s="4" t="n"/>
      <c r="B311" s="5">
        <f>IF(A311="","",IFERROR(INDEX('جدول الجرد'!$A$2:$A$28,MATCH(A311,'جدول الجرد'!$B$2:$B$28,0)),""))</f>
        <v/>
      </c>
      <c r="C311" s="5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/>
      </c>
    </row>
    <row r="312">
      <c r="A312" s="4" t="n"/>
      <c r="B312" s="5">
        <f>IF(A312="","",IFERROR(INDEX('جدول الجرد'!$A$2:$A$28,MATCH(A312,'جدول الجرد'!$B$2:$B$28,0)),""))</f>
        <v/>
      </c>
      <c r="C312" s="5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/>
      </c>
    </row>
    <row r="313">
      <c r="A313" s="4" t="n"/>
      <c r="B313" s="5">
        <f>IF(A313="","",IFERROR(INDEX('جدول الجرد'!$A$2:$A$28,MATCH(A313,'جدول الجرد'!$B$2:$B$28,0)),""))</f>
        <v/>
      </c>
      <c r="C313" s="5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/>
      </c>
    </row>
    <row r="314">
      <c r="A314" s="4" t="n"/>
      <c r="B314" s="5">
        <f>IF(A314="","",IFERROR(INDEX('جدول الجرد'!$A$2:$A$28,MATCH(A314,'جدول الجرد'!$B$2:$B$28,0)),""))</f>
        <v/>
      </c>
      <c r="C314" s="5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/>
      </c>
    </row>
    <row r="315">
      <c r="A315" s="4" t="n"/>
      <c r="B315" s="5">
        <f>IF(A315="","",IFERROR(INDEX('جدول الجرد'!$A$2:$A$28,MATCH(A315,'جدول الجرد'!$B$2:$B$28,0)),""))</f>
        <v/>
      </c>
      <c r="C315" s="5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/>
      </c>
    </row>
    <row r="316">
      <c r="A316" s="4" t="n"/>
      <c r="B316" s="5">
        <f>IF(A316="","",IFERROR(INDEX('جدول الجرد'!$A$2:$A$28,MATCH(A316,'جدول الجرد'!$B$2:$B$28,0)),""))</f>
        <v/>
      </c>
      <c r="C316" s="5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/>
      </c>
    </row>
    <row r="317">
      <c r="A317" s="4" t="n"/>
      <c r="B317" s="5">
        <f>IF(A317="","",IFERROR(INDEX('جدول الجرد'!$A$2:$A$28,MATCH(A317,'جدول الجرد'!$B$2:$B$28,0)),""))</f>
        <v/>
      </c>
      <c r="C317" s="5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/>
      </c>
    </row>
    <row r="318">
      <c r="A318" s="4" t="n"/>
      <c r="B318" s="5">
        <f>IF(A318="","",IFERROR(INDEX('جدول الجرد'!$A$2:$A$28,MATCH(A318,'جدول الجرد'!$B$2:$B$28,0)),""))</f>
        <v/>
      </c>
      <c r="C318" s="5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/>
      </c>
    </row>
    <row r="319">
      <c r="A319" s="4" t="n"/>
      <c r="B319" s="5">
        <f>IF(A319="","",IFERROR(INDEX('جدول الجرد'!$A$2:$A$28,MATCH(A319,'جدول الجرد'!$B$2:$B$28,0)),""))</f>
        <v/>
      </c>
      <c r="C319" s="5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/>
      </c>
    </row>
    <row r="320">
      <c r="A320" s="4" t="n"/>
      <c r="B320" s="5">
        <f>IF(A320="","",IFERROR(INDEX('جدول الجرد'!$A$2:$A$28,MATCH(A320,'جدول الجرد'!$B$2:$B$28,0)),""))</f>
        <v/>
      </c>
      <c r="C320" s="5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/>
      </c>
    </row>
    <row r="321">
      <c r="A321" s="4" t="n"/>
      <c r="B321" s="5">
        <f>IF(A321="","",IFERROR(INDEX('جدول الجرد'!$A$2:$A$28,MATCH(A321,'جدول الجرد'!$B$2:$B$28,0)),""))</f>
        <v/>
      </c>
      <c r="C321" s="5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/>
      </c>
    </row>
    <row r="322">
      <c r="A322" s="4" t="n"/>
      <c r="B322" s="5">
        <f>IF(A322="","",IFERROR(INDEX('جدول الجرد'!$A$2:$A$28,MATCH(A322,'جدول الجرد'!$B$2:$B$28,0)),""))</f>
        <v/>
      </c>
      <c r="C322" s="5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/>
      </c>
    </row>
    <row r="323">
      <c r="A323" s="4" t="n"/>
      <c r="B323" s="5">
        <f>IF(A323="","",IFERROR(INDEX('جدول الجرد'!$A$2:$A$28,MATCH(A323,'جدول الجرد'!$B$2:$B$28,0)),""))</f>
        <v/>
      </c>
      <c r="C323" s="5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/>
      </c>
    </row>
    <row r="324">
      <c r="A324" s="4" t="n"/>
      <c r="B324" s="5">
        <f>IF(A324="","",IFERROR(INDEX('جدول الجرد'!$A$2:$A$28,MATCH(A324,'جدول الجرد'!$B$2:$B$28,0)),""))</f>
        <v/>
      </c>
      <c r="C324" s="5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/>
      </c>
    </row>
    <row r="325">
      <c r="A325" s="4" t="n"/>
      <c r="B325" s="5">
        <f>IF(A325="","",IFERROR(INDEX('جدول الجرد'!$A$2:$A$28,MATCH(A325,'جدول الجرد'!$B$2:$B$28,0)),""))</f>
        <v/>
      </c>
      <c r="C325" s="5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/>
      </c>
    </row>
    <row r="326">
      <c r="A326" s="4" t="n"/>
      <c r="B326" s="5">
        <f>IF(A326="","",IFERROR(INDEX('جدول الجرد'!$A$2:$A$28,MATCH(A326,'جدول الجرد'!$B$2:$B$28,0)),""))</f>
        <v/>
      </c>
      <c r="C326" s="5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/>
      </c>
    </row>
    <row r="327">
      <c r="A327" s="4" t="n"/>
      <c r="B327" s="5">
        <f>IF(A327="","",IFERROR(INDEX('جدول الجرد'!$A$2:$A$28,MATCH(A327,'جدول الجرد'!$B$2:$B$28,0)),""))</f>
        <v/>
      </c>
      <c r="C327" s="5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/>
      </c>
    </row>
    <row r="328">
      <c r="A328" s="4" t="n"/>
      <c r="B328" s="5">
        <f>IF(A328="","",IFERROR(INDEX('جدول الجرد'!$A$2:$A$28,MATCH(A328,'جدول الجرد'!$B$2:$B$28,0)),""))</f>
        <v/>
      </c>
      <c r="C328" s="5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/>
      </c>
    </row>
    <row r="329">
      <c r="A329" s="4" t="n"/>
      <c r="B329" s="5">
        <f>IF(A329="","",IFERROR(INDEX('جدول الجرد'!$A$2:$A$28,MATCH(A329,'جدول الجرد'!$B$2:$B$28,0)),""))</f>
        <v/>
      </c>
      <c r="C329" s="5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/>
      </c>
    </row>
    <row r="330">
      <c r="A330" s="4" t="n"/>
      <c r="B330" s="5">
        <f>IF(A330="","",IFERROR(INDEX('جدول الجرد'!$A$2:$A$28,MATCH(A330,'جدول الجرد'!$B$2:$B$28,0)),""))</f>
        <v/>
      </c>
      <c r="C330" s="5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/>
      </c>
    </row>
    <row r="331">
      <c r="A331" s="4" t="n"/>
      <c r="B331" s="5">
        <f>IF(A331="","",IFERROR(INDEX('جدول الجرد'!$A$2:$A$28,MATCH(A331,'جدول الجرد'!$B$2:$B$28,0)),""))</f>
        <v/>
      </c>
      <c r="C331" s="5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/>
      </c>
    </row>
    <row r="332">
      <c r="A332" s="4" t="n"/>
      <c r="B332" s="5">
        <f>IF(A332="","",IFERROR(INDEX('جدول الجرد'!$A$2:$A$28,MATCH(A332,'جدول الجرد'!$B$2:$B$28,0)),""))</f>
        <v/>
      </c>
      <c r="C332" s="5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/>
      </c>
    </row>
    <row r="333">
      <c r="A333" s="4" t="n"/>
      <c r="B333" s="5">
        <f>IF(A333="","",IFERROR(INDEX('جدول الجرد'!$A$2:$A$28,MATCH(A333,'جدول الجرد'!$B$2:$B$28,0)),""))</f>
        <v/>
      </c>
      <c r="C333" s="5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/>
      </c>
    </row>
    <row r="334">
      <c r="A334" s="4" t="n"/>
      <c r="B334" s="5">
        <f>IF(A334="","",IFERROR(INDEX('جدول الجرد'!$A$2:$A$28,MATCH(A334,'جدول الجرد'!$B$2:$B$28,0)),""))</f>
        <v/>
      </c>
      <c r="C334" s="5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/>
      </c>
    </row>
    <row r="335">
      <c r="A335" s="4" t="n"/>
      <c r="B335" s="5">
        <f>IF(A335="","",IFERROR(INDEX('جدول الجرد'!$A$2:$A$28,MATCH(A335,'جدول الجرد'!$B$2:$B$28,0)),""))</f>
        <v/>
      </c>
      <c r="C335" s="5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/>
      </c>
    </row>
    <row r="336">
      <c r="A336" s="4" t="n"/>
      <c r="B336" s="5">
        <f>IF(A336="","",IFERROR(INDEX('جدول الجرد'!$A$2:$A$28,MATCH(A336,'جدول الجرد'!$B$2:$B$28,0)),""))</f>
        <v/>
      </c>
      <c r="C336" s="5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/>
      </c>
    </row>
    <row r="337">
      <c r="A337" s="4" t="n"/>
      <c r="B337" s="5">
        <f>IF(A337="","",IFERROR(INDEX('جدول الجرد'!$A$2:$A$28,MATCH(A337,'جدول الجرد'!$B$2:$B$28,0)),""))</f>
        <v/>
      </c>
      <c r="C337" s="5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/>
      </c>
    </row>
    <row r="338">
      <c r="A338" s="4" t="n"/>
      <c r="B338" s="5">
        <f>IF(A338="","",IFERROR(INDEX('جدول الجرد'!$A$2:$A$28,MATCH(A338,'جدول الجرد'!$B$2:$B$28,0)),""))</f>
        <v/>
      </c>
      <c r="C338" s="5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/>
      </c>
    </row>
    <row r="339">
      <c r="A339" s="4" t="n"/>
      <c r="B339" s="5">
        <f>IF(A339="","",IFERROR(INDEX('جدول الجرد'!$A$2:$A$28,MATCH(A339,'جدول الجرد'!$B$2:$B$28,0)),""))</f>
        <v/>
      </c>
      <c r="C339" s="5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/>
      </c>
    </row>
    <row r="340">
      <c r="A340" s="4" t="n"/>
      <c r="B340" s="5">
        <f>IF(A340="","",IFERROR(INDEX('جدول الجرد'!$A$2:$A$28,MATCH(A340,'جدول الجرد'!$B$2:$B$28,0)),""))</f>
        <v/>
      </c>
      <c r="C340" s="5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/>
      </c>
    </row>
    <row r="341">
      <c r="A341" s="4" t="n"/>
      <c r="B341" s="5">
        <f>IF(A341="","",IFERROR(INDEX('جدول الجرد'!$A$2:$A$28,MATCH(A341,'جدول الجرد'!$B$2:$B$28,0)),""))</f>
        <v/>
      </c>
      <c r="C341" s="5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/>
      </c>
    </row>
    <row r="342">
      <c r="A342" s="4" t="n"/>
      <c r="B342" s="5">
        <f>IF(A342="","",IFERROR(INDEX('جدول الجرد'!$A$2:$A$28,MATCH(A342,'جدول الجرد'!$B$2:$B$28,0)),""))</f>
        <v/>
      </c>
      <c r="C342" s="5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/>
      </c>
    </row>
    <row r="343">
      <c r="A343" s="4" t="n"/>
      <c r="B343" s="5">
        <f>IF(A343="","",IFERROR(INDEX('جدول الجرد'!$A$2:$A$28,MATCH(A343,'جدول الجرد'!$B$2:$B$28,0)),""))</f>
        <v/>
      </c>
      <c r="C343" s="5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/>
      </c>
    </row>
    <row r="344">
      <c r="A344" s="4" t="n"/>
      <c r="B344" s="5">
        <f>IF(A344="","",IFERROR(INDEX('جدول الجرد'!$A$2:$A$28,MATCH(A344,'جدول الجرد'!$B$2:$B$28,0)),""))</f>
        <v/>
      </c>
      <c r="C344" s="5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/>
      </c>
    </row>
    <row r="345">
      <c r="A345" s="4" t="n"/>
      <c r="B345" s="5">
        <f>IF(A345="","",IFERROR(INDEX('جدول الجرد'!$A$2:$A$28,MATCH(A345,'جدول الجرد'!$B$2:$B$28,0)),""))</f>
        <v/>
      </c>
      <c r="C345" s="5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/>
      </c>
    </row>
    <row r="346">
      <c r="A346" s="4" t="n"/>
      <c r="B346" s="5">
        <f>IF(A346="","",IFERROR(INDEX('جدول الجرد'!$A$2:$A$28,MATCH(A346,'جدول الجرد'!$B$2:$B$28,0)),""))</f>
        <v/>
      </c>
      <c r="C346" s="5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/>
      </c>
    </row>
    <row r="347">
      <c r="A347" s="4" t="n"/>
      <c r="B347" s="5">
        <f>IF(A347="","",IFERROR(INDEX('جدول الجرد'!$A$2:$A$28,MATCH(A347,'جدول الجرد'!$B$2:$B$28,0)),""))</f>
        <v/>
      </c>
      <c r="C347" s="5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/>
      </c>
    </row>
    <row r="348">
      <c r="A348" s="4" t="n"/>
      <c r="B348" s="5">
        <f>IF(A348="","",IFERROR(INDEX('جدول الجرد'!$A$2:$A$28,MATCH(A348,'جدول الجرد'!$B$2:$B$28,0)),""))</f>
        <v/>
      </c>
      <c r="C348" s="5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/>
      </c>
    </row>
    <row r="349">
      <c r="A349" s="4" t="n"/>
      <c r="B349" s="5">
        <f>IF(A349="","",IFERROR(INDEX('جدول الجرد'!$A$2:$A$28,MATCH(A349,'جدول الجرد'!$B$2:$B$28,0)),""))</f>
        <v/>
      </c>
      <c r="C349" s="5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/>
      </c>
    </row>
    <row r="350">
      <c r="A350" s="4" t="n"/>
      <c r="B350" s="5">
        <f>IF(A350="","",IFERROR(INDEX('جدول الجرد'!$A$2:$A$28,MATCH(A350,'جدول الجرد'!$B$2:$B$28,0)),""))</f>
        <v/>
      </c>
      <c r="C350" s="5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/>
      </c>
    </row>
    <row r="351">
      <c r="A351" s="4" t="n"/>
      <c r="B351" s="5">
        <f>IF(A351="","",IFERROR(INDEX('جدول الجرد'!$A$2:$A$28,MATCH(A351,'جدول الجرد'!$B$2:$B$28,0)),""))</f>
        <v/>
      </c>
      <c r="C351" s="5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/>
      </c>
    </row>
    <row r="352">
      <c r="A352" s="4" t="n"/>
      <c r="B352" s="5">
        <f>IF(A352="","",IFERROR(INDEX('جدول الجرد'!$A$2:$A$28,MATCH(A352,'جدول الجرد'!$B$2:$B$28,0)),""))</f>
        <v/>
      </c>
      <c r="C352" s="5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/>
      </c>
    </row>
    <row r="353">
      <c r="A353" s="4" t="n"/>
      <c r="B353" s="5">
        <f>IF(A353="","",IFERROR(INDEX('جدول الجرد'!$A$2:$A$28,MATCH(A353,'جدول الجرد'!$B$2:$B$28,0)),""))</f>
        <v/>
      </c>
      <c r="C353" s="5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/>
      </c>
    </row>
    <row r="354">
      <c r="A354" s="4" t="n"/>
      <c r="B354" s="5">
        <f>IF(A354="","",IFERROR(INDEX('جدول الجرد'!$A$2:$A$28,MATCH(A354,'جدول الجرد'!$B$2:$B$28,0)),""))</f>
        <v/>
      </c>
      <c r="C354" s="5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/>
      </c>
    </row>
    <row r="355">
      <c r="A355" s="4" t="n"/>
      <c r="B355" s="5">
        <f>IF(A355="","",IFERROR(INDEX('جدول الجرد'!$A$2:$A$28,MATCH(A355,'جدول الجرد'!$B$2:$B$28,0)),""))</f>
        <v/>
      </c>
      <c r="C355" s="5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/>
      </c>
    </row>
    <row r="356">
      <c r="A356" s="4" t="n"/>
      <c r="B356" s="5">
        <f>IF(A356="","",IFERROR(INDEX('جدول الجرد'!$A$2:$A$28,MATCH(A356,'جدول الجرد'!$B$2:$B$28,0)),""))</f>
        <v/>
      </c>
      <c r="C356" s="5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/>
      </c>
    </row>
    <row r="357">
      <c r="A357" s="4" t="n"/>
      <c r="B357" s="5">
        <f>IF(A357="","",IFERROR(INDEX('جدول الجرد'!$A$2:$A$28,MATCH(A357,'جدول الجرد'!$B$2:$B$28,0)),""))</f>
        <v/>
      </c>
      <c r="C357" s="5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/>
      </c>
    </row>
    <row r="358">
      <c r="A358" s="4" t="n"/>
      <c r="B358" s="5">
        <f>IF(A358="","",IFERROR(INDEX('جدول الجرد'!$A$2:$A$28,MATCH(A358,'جدول الجرد'!$B$2:$B$28,0)),""))</f>
        <v/>
      </c>
      <c r="C358" s="5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/>
      </c>
    </row>
    <row r="359">
      <c r="A359" s="4" t="n"/>
      <c r="B359" s="5">
        <f>IF(A359="","",IFERROR(INDEX('جدول الجرد'!$A$2:$A$28,MATCH(A359,'جدول الجرد'!$B$2:$B$28,0)),""))</f>
        <v/>
      </c>
      <c r="C359" s="5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/>
      </c>
    </row>
    <row r="360">
      <c r="A360" s="4" t="n"/>
      <c r="B360" s="5">
        <f>IF(A360="","",IFERROR(INDEX('جدول الجرد'!$A$2:$A$28,MATCH(A360,'جدول الجرد'!$B$2:$B$28,0)),""))</f>
        <v/>
      </c>
      <c r="C360" s="5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/>
      </c>
    </row>
    <row r="361">
      <c r="A361" s="4" t="n"/>
      <c r="B361" s="5">
        <f>IF(A361="","",IFERROR(INDEX('جدول الجرد'!$A$2:$A$28,MATCH(A361,'جدول الجرد'!$B$2:$B$28,0)),""))</f>
        <v/>
      </c>
      <c r="C361" s="5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/>
      </c>
    </row>
    <row r="362">
      <c r="A362" s="4" t="n"/>
      <c r="B362" s="5">
        <f>IF(A362="","",IFERROR(INDEX('جدول الجرد'!$A$2:$A$28,MATCH(A362,'جدول الجرد'!$B$2:$B$28,0)),""))</f>
        <v/>
      </c>
      <c r="C362" s="5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/>
      </c>
    </row>
    <row r="363">
      <c r="A363" s="4" t="n"/>
      <c r="B363" s="5">
        <f>IF(A363="","",IFERROR(INDEX('جدول الجرد'!$A$2:$A$28,MATCH(A363,'جدول الجرد'!$B$2:$B$28,0)),""))</f>
        <v/>
      </c>
      <c r="C363" s="5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/>
      </c>
    </row>
    <row r="364">
      <c r="A364" s="4" t="n"/>
      <c r="B364" s="5">
        <f>IF(A364="","",IFERROR(INDEX('جدول الجرد'!$A$2:$A$28,MATCH(A364,'جدول الجرد'!$B$2:$B$28,0)),""))</f>
        <v/>
      </c>
      <c r="C364" s="5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/>
      </c>
    </row>
    <row r="365">
      <c r="A365" s="4" t="n"/>
      <c r="B365" s="5">
        <f>IF(A365="","",IFERROR(INDEX('جدول الجرد'!$A$2:$A$28,MATCH(A365,'جدول الجرد'!$B$2:$B$28,0)),""))</f>
        <v/>
      </c>
      <c r="C365" s="5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/>
      </c>
    </row>
    <row r="366">
      <c r="A366" s="4" t="n"/>
      <c r="B366" s="5">
        <f>IF(A366="","",IFERROR(INDEX('جدول الجرد'!$A$2:$A$28,MATCH(A366,'جدول الجرد'!$B$2:$B$28,0)),""))</f>
        <v/>
      </c>
      <c r="C366" s="5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/>
      </c>
    </row>
    <row r="367">
      <c r="A367" s="4" t="n"/>
      <c r="B367" s="5">
        <f>IF(A367="","",IFERROR(INDEX('جدول الجرد'!$A$2:$A$28,MATCH(A367,'جدول الجرد'!$B$2:$B$28,0)),""))</f>
        <v/>
      </c>
      <c r="C367" s="5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/>
      </c>
    </row>
    <row r="368">
      <c r="A368" s="4" t="n"/>
      <c r="B368" s="5">
        <f>IF(A368="","",IFERROR(INDEX('جدول الجرد'!$A$2:$A$28,MATCH(A368,'جدول الجرد'!$B$2:$B$28,0)),""))</f>
        <v/>
      </c>
      <c r="C368" s="5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/>
      </c>
    </row>
    <row r="369">
      <c r="A369" s="4" t="n"/>
      <c r="B369" s="5">
        <f>IF(A369="","",IFERROR(INDEX('جدول الجرد'!$A$2:$A$28,MATCH(A369,'جدول الجرد'!$B$2:$B$28,0)),""))</f>
        <v/>
      </c>
      <c r="C369" s="5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/>
      </c>
    </row>
    <row r="370">
      <c r="A370" s="4" t="n"/>
      <c r="B370" s="5">
        <f>IF(A370="","",IFERROR(INDEX('جدول الجرد'!$A$2:$A$28,MATCH(A370,'جدول الجرد'!$B$2:$B$28,0)),""))</f>
        <v/>
      </c>
      <c r="C370" s="5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/>
      </c>
    </row>
    <row r="371">
      <c r="A371" s="4" t="n"/>
      <c r="B371" s="5">
        <f>IF(A371="","",IFERROR(INDEX('جدول الجرد'!$A$2:$A$28,MATCH(A371,'جدول الجرد'!$B$2:$B$28,0)),""))</f>
        <v/>
      </c>
      <c r="C371" s="5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/>
      </c>
    </row>
    <row r="372">
      <c r="A372" s="4" t="n"/>
      <c r="B372" s="5">
        <f>IF(A372="","",IFERROR(INDEX('جدول الجرد'!$A$2:$A$28,MATCH(A372,'جدول الجرد'!$B$2:$B$28,0)),""))</f>
        <v/>
      </c>
      <c r="C372" s="5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/>
      </c>
    </row>
    <row r="373">
      <c r="A373" s="4" t="n"/>
      <c r="B373" s="5">
        <f>IF(A373="","",IFERROR(INDEX('جدول الجرد'!$A$2:$A$28,MATCH(A373,'جدول الجرد'!$B$2:$B$28,0)),""))</f>
        <v/>
      </c>
      <c r="C373" s="5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/>
      </c>
    </row>
    <row r="374">
      <c r="A374" s="4" t="n"/>
      <c r="B374" s="5">
        <f>IF(A374="","",IFERROR(INDEX('جدول الجرد'!$A$2:$A$28,MATCH(A374,'جدول الجرد'!$B$2:$B$28,0)),""))</f>
        <v/>
      </c>
      <c r="C374" s="5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/>
      </c>
    </row>
    <row r="375">
      <c r="A375" s="4" t="n"/>
      <c r="B375" s="5">
        <f>IF(A375="","",IFERROR(INDEX('جدول الجرد'!$A$2:$A$28,MATCH(A375,'جدول الجرد'!$B$2:$B$28,0)),""))</f>
        <v/>
      </c>
      <c r="C375" s="5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/>
      </c>
    </row>
    <row r="376">
      <c r="A376" s="4" t="n"/>
      <c r="B376" s="5">
        <f>IF(A376="","",IFERROR(INDEX('جدول الجرد'!$A$2:$A$28,MATCH(A376,'جدول الجرد'!$B$2:$B$28,0)),""))</f>
        <v/>
      </c>
      <c r="C376" s="5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/>
      </c>
    </row>
    <row r="377">
      <c r="A377" s="4" t="n"/>
      <c r="B377" s="5">
        <f>IF(A377="","",IFERROR(INDEX('جدول الجرد'!$A$2:$A$28,MATCH(A377,'جدول الجرد'!$B$2:$B$28,0)),""))</f>
        <v/>
      </c>
      <c r="C377" s="5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/>
      </c>
    </row>
    <row r="378">
      <c r="A378" s="4" t="n"/>
      <c r="B378" s="5">
        <f>IF(A378="","",IFERROR(INDEX('جدول الجرد'!$A$2:$A$28,MATCH(A378,'جدول الجرد'!$B$2:$B$28,0)),""))</f>
        <v/>
      </c>
      <c r="C378" s="5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/>
      </c>
    </row>
    <row r="379">
      <c r="A379" s="4" t="n"/>
      <c r="B379" s="5">
        <f>IF(A379="","",IFERROR(INDEX('جدول الجرد'!$A$2:$A$28,MATCH(A379,'جدول الجرد'!$B$2:$B$28,0)),""))</f>
        <v/>
      </c>
      <c r="C379" s="5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/>
      </c>
    </row>
    <row r="380">
      <c r="A380" s="4" t="n"/>
      <c r="B380" s="5">
        <f>IF(A380="","",IFERROR(INDEX('جدول الجرد'!$A$2:$A$28,MATCH(A380,'جدول الجرد'!$B$2:$B$28,0)),""))</f>
        <v/>
      </c>
      <c r="C380" s="5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/>
      </c>
    </row>
    <row r="381">
      <c r="A381" s="4" t="n"/>
      <c r="B381" s="5">
        <f>IF(A381="","",IFERROR(INDEX('جدول الجرد'!$A$2:$A$28,MATCH(A381,'جدول الجرد'!$B$2:$B$28,0)),""))</f>
        <v/>
      </c>
      <c r="C381" s="5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/>
      </c>
    </row>
    <row r="382">
      <c r="A382" s="4" t="n"/>
      <c r="B382" s="5">
        <f>IF(A382="","",IFERROR(INDEX('جدول الجرد'!$A$2:$A$28,MATCH(A382,'جدول الجرد'!$B$2:$B$28,0)),""))</f>
        <v/>
      </c>
      <c r="C382" s="5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/>
      </c>
    </row>
    <row r="383">
      <c r="A383" s="4" t="n"/>
      <c r="B383" s="5">
        <f>IF(A383="","",IFERROR(INDEX('جدول الجرد'!$A$2:$A$28,MATCH(A383,'جدول الجرد'!$B$2:$B$28,0)),""))</f>
        <v/>
      </c>
      <c r="C383" s="5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/>
      </c>
    </row>
    <row r="384">
      <c r="A384" s="4" t="n"/>
      <c r="B384" s="5">
        <f>IF(A384="","",IFERROR(INDEX('جدول الجرد'!$A$2:$A$28,MATCH(A384,'جدول الجرد'!$B$2:$B$28,0)),""))</f>
        <v/>
      </c>
      <c r="C384" s="5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/>
      </c>
    </row>
    <row r="385">
      <c r="A385" s="4" t="n"/>
      <c r="B385" s="5">
        <f>IF(A385="","",IFERROR(INDEX('جدول الجرد'!$A$2:$A$28,MATCH(A385,'جدول الجرد'!$B$2:$B$28,0)),""))</f>
        <v/>
      </c>
      <c r="C385" s="5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/>
      </c>
    </row>
    <row r="386">
      <c r="A386" s="4" t="n"/>
      <c r="B386" s="5">
        <f>IF(A386="","",IFERROR(INDEX('جدول الجرد'!$A$2:$A$28,MATCH(A386,'جدول الجرد'!$B$2:$B$28,0)),""))</f>
        <v/>
      </c>
      <c r="C386" s="5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/>
      </c>
    </row>
    <row r="387">
      <c r="A387" s="4" t="n"/>
      <c r="B387" s="5">
        <f>IF(A387="","",IFERROR(INDEX('جدول الجرد'!$A$2:$A$28,MATCH(A387,'جدول الجرد'!$B$2:$B$28,0)),""))</f>
        <v/>
      </c>
      <c r="C387" s="5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/>
      </c>
    </row>
    <row r="388">
      <c r="A388" s="4" t="n"/>
      <c r="B388" s="5">
        <f>IF(A388="","",IFERROR(INDEX('جدول الجرد'!$A$2:$A$28,MATCH(A388,'جدول الجرد'!$B$2:$B$28,0)),""))</f>
        <v/>
      </c>
      <c r="C388" s="5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/>
      </c>
    </row>
    <row r="389">
      <c r="A389" s="4" t="n"/>
      <c r="B389" s="5">
        <f>IF(A389="","",IFERROR(INDEX('جدول الجرد'!$A$2:$A$28,MATCH(A389,'جدول الجرد'!$B$2:$B$28,0)),""))</f>
        <v/>
      </c>
      <c r="C389" s="5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/>
      </c>
    </row>
    <row r="390">
      <c r="A390" s="4" t="n"/>
      <c r="B390" s="5">
        <f>IF(A390="","",IFERROR(INDEX('جدول الجرد'!$A$2:$A$28,MATCH(A390,'جدول الجرد'!$B$2:$B$28,0)),""))</f>
        <v/>
      </c>
      <c r="C390" s="5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/>
      </c>
    </row>
    <row r="391">
      <c r="A391" s="4" t="n"/>
      <c r="B391" s="5">
        <f>IF(A391="","",IFERROR(INDEX('جدول الجرد'!$A$2:$A$28,MATCH(A391,'جدول الجرد'!$B$2:$B$28,0)),""))</f>
        <v/>
      </c>
      <c r="C391" s="5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/>
      </c>
    </row>
    <row r="392">
      <c r="A392" s="4" t="n"/>
      <c r="B392" s="5">
        <f>IF(A392="","",IFERROR(INDEX('جدول الجرد'!$A$2:$A$28,MATCH(A392,'جدول الجرد'!$B$2:$B$28,0)),""))</f>
        <v/>
      </c>
      <c r="C392" s="5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/>
      </c>
    </row>
    <row r="393">
      <c r="A393" s="4" t="n"/>
      <c r="B393" s="5">
        <f>IF(A393="","",IFERROR(INDEX('جدول الجرد'!$A$2:$A$28,MATCH(A393,'جدول الجرد'!$B$2:$B$28,0)),""))</f>
        <v/>
      </c>
      <c r="C393" s="5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/>
      </c>
    </row>
    <row r="394">
      <c r="A394" s="4" t="n"/>
      <c r="B394" s="5">
        <f>IF(A394="","",IFERROR(INDEX('جدول الجرد'!$A$2:$A$28,MATCH(A394,'جدول الجرد'!$B$2:$B$28,0)),""))</f>
        <v/>
      </c>
      <c r="C394" s="5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/>
      </c>
    </row>
    <row r="395">
      <c r="A395" s="4" t="n"/>
      <c r="B395" s="5">
        <f>IF(A395="","",IFERROR(INDEX('جدول الجرد'!$A$2:$A$28,MATCH(A395,'جدول الجرد'!$B$2:$B$28,0)),""))</f>
        <v/>
      </c>
      <c r="C395" s="5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/>
      </c>
    </row>
    <row r="396">
      <c r="A396" s="4" t="n"/>
      <c r="B396" s="5">
        <f>IF(A396="","",IFERROR(INDEX('جدول الجرد'!$A$2:$A$28,MATCH(A396,'جدول الجرد'!$B$2:$B$28,0)),""))</f>
        <v/>
      </c>
      <c r="C396" s="5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/>
      </c>
    </row>
    <row r="397">
      <c r="A397" s="4" t="n"/>
      <c r="B397" s="5">
        <f>IF(A397="","",IFERROR(INDEX('جدول الجرد'!$A$2:$A$28,MATCH(A397,'جدول الجرد'!$B$2:$B$28,0)),""))</f>
        <v/>
      </c>
      <c r="C397" s="5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/>
      </c>
    </row>
    <row r="398">
      <c r="A398" s="4" t="n"/>
      <c r="B398" s="5">
        <f>IF(A398="","",IFERROR(INDEX('جدول الجرد'!$A$2:$A$28,MATCH(A398,'جدول الجرد'!$B$2:$B$28,0)),""))</f>
        <v/>
      </c>
      <c r="C398" s="5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/>
      </c>
    </row>
    <row r="399">
      <c r="A399" s="4" t="n"/>
      <c r="B399" s="5">
        <f>IF(A399="","",IFERROR(INDEX('جدول الجرد'!$A$2:$A$28,MATCH(A399,'جدول الجرد'!$B$2:$B$28,0)),""))</f>
        <v/>
      </c>
      <c r="C399" s="5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/>
      </c>
    </row>
    <row r="400">
      <c r="A400" s="4" t="n"/>
      <c r="B400" s="5">
        <f>IF(A400="","",IFERROR(INDEX('جدول الجرد'!$A$2:$A$28,MATCH(A400,'جدول الجرد'!$B$2:$B$28,0)),""))</f>
        <v/>
      </c>
      <c r="C400" s="5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/>
      </c>
    </row>
    <row r="401">
      <c r="A401" s="4" t="n"/>
      <c r="B401" s="5">
        <f>IF(A401="","",IFERROR(INDEX('جدول الجرد'!$A$2:$A$28,MATCH(A401,'جدول الجرد'!$B$2:$B$28,0)),""))</f>
        <v/>
      </c>
      <c r="C401" s="5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/>
      </c>
    </row>
    <row r="402">
      <c r="A402" s="4" t="n"/>
      <c r="B402" s="5">
        <f>IF(A402="","",IFERROR(INDEX('جدول الجرد'!$A$2:$A$28,MATCH(A402,'جدول الجرد'!$B$2:$B$28,0)),""))</f>
        <v/>
      </c>
      <c r="C402" s="5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/>
      </c>
    </row>
    <row r="403">
      <c r="A403" s="4" t="n"/>
      <c r="B403" s="5">
        <f>IF(A403="","",IFERROR(INDEX('جدول الجرد'!$A$2:$A$28,MATCH(A403,'جدول الجرد'!$B$2:$B$28,0)),""))</f>
        <v/>
      </c>
      <c r="C403" s="5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/>
      </c>
    </row>
    <row r="404">
      <c r="A404" s="4" t="n"/>
      <c r="B404" s="5">
        <f>IF(A404="","",IFERROR(INDEX('جدول الجرد'!$A$2:$A$28,MATCH(A404,'جدول الجرد'!$B$2:$B$28,0)),""))</f>
        <v/>
      </c>
      <c r="C404" s="5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/>
      </c>
    </row>
    <row r="405">
      <c r="A405" s="4" t="n"/>
      <c r="B405" s="5">
        <f>IF(A405="","",IFERROR(INDEX('جدول الجرد'!$A$2:$A$28,MATCH(A405,'جدول الجرد'!$B$2:$B$28,0)),""))</f>
        <v/>
      </c>
      <c r="C405" s="5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/>
      </c>
    </row>
    <row r="406">
      <c r="A406" s="4" t="n"/>
      <c r="B406" s="5">
        <f>IF(A406="","",IFERROR(INDEX('جدول الجرد'!$A$2:$A$28,MATCH(A406,'جدول الجرد'!$B$2:$B$28,0)),""))</f>
        <v/>
      </c>
      <c r="C406" s="5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/>
      </c>
    </row>
    <row r="407">
      <c r="A407" s="4" t="n"/>
      <c r="B407" s="5">
        <f>IF(A407="","",IFERROR(INDEX('جدول الجرد'!$A$2:$A$28,MATCH(A407,'جدول الجرد'!$B$2:$B$28,0)),""))</f>
        <v/>
      </c>
      <c r="C407" s="5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/>
      </c>
    </row>
    <row r="408">
      <c r="A408" s="4" t="n"/>
      <c r="B408" s="5">
        <f>IF(A408="","",IFERROR(INDEX('جدول الجرد'!$A$2:$A$28,MATCH(A408,'جدول الجرد'!$B$2:$B$28,0)),""))</f>
        <v/>
      </c>
      <c r="C408" s="5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/>
      </c>
    </row>
    <row r="409">
      <c r="A409" s="4" t="n"/>
      <c r="B409" s="5">
        <f>IF(A409="","",IFERROR(INDEX('جدول الجرد'!$A$2:$A$28,MATCH(A409,'جدول الجرد'!$B$2:$B$28,0)),""))</f>
        <v/>
      </c>
      <c r="C409" s="5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/>
      </c>
    </row>
    <row r="410">
      <c r="A410" s="4" t="n"/>
      <c r="B410" s="5">
        <f>IF(A410="","",IFERROR(INDEX('جدول الجرد'!$A$2:$A$28,MATCH(A410,'جدول الجرد'!$B$2:$B$28,0)),""))</f>
        <v/>
      </c>
      <c r="C410" s="5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/>
      </c>
    </row>
    <row r="411">
      <c r="A411" s="4" t="n"/>
      <c r="B411" s="5">
        <f>IF(A411="","",IFERROR(INDEX('جدول الجرد'!$A$2:$A$28,MATCH(A411,'جدول الجرد'!$B$2:$B$28,0)),""))</f>
        <v/>
      </c>
      <c r="C411" s="5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/>
      </c>
    </row>
    <row r="412">
      <c r="A412" s="4" t="n"/>
      <c r="B412" s="5">
        <f>IF(A412="","",IFERROR(INDEX('جدول الجرد'!$A$2:$A$28,MATCH(A412,'جدول الجرد'!$B$2:$B$28,0)),""))</f>
        <v/>
      </c>
      <c r="C412" s="5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/>
      </c>
    </row>
    <row r="413">
      <c r="A413" s="4" t="n"/>
      <c r="B413" s="5">
        <f>IF(A413="","",IFERROR(INDEX('جدول الجرد'!$A$2:$A$28,MATCH(A413,'جدول الجرد'!$B$2:$B$28,0)),""))</f>
        <v/>
      </c>
      <c r="C413" s="5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/>
      </c>
    </row>
    <row r="414">
      <c r="A414" s="4" t="n"/>
      <c r="B414" s="5">
        <f>IF(A414="","",IFERROR(INDEX('جدول الجرد'!$A$2:$A$28,MATCH(A414,'جدول الجرد'!$B$2:$B$28,0)),""))</f>
        <v/>
      </c>
      <c r="C414" s="5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/>
      </c>
    </row>
    <row r="415">
      <c r="A415" s="4" t="n"/>
      <c r="B415" s="5">
        <f>IF(A415="","",IFERROR(INDEX('جدول الجرد'!$A$2:$A$28,MATCH(A415,'جدول الجرد'!$B$2:$B$28,0)),""))</f>
        <v/>
      </c>
      <c r="C415" s="5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/>
      </c>
    </row>
    <row r="416">
      <c r="A416" s="4" t="n"/>
      <c r="B416" s="5">
        <f>IF(A416="","",IFERROR(INDEX('جدول الجرد'!$A$2:$A$28,MATCH(A416,'جدول الجرد'!$B$2:$B$28,0)),""))</f>
        <v/>
      </c>
      <c r="C416" s="5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/>
      </c>
    </row>
    <row r="417">
      <c r="A417" s="4" t="n"/>
      <c r="B417" s="5">
        <f>IF(A417="","",IFERROR(INDEX('جدول الجرد'!$A$2:$A$28,MATCH(A417,'جدول الجرد'!$B$2:$B$28,0)),""))</f>
        <v/>
      </c>
      <c r="C417" s="5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/>
      </c>
    </row>
    <row r="418">
      <c r="A418" s="4" t="n"/>
      <c r="B418" s="5">
        <f>IF(A418="","",IFERROR(INDEX('جدول الجرد'!$A$2:$A$28,MATCH(A418,'جدول الجرد'!$B$2:$B$28,0)),""))</f>
        <v/>
      </c>
      <c r="C418" s="5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/>
      </c>
    </row>
    <row r="419">
      <c r="A419" s="4" t="n"/>
      <c r="B419" s="5">
        <f>IF(A419="","",IFERROR(INDEX('جدول الجرد'!$A$2:$A$28,MATCH(A419,'جدول الجرد'!$B$2:$B$28,0)),""))</f>
        <v/>
      </c>
      <c r="C419" s="5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/>
      </c>
    </row>
    <row r="420">
      <c r="A420" s="4" t="n"/>
      <c r="B420" s="5">
        <f>IF(A420="","",IFERROR(INDEX('جدول الجرد'!$A$2:$A$28,MATCH(A420,'جدول الجرد'!$B$2:$B$28,0)),""))</f>
        <v/>
      </c>
      <c r="C420" s="5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/>
      </c>
    </row>
    <row r="421">
      <c r="A421" s="4" t="n"/>
      <c r="B421" s="5">
        <f>IF(A421="","",IFERROR(INDEX('جدول الجرد'!$A$2:$A$28,MATCH(A421,'جدول الجرد'!$B$2:$B$28,0)),""))</f>
        <v/>
      </c>
      <c r="C421" s="5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/>
      </c>
    </row>
    <row r="422">
      <c r="A422" s="4" t="n"/>
      <c r="B422" s="5">
        <f>IF(A422="","",IFERROR(INDEX('جدول الجرد'!$A$2:$A$28,MATCH(A422,'جدول الجرد'!$B$2:$B$28,0)),""))</f>
        <v/>
      </c>
      <c r="C422" s="5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/>
      </c>
    </row>
    <row r="423">
      <c r="A423" s="4" t="n"/>
      <c r="B423" s="5">
        <f>IF(A423="","",IFERROR(INDEX('جدول الجرد'!$A$2:$A$28,MATCH(A423,'جدول الجرد'!$B$2:$B$28,0)),""))</f>
        <v/>
      </c>
      <c r="C423" s="5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/>
      </c>
    </row>
    <row r="424">
      <c r="A424" s="4" t="n"/>
      <c r="B424" s="5">
        <f>IF(A424="","",IFERROR(INDEX('جدول الجرد'!$A$2:$A$28,MATCH(A424,'جدول الجرد'!$B$2:$B$28,0)),""))</f>
        <v/>
      </c>
      <c r="C424" s="5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/>
      </c>
    </row>
    <row r="425">
      <c r="A425" s="4" t="n"/>
      <c r="B425" s="5">
        <f>IF(A425="","",IFERROR(INDEX('جدول الجرد'!$A$2:$A$28,MATCH(A425,'جدول الجرد'!$B$2:$B$28,0)),""))</f>
        <v/>
      </c>
      <c r="C425" s="5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/>
      </c>
    </row>
    <row r="426">
      <c r="A426" s="4" t="n"/>
      <c r="B426" s="5">
        <f>IF(A426="","",IFERROR(INDEX('جدول الجرد'!$A$2:$A$28,MATCH(A426,'جدول الجرد'!$B$2:$B$28,0)),""))</f>
        <v/>
      </c>
      <c r="C426" s="5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/>
      </c>
    </row>
    <row r="427">
      <c r="A427" s="4" t="n"/>
      <c r="B427" s="5">
        <f>IF(A427="","",IFERROR(INDEX('جدول الجرد'!$A$2:$A$28,MATCH(A427,'جدول الجرد'!$B$2:$B$28,0)),""))</f>
        <v/>
      </c>
      <c r="C427" s="5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/>
      </c>
    </row>
    <row r="428">
      <c r="A428" s="4" t="n"/>
      <c r="B428" s="5">
        <f>IF(A428="","",IFERROR(INDEX('جدول الجرد'!$A$2:$A$28,MATCH(A428,'جدول الجرد'!$B$2:$B$28,0)),""))</f>
        <v/>
      </c>
      <c r="C428" s="5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/>
      </c>
    </row>
    <row r="429">
      <c r="A429" s="4" t="n"/>
      <c r="B429" s="5">
        <f>IF(A429="","",IFERROR(INDEX('جدول الجرد'!$A$2:$A$28,MATCH(A429,'جدول الجرد'!$B$2:$B$28,0)),""))</f>
        <v/>
      </c>
      <c r="C429" s="5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/>
      </c>
    </row>
    <row r="430">
      <c r="A430" s="4" t="n"/>
      <c r="B430" s="5">
        <f>IF(A430="","",IFERROR(INDEX('جدول الجرد'!$A$2:$A$28,MATCH(A430,'جدول الجرد'!$B$2:$B$28,0)),""))</f>
        <v/>
      </c>
      <c r="C430" s="5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/>
      </c>
    </row>
    <row r="431">
      <c r="A431" s="4" t="n"/>
      <c r="B431" s="5">
        <f>IF(A431="","",IFERROR(INDEX('جدول الجرد'!$A$2:$A$28,MATCH(A431,'جدول الجرد'!$B$2:$B$28,0)),""))</f>
        <v/>
      </c>
      <c r="C431" s="5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/>
      </c>
    </row>
    <row r="432">
      <c r="A432" s="4" t="n"/>
      <c r="B432" s="5">
        <f>IF(A432="","",IFERROR(INDEX('جدول الجرد'!$A$2:$A$28,MATCH(A432,'جدول الجرد'!$B$2:$B$28,0)),""))</f>
        <v/>
      </c>
      <c r="C432" s="5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/>
      </c>
    </row>
    <row r="433">
      <c r="A433" s="4" t="n"/>
      <c r="B433" s="5">
        <f>IF(A433="","",IFERROR(INDEX('جدول الجرد'!$A$2:$A$28,MATCH(A433,'جدول الجرد'!$B$2:$B$28,0)),""))</f>
        <v/>
      </c>
      <c r="C433" s="5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/>
      </c>
    </row>
    <row r="434">
      <c r="A434" s="4" t="n"/>
      <c r="B434" s="5">
        <f>IF(A434="","",IFERROR(INDEX('جدول الجرد'!$A$2:$A$28,MATCH(A434,'جدول الجرد'!$B$2:$B$28,0)),""))</f>
        <v/>
      </c>
      <c r="C434" s="5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/>
      </c>
    </row>
    <row r="435">
      <c r="A435" s="4" t="n"/>
      <c r="B435" s="5">
        <f>IF(A435="","",IFERROR(INDEX('جدول الجرد'!$A$2:$A$28,MATCH(A435,'جدول الجرد'!$B$2:$B$28,0)),""))</f>
        <v/>
      </c>
      <c r="C435" s="5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/>
      </c>
    </row>
    <row r="436">
      <c r="A436" s="4" t="n"/>
      <c r="B436" s="5">
        <f>IF(A436="","",IFERROR(INDEX('جدول الجرد'!$A$2:$A$28,MATCH(A436,'جدول الجرد'!$B$2:$B$28,0)),""))</f>
        <v/>
      </c>
      <c r="C436" s="5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/>
      </c>
    </row>
    <row r="437">
      <c r="A437" s="4" t="n"/>
      <c r="B437" s="5">
        <f>IF(A437="","",IFERROR(INDEX('جدول الجرد'!$A$2:$A$28,MATCH(A437,'جدول الجرد'!$B$2:$B$28,0)),""))</f>
        <v/>
      </c>
      <c r="C437" s="5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/>
      </c>
    </row>
    <row r="438">
      <c r="A438" s="4" t="n"/>
      <c r="B438" s="5">
        <f>IF(A438="","",IFERROR(INDEX('جدول الجرد'!$A$2:$A$28,MATCH(A438,'جدول الجرد'!$B$2:$B$28,0)),""))</f>
        <v/>
      </c>
      <c r="C438" s="5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/>
      </c>
    </row>
    <row r="439">
      <c r="A439" s="4" t="n"/>
      <c r="B439" s="5">
        <f>IF(A439="","",IFERROR(INDEX('جدول الجرد'!$A$2:$A$28,MATCH(A439,'جدول الجرد'!$B$2:$B$28,0)),""))</f>
        <v/>
      </c>
      <c r="C439" s="5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/>
      </c>
    </row>
    <row r="440">
      <c r="A440" s="4" t="n"/>
      <c r="B440" s="5">
        <f>IF(A440="","",IFERROR(INDEX('جدول الجرد'!$A$2:$A$28,MATCH(A440,'جدول الجرد'!$B$2:$B$28,0)),""))</f>
        <v/>
      </c>
      <c r="C440" s="5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/>
      </c>
    </row>
    <row r="441">
      <c r="A441" s="4" t="n"/>
      <c r="B441" s="5">
        <f>IF(A441="","",IFERROR(INDEX('جدول الجرد'!$A$2:$A$28,MATCH(A441,'جدول الجرد'!$B$2:$B$28,0)),""))</f>
        <v/>
      </c>
      <c r="C441" s="5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/>
      </c>
    </row>
    <row r="442">
      <c r="A442" s="4" t="n"/>
      <c r="B442" s="5">
        <f>IF(A442="","",IFERROR(INDEX('جدول الجرد'!$A$2:$A$28,MATCH(A442,'جدول الجرد'!$B$2:$B$28,0)),""))</f>
        <v/>
      </c>
      <c r="C442" s="5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/>
      </c>
    </row>
    <row r="443">
      <c r="A443" s="4" t="n"/>
      <c r="B443" s="5">
        <f>IF(A443="","",IFERROR(INDEX('جدول الجرد'!$A$2:$A$28,MATCH(A443,'جدول الجرد'!$B$2:$B$28,0)),""))</f>
        <v/>
      </c>
      <c r="C443" s="5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/>
      </c>
    </row>
    <row r="444">
      <c r="A444" s="4" t="n"/>
      <c r="B444" s="5">
        <f>IF(A444="","",IFERROR(INDEX('جدول الجرد'!$A$2:$A$28,MATCH(A444,'جدول الجرد'!$B$2:$B$28,0)),""))</f>
        <v/>
      </c>
      <c r="C444" s="5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/>
      </c>
    </row>
    <row r="445">
      <c r="A445" s="4" t="n"/>
      <c r="B445" s="5">
        <f>IF(A445="","",IFERROR(INDEX('جدول الجرد'!$A$2:$A$28,MATCH(A445,'جدول الجرد'!$B$2:$B$28,0)),""))</f>
        <v/>
      </c>
      <c r="C445" s="5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/>
      </c>
    </row>
    <row r="446">
      <c r="A446" s="4" t="n"/>
      <c r="B446" s="5">
        <f>IF(A446="","",IFERROR(INDEX('جدول الجرد'!$A$2:$A$28,MATCH(A446,'جدول الجرد'!$B$2:$B$28,0)),""))</f>
        <v/>
      </c>
      <c r="C446" s="5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/>
      </c>
    </row>
    <row r="447">
      <c r="A447" s="4" t="n"/>
      <c r="B447" s="5">
        <f>IF(A447="","",IFERROR(INDEX('جدول الجرد'!$A$2:$A$28,MATCH(A447,'جدول الجرد'!$B$2:$B$28,0)),""))</f>
        <v/>
      </c>
      <c r="C447" s="5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/>
      </c>
    </row>
    <row r="448">
      <c r="A448" s="4" t="n"/>
      <c r="B448" s="5">
        <f>IF(A448="","",IFERROR(INDEX('جدول الجرد'!$A$2:$A$28,MATCH(A448,'جدول الجرد'!$B$2:$B$28,0)),""))</f>
        <v/>
      </c>
      <c r="C448" s="5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/>
      </c>
    </row>
    <row r="449">
      <c r="A449" s="4" t="n"/>
      <c r="B449" s="5">
        <f>IF(A449="","",IFERROR(INDEX('جدول الجرد'!$A$2:$A$28,MATCH(A449,'جدول الجرد'!$B$2:$B$28,0)),""))</f>
        <v/>
      </c>
      <c r="C449" s="5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/>
      </c>
    </row>
    <row r="450">
      <c r="A450" s="4" t="n"/>
      <c r="B450" s="5">
        <f>IF(A450="","",IFERROR(INDEX('جدول الجرد'!$A$2:$A$28,MATCH(A450,'جدول الجرد'!$B$2:$B$28,0)),""))</f>
        <v/>
      </c>
      <c r="C450" s="5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/>
      </c>
    </row>
    <row r="451">
      <c r="A451" s="4" t="n"/>
      <c r="B451" s="5">
        <f>IF(A451="","",IFERROR(INDEX('جدول الجرد'!$A$2:$A$28,MATCH(A451,'جدول الجرد'!$B$2:$B$28,0)),""))</f>
        <v/>
      </c>
      <c r="C451" s="5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/>
      </c>
    </row>
    <row r="452">
      <c r="A452" s="4" t="n"/>
      <c r="B452" s="5">
        <f>IF(A452="","",IFERROR(INDEX('جدول الجرد'!$A$2:$A$28,MATCH(A452,'جدول الجرد'!$B$2:$B$28,0)),""))</f>
        <v/>
      </c>
      <c r="C452" s="5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/>
      </c>
    </row>
    <row r="453">
      <c r="A453" s="4" t="n"/>
      <c r="B453" s="5">
        <f>IF(A453="","",IFERROR(INDEX('جدول الجرد'!$A$2:$A$28,MATCH(A453,'جدول الجرد'!$B$2:$B$28,0)),""))</f>
        <v/>
      </c>
      <c r="C453" s="5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/>
      </c>
    </row>
    <row r="454">
      <c r="A454" s="4" t="n"/>
      <c r="B454" s="5">
        <f>IF(A454="","",IFERROR(INDEX('جدول الجرد'!$A$2:$A$28,MATCH(A454,'جدول الجرد'!$B$2:$B$28,0)),""))</f>
        <v/>
      </c>
      <c r="C454" s="5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/>
      </c>
    </row>
    <row r="455">
      <c r="A455" s="4" t="n"/>
      <c r="B455" s="5">
        <f>IF(A455="","",IFERROR(INDEX('جدول الجرد'!$A$2:$A$28,MATCH(A455,'جدول الجرد'!$B$2:$B$28,0)),""))</f>
        <v/>
      </c>
      <c r="C455" s="5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/>
      </c>
    </row>
    <row r="456">
      <c r="A456" s="4" t="n"/>
      <c r="B456" s="5">
        <f>IF(A456="","",IFERROR(INDEX('جدول الجرد'!$A$2:$A$28,MATCH(A456,'جدول الجرد'!$B$2:$B$28,0)),""))</f>
        <v/>
      </c>
      <c r="C456" s="5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/>
      </c>
    </row>
    <row r="457">
      <c r="A457" s="4" t="n"/>
      <c r="B457" s="5">
        <f>IF(A457="","",IFERROR(INDEX('جدول الجرد'!$A$2:$A$28,MATCH(A457,'جدول الجرد'!$B$2:$B$28,0)),""))</f>
        <v/>
      </c>
      <c r="C457" s="5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/>
      </c>
    </row>
    <row r="458">
      <c r="A458" s="4" t="n"/>
      <c r="B458" s="5">
        <f>IF(A458="","",IFERROR(INDEX('جدول الجرد'!$A$2:$A$28,MATCH(A458,'جدول الجرد'!$B$2:$B$28,0)),""))</f>
        <v/>
      </c>
      <c r="C458" s="5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/>
      </c>
    </row>
    <row r="459">
      <c r="A459" s="4" t="n"/>
      <c r="B459" s="5">
        <f>IF(A459="","",IFERROR(INDEX('جدول الجرد'!$A$2:$A$28,MATCH(A459,'جدول الجرد'!$B$2:$B$28,0)),""))</f>
        <v/>
      </c>
      <c r="C459" s="5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/>
      </c>
    </row>
    <row r="460">
      <c r="A460" s="4" t="n"/>
      <c r="B460" s="5">
        <f>IF(A460="","",IFERROR(INDEX('جدول الجرد'!$A$2:$A$28,MATCH(A460,'جدول الجرد'!$B$2:$B$28,0)),""))</f>
        <v/>
      </c>
      <c r="C460" s="5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/>
      </c>
    </row>
    <row r="461">
      <c r="A461" s="4" t="n"/>
      <c r="B461" s="5">
        <f>IF(A461="","",IFERROR(INDEX('جدول الجرد'!$A$2:$A$28,MATCH(A461,'جدول الجرد'!$B$2:$B$28,0)),""))</f>
        <v/>
      </c>
      <c r="C461" s="5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/>
      </c>
    </row>
    <row r="462">
      <c r="A462" s="4" t="n"/>
      <c r="B462" s="5">
        <f>IF(A462="","",IFERROR(INDEX('جدول الجرد'!$A$2:$A$28,MATCH(A462,'جدول الجرد'!$B$2:$B$28,0)),""))</f>
        <v/>
      </c>
      <c r="C462" s="5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/>
      </c>
    </row>
    <row r="463">
      <c r="A463" s="4" t="n"/>
      <c r="B463" s="5">
        <f>IF(A463="","",IFERROR(INDEX('جدول الجرد'!$A$2:$A$28,MATCH(A463,'جدول الجرد'!$B$2:$B$28,0)),""))</f>
        <v/>
      </c>
      <c r="C463" s="5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/>
      </c>
    </row>
    <row r="464">
      <c r="A464" s="4" t="n"/>
      <c r="B464" s="5">
        <f>IF(A464="","",IFERROR(INDEX('جدول الجرد'!$A$2:$A$28,MATCH(A464,'جدول الجرد'!$B$2:$B$28,0)),""))</f>
        <v/>
      </c>
      <c r="C464" s="5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/>
      </c>
    </row>
    <row r="465">
      <c r="A465" s="4" t="n"/>
      <c r="B465" s="5">
        <f>IF(A465="","",IFERROR(INDEX('جدول الجرد'!$A$2:$A$28,MATCH(A465,'جدول الجرد'!$B$2:$B$28,0)),""))</f>
        <v/>
      </c>
      <c r="C465" s="5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/>
      </c>
    </row>
    <row r="466">
      <c r="A466" s="4" t="n"/>
      <c r="B466" s="5">
        <f>IF(A466="","",IFERROR(INDEX('جدول الجرد'!$A$2:$A$28,MATCH(A466,'جدول الجرد'!$B$2:$B$28,0)),""))</f>
        <v/>
      </c>
      <c r="C466" s="5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/>
      </c>
    </row>
    <row r="467">
      <c r="A467" s="4" t="n"/>
      <c r="B467" s="5">
        <f>IF(A467="","",IFERROR(INDEX('جدول الجرد'!$A$2:$A$28,MATCH(A467,'جدول الجرد'!$B$2:$B$28,0)),""))</f>
        <v/>
      </c>
      <c r="C467" s="5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/>
      </c>
    </row>
    <row r="468">
      <c r="A468" s="4" t="n"/>
      <c r="B468" s="5">
        <f>IF(A468="","",IFERROR(INDEX('جدول الجرد'!$A$2:$A$28,MATCH(A468,'جدول الجرد'!$B$2:$B$28,0)),""))</f>
        <v/>
      </c>
      <c r="C468" s="5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/>
      </c>
    </row>
    <row r="469">
      <c r="A469" s="4" t="n"/>
      <c r="B469" s="5">
        <f>IF(A469="","",IFERROR(INDEX('جدول الجرد'!$A$2:$A$28,MATCH(A469,'جدول الجرد'!$B$2:$B$28,0)),""))</f>
        <v/>
      </c>
      <c r="C469" s="5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/>
      </c>
    </row>
    <row r="470">
      <c r="A470" s="4" t="n"/>
      <c r="B470" s="5">
        <f>IF(A470="","",IFERROR(INDEX('جدول الجرد'!$A$2:$A$28,MATCH(A470,'جدول الجرد'!$B$2:$B$28,0)),""))</f>
        <v/>
      </c>
      <c r="C470" s="5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/>
      </c>
    </row>
    <row r="471">
      <c r="A471" s="4" t="n"/>
      <c r="B471" s="5">
        <f>IF(A471="","",IFERROR(INDEX('جدول الجرد'!$A$2:$A$28,MATCH(A471,'جدول الجرد'!$B$2:$B$28,0)),""))</f>
        <v/>
      </c>
      <c r="C471" s="5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/>
      </c>
    </row>
    <row r="472">
      <c r="A472" s="4" t="n"/>
      <c r="B472" s="5">
        <f>IF(A472="","",IFERROR(INDEX('جدول الجرد'!$A$2:$A$28,MATCH(A472,'جدول الجرد'!$B$2:$B$28,0)),""))</f>
        <v/>
      </c>
      <c r="C472" s="5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/>
      </c>
    </row>
    <row r="473">
      <c r="A473" s="4" t="n"/>
      <c r="B473" s="5">
        <f>IF(A473="","",IFERROR(INDEX('جدول الجرد'!$A$2:$A$28,MATCH(A473,'جدول الجرد'!$B$2:$B$28,0)),""))</f>
        <v/>
      </c>
      <c r="C473" s="5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/>
      </c>
    </row>
    <row r="474">
      <c r="A474" s="4" t="n"/>
      <c r="B474" s="5">
        <f>IF(A474="","",IFERROR(INDEX('جدول الجرد'!$A$2:$A$28,MATCH(A474,'جدول الجرد'!$B$2:$B$28,0)),""))</f>
        <v/>
      </c>
      <c r="C474" s="5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/>
      </c>
    </row>
    <row r="475">
      <c r="A475" s="4" t="n"/>
      <c r="B475" s="5">
        <f>IF(A475="","",IFERROR(INDEX('جدول الجرد'!$A$2:$A$28,MATCH(A475,'جدول الجرد'!$B$2:$B$28,0)),""))</f>
        <v/>
      </c>
      <c r="C475" s="5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/>
      </c>
    </row>
    <row r="476">
      <c r="A476" s="4" t="n"/>
      <c r="B476" s="5">
        <f>IF(A476="","",IFERROR(INDEX('جدول الجرد'!$A$2:$A$28,MATCH(A476,'جدول الجرد'!$B$2:$B$28,0)),""))</f>
        <v/>
      </c>
      <c r="C476" s="5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/>
      </c>
    </row>
    <row r="477">
      <c r="A477" s="4" t="n"/>
      <c r="B477" s="5">
        <f>IF(A477="","",IFERROR(INDEX('جدول الجرد'!$A$2:$A$28,MATCH(A477,'جدول الجرد'!$B$2:$B$28,0)),""))</f>
        <v/>
      </c>
      <c r="C477" s="5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/>
      </c>
    </row>
    <row r="478">
      <c r="A478" s="4" t="n"/>
      <c r="B478" s="5">
        <f>IF(A478="","",IFERROR(INDEX('جدول الجرد'!$A$2:$A$28,MATCH(A478,'جدول الجرد'!$B$2:$B$28,0)),""))</f>
        <v/>
      </c>
      <c r="C478" s="5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/>
      </c>
    </row>
    <row r="479">
      <c r="A479" s="4" t="n"/>
      <c r="B479" s="5">
        <f>IF(A479="","",IFERROR(INDEX('جدول الجرد'!$A$2:$A$28,MATCH(A479,'جدول الجرد'!$B$2:$B$28,0)),""))</f>
        <v/>
      </c>
      <c r="C479" s="5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/>
      </c>
    </row>
    <row r="480">
      <c r="A480" s="4" t="n"/>
      <c r="B480" s="5">
        <f>IF(A480="","",IFERROR(INDEX('جدول الجرد'!$A$2:$A$28,MATCH(A480,'جدول الجرد'!$B$2:$B$28,0)),""))</f>
        <v/>
      </c>
      <c r="C480" s="5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/>
      </c>
    </row>
    <row r="481">
      <c r="A481" s="4" t="n"/>
      <c r="B481" s="5">
        <f>IF(A481="","",IFERROR(INDEX('جدول الجرد'!$A$2:$A$28,MATCH(A481,'جدول الجرد'!$B$2:$B$28,0)),""))</f>
        <v/>
      </c>
      <c r="C481" s="5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/>
      </c>
    </row>
    <row r="482">
      <c r="A482" s="4" t="n"/>
      <c r="B482" s="5">
        <f>IF(A482="","",IFERROR(INDEX('جدول الجرد'!$A$2:$A$28,MATCH(A482,'جدول الجرد'!$B$2:$B$28,0)),""))</f>
        <v/>
      </c>
      <c r="C482" s="5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/>
      </c>
    </row>
    <row r="483">
      <c r="A483" s="4" t="n"/>
      <c r="B483" s="5">
        <f>IF(A483="","",IFERROR(INDEX('جدول الجرد'!$A$2:$A$28,MATCH(A483,'جدول الجرد'!$B$2:$B$28,0)),""))</f>
        <v/>
      </c>
      <c r="C483" s="5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/>
      </c>
    </row>
    <row r="484">
      <c r="A484" s="4" t="n"/>
      <c r="B484" s="5">
        <f>IF(A484="","",IFERROR(INDEX('جدول الجرد'!$A$2:$A$28,MATCH(A484,'جدول الجرد'!$B$2:$B$28,0)),""))</f>
        <v/>
      </c>
      <c r="C484" s="5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/>
      </c>
    </row>
    <row r="485">
      <c r="A485" s="4" t="n"/>
      <c r="B485" s="5">
        <f>IF(A485="","",IFERROR(INDEX('جدول الجرد'!$A$2:$A$28,MATCH(A485,'جدول الجرد'!$B$2:$B$28,0)),""))</f>
        <v/>
      </c>
      <c r="C485" s="5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/>
      </c>
    </row>
    <row r="486">
      <c r="A486" s="4" t="n"/>
      <c r="B486" s="5">
        <f>IF(A486="","",IFERROR(INDEX('جدول الجرد'!$A$2:$A$28,MATCH(A486,'جدول الجرد'!$B$2:$B$28,0)),""))</f>
        <v/>
      </c>
      <c r="C486" s="5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/>
      </c>
    </row>
    <row r="487">
      <c r="A487" s="4" t="n"/>
      <c r="B487" s="5">
        <f>IF(A487="","",IFERROR(INDEX('جدول الجرد'!$A$2:$A$28,MATCH(A487,'جدول الجرد'!$B$2:$B$28,0)),""))</f>
        <v/>
      </c>
      <c r="C487" s="5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/>
      </c>
    </row>
    <row r="488">
      <c r="A488" s="4" t="n"/>
      <c r="B488" s="5">
        <f>IF(A488="","",IFERROR(INDEX('جدول الجرد'!$A$2:$A$28,MATCH(A488,'جدول الجرد'!$B$2:$B$28,0)),""))</f>
        <v/>
      </c>
      <c r="C488" s="5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/>
      </c>
    </row>
    <row r="489">
      <c r="A489" s="4" t="n"/>
      <c r="B489" s="5">
        <f>IF(A489="","",IFERROR(INDEX('جدول الجرد'!$A$2:$A$28,MATCH(A489,'جدول الجرد'!$B$2:$B$28,0)),""))</f>
        <v/>
      </c>
      <c r="C489" s="5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/>
      </c>
    </row>
    <row r="490">
      <c r="A490" s="4" t="n"/>
      <c r="B490" s="5">
        <f>IF(A490="","",IFERROR(INDEX('جدول الجرد'!$A$2:$A$28,MATCH(A490,'جدول الجرد'!$B$2:$B$28,0)),""))</f>
        <v/>
      </c>
      <c r="C490" s="5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/>
      </c>
    </row>
    <row r="491">
      <c r="A491" s="4" t="n"/>
      <c r="B491" s="5">
        <f>IF(A491="","",IFERROR(INDEX('جدول الجرد'!$A$2:$A$28,MATCH(A491,'جدول الجرد'!$B$2:$B$28,0)),""))</f>
        <v/>
      </c>
      <c r="C491" s="5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/>
      </c>
    </row>
    <row r="492">
      <c r="A492" s="4" t="n"/>
      <c r="B492" s="5">
        <f>IF(A492="","",IFERROR(INDEX('جدول الجرد'!$A$2:$A$28,MATCH(A492,'جدول الجرد'!$B$2:$B$28,0)),""))</f>
        <v/>
      </c>
      <c r="C492" s="5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/>
      </c>
    </row>
    <row r="493">
      <c r="A493" s="4" t="n"/>
      <c r="B493" s="5">
        <f>IF(A493="","",IFERROR(INDEX('جدول الجرد'!$A$2:$A$28,MATCH(A493,'جدول الجرد'!$B$2:$B$28,0)),""))</f>
        <v/>
      </c>
      <c r="C493" s="5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/>
      </c>
    </row>
    <row r="494">
      <c r="A494" s="4" t="n"/>
      <c r="B494" s="5">
        <f>IF(A494="","",IFERROR(INDEX('جدول الجرد'!$A$2:$A$28,MATCH(A494,'جدول الجرد'!$B$2:$B$28,0)),""))</f>
        <v/>
      </c>
      <c r="C494" s="5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/>
      </c>
    </row>
    <row r="495">
      <c r="A495" s="4" t="n"/>
      <c r="B495" s="5">
        <f>IF(A495="","",IFERROR(INDEX('جدول الجرد'!$A$2:$A$28,MATCH(A495,'جدول الجرد'!$B$2:$B$28,0)),""))</f>
        <v/>
      </c>
      <c r="C495" s="5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/>
      </c>
    </row>
    <row r="496">
      <c r="A496" s="4" t="n"/>
      <c r="B496" s="5">
        <f>IF(A496="","",IFERROR(INDEX('جدول الجرد'!$A$2:$A$28,MATCH(A496,'جدول الجرد'!$B$2:$B$28,0)),""))</f>
        <v/>
      </c>
      <c r="C496" s="5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/>
      </c>
    </row>
    <row r="497">
      <c r="A497" s="4" t="n"/>
      <c r="B497" s="5">
        <f>IF(A497="","",IFERROR(INDEX('جدول الجرد'!$A$2:$A$28,MATCH(A497,'جدول الجرد'!$B$2:$B$28,0)),""))</f>
        <v/>
      </c>
      <c r="C497" s="5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/>
      </c>
    </row>
    <row r="498">
      <c r="A498" s="4" t="n"/>
      <c r="B498" s="5">
        <f>IF(A498="","",IFERROR(INDEX('جدول الجرد'!$A$2:$A$28,MATCH(A498,'جدول الجرد'!$B$2:$B$28,0)),""))</f>
        <v/>
      </c>
      <c r="C498" s="5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/>
      </c>
    </row>
    <row r="499">
      <c r="A499" s="4" t="n"/>
      <c r="B499" s="5">
        <f>IF(A499="","",IFERROR(INDEX('جدول الجرد'!$A$2:$A$28,MATCH(A499,'جدول الجرد'!$B$2:$B$28,0)),""))</f>
        <v/>
      </c>
      <c r="C499" s="5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/>
      </c>
    </row>
    <row r="500">
      <c r="A500" s="4" t="n"/>
      <c r="B500" s="5">
        <f>IF(A500="","",IFERROR(INDEX('جدول الجرد'!$A$2:$A$28,MATCH(A500,'جدول الجرد'!$B$2:$B$28,0)),""))</f>
        <v/>
      </c>
      <c r="C500" s="5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/>
      </c>
    </row>
    <row r="501">
      <c r="A501" s="4" t="n"/>
      <c r="B501" s="5">
        <f>IF(A501="","",IFERROR(INDEX('جدول الجرد'!$A$2:$A$28,MATCH(A501,'جدول الجرد'!$B$2:$B$28,0)),""))</f>
        <v/>
      </c>
      <c r="C501" s="5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/>
      </c>
    </row>
    <row r="502">
      <c r="A502" s="4" t="n"/>
      <c r="B502" s="5">
        <f>IF(A502="","",IFERROR(INDEX('جدول الجرد'!$A$2:$A$28,MATCH(A502,'جدول الجرد'!$B$2:$B$28,0)),""))</f>
        <v/>
      </c>
      <c r="C502" s="5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/>
      </c>
    </row>
    <row r="503">
      <c r="A503" s="4" t="n"/>
      <c r="B503" s="5">
        <f>IF(A503="","",IFERROR(INDEX('جدول الجرد'!$A$2:$A$28,MATCH(A503,'جدول الجرد'!$B$2:$B$28,0)),""))</f>
        <v/>
      </c>
      <c r="C503" s="5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/>
      </c>
    </row>
    <row r="504">
      <c r="A504" s="4" t="n"/>
      <c r="B504" s="5">
        <f>IF(A504="","",IFERROR(INDEX('جدول الجرد'!$A$2:$A$28,MATCH(A504,'جدول الجرد'!$B$2:$B$28,0)),""))</f>
        <v/>
      </c>
      <c r="C504" s="5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/>
      </c>
    </row>
    <row r="505">
      <c r="A505" s="4" t="n"/>
      <c r="B505" s="5">
        <f>IF(A505="","",IFERROR(INDEX('جدول الجرد'!$A$2:$A$28,MATCH(A505,'جدول الجرد'!$B$2:$B$28,0)),""))</f>
        <v/>
      </c>
      <c r="C505" s="5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/>
      </c>
    </row>
    <row r="506">
      <c r="A506" s="4" t="n"/>
      <c r="B506" s="5">
        <f>IF(A506="","",IFERROR(INDEX('جدول الجرد'!$A$2:$A$28,MATCH(A506,'جدول الجرد'!$B$2:$B$28,0)),""))</f>
        <v/>
      </c>
      <c r="C506" s="5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/>
      </c>
    </row>
    <row r="507">
      <c r="A507" s="4" t="n"/>
      <c r="B507" s="5">
        <f>IF(A507="","",IFERROR(INDEX('جدول الجرد'!$A$2:$A$28,MATCH(A507,'جدول الجرد'!$B$2:$B$28,0)),""))</f>
        <v/>
      </c>
      <c r="C507" s="5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/>
      </c>
    </row>
    <row r="508">
      <c r="A508" s="4" t="n"/>
      <c r="B508" s="5">
        <f>IF(A508="","",IFERROR(INDEX('جدول الجرد'!$A$2:$A$28,MATCH(A508,'جدول الجرد'!$B$2:$B$28,0)),""))</f>
        <v/>
      </c>
      <c r="C508" s="5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/>
      </c>
    </row>
    <row r="509">
      <c r="A509" s="4" t="n"/>
      <c r="B509" s="5">
        <f>IF(A509="","",IFERROR(INDEX('جدول الجرد'!$A$2:$A$28,MATCH(A509,'جدول الجرد'!$B$2:$B$28,0)),""))</f>
        <v/>
      </c>
      <c r="C509" s="5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/>
      </c>
    </row>
    <row r="510">
      <c r="A510" s="4" t="n"/>
      <c r="B510" s="5">
        <f>IF(A510="","",IFERROR(INDEX('جدول الجرد'!$A$2:$A$28,MATCH(A510,'جدول الجرد'!$B$2:$B$28,0)),""))</f>
        <v/>
      </c>
      <c r="C510" s="5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/>
      </c>
    </row>
    <row r="511">
      <c r="A511" s="4" t="n"/>
      <c r="B511" s="5">
        <f>IF(A511="","",IFERROR(INDEX('جدول الجرد'!$A$2:$A$28,MATCH(A511,'جدول الجرد'!$B$2:$B$28,0)),""))</f>
        <v/>
      </c>
      <c r="C511" s="5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/>
      </c>
    </row>
    <row r="512">
      <c r="A512" s="4" t="n"/>
      <c r="B512" s="5">
        <f>IF(A512="","",IFERROR(INDEX('جدول الجرد'!$A$2:$A$28,MATCH(A512,'جدول الجرد'!$B$2:$B$28,0)),""))</f>
        <v/>
      </c>
      <c r="C512" s="5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/>
      </c>
    </row>
    <row r="513">
      <c r="A513" s="4" t="n"/>
      <c r="B513" s="5">
        <f>IF(A513="","",IFERROR(INDEX('جدول الجرد'!$A$2:$A$28,MATCH(A513,'جدول الجرد'!$B$2:$B$28,0)),""))</f>
        <v/>
      </c>
      <c r="C513" s="5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/>
      </c>
    </row>
    <row r="514">
      <c r="A514" s="4" t="n"/>
      <c r="B514" s="5">
        <f>IF(A514="","",IFERROR(INDEX('جدول الجرد'!$A$2:$A$28,MATCH(A514,'جدول الجرد'!$B$2:$B$28,0)),""))</f>
        <v/>
      </c>
      <c r="C514" s="5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/>
      </c>
    </row>
    <row r="515">
      <c r="A515" s="4" t="n"/>
      <c r="B515" s="5">
        <f>IF(A515="","",IFERROR(INDEX('جدول الجرد'!$A$2:$A$28,MATCH(A515,'جدول الجرد'!$B$2:$B$28,0)),""))</f>
        <v/>
      </c>
      <c r="C515" s="5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/>
      </c>
    </row>
    <row r="516">
      <c r="A516" s="4" t="n"/>
      <c r="B516" s="5">
        <f>IF(A516="","",IFERROR(INDEX('جدول الجرد'!$A$2:$A$28,MATCH(A516,'جدول الجرد'!$B$2:$B$28,0)),""))</f>
        <v/>
      </c>
      <c r="C516" s="5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/>
      </c>
    </row>
    <row r="517">
      <c r="A517" s="4" t="n"/>
      <c r="B517" s="5">
        <f>IF(A517="","",IFERROR(INDEX('جدول الجرد'!$A$2:$A$28,MATCH(A517,'جدول الجرد'!$B$2:$B$28,0)),""))</f>
        <v/>
      </c>
      <c r="C517" s="5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/>
      </c>
    </row>
    <row r="518">
      <c r="A518" s="4" t="n"/>
      <c r="B518" s="5">
        <f>IF(A518="","",IFERROR(INDEX('جدول الجرد'!$A$2:$A$28,MATCH(A518,'جدول الجرد'!$B$2:$B$28,0)),""))</f>
        <v/>
      </c>
      <c r="C518" s="5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/>
      </c>
    </row>
    <row r="519">
      <c r="A519" s="4" t="n"/>
      <c r="B519" s="5">
        <f>IF(A519="","",IFERROR(INDEX('جدول الجرد'!$A$2:$A$28,MATCH(A519,'جدول الجرد'!$B$2:$B$28,0)),""))</f>
        <v/>
      </c>
      <c r="C519" s="5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/>
      </c>
    </row>
    <row r="520">
      <c r="A520" s="4" t="n"/>
      <c r="B520" s="5">
        <f>IF(A520="","",IFERROR(INDEX('جدول الجرد'!$A$2:$A$28,MATCH(A520,'جدول الجرد'!$B$2:$B$28,0)),""))</f>
        <v/>
      </c>
      <c r="C520" s="5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/>
      </c>
    </row>
    <row r="521">
      <c r="A521" s="4" t="n"/>
      <c r="B521" s="5">
        <f>IF(A521="","",IFERROR(INDEX('جدول الجرد'!$A$2:$A$28,MATCH(A521,'جدول الجرد'!$B$2:$B$28,0)),""))</f>
        <v/>
      </c>
      <c r="C521" s="5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/>
      </c>
    </row>
    <row r="522">
      <c r="A522" s="4" t="n"/>
      <c r="B522" s="5">
        <f>IF(A522="","",IFERROR(INDEX('جدول الجرد'!$A$2:$A$28,MATCH(A522,'جدول الجرد'!$B$2:$B$28,0)),""))</f>
        <v/>
      </c>
      <c r="C522" s="5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/>
      </c>
    </row>
    <row r="523">
      <c r="A523" s="4" t="n"/>
      <c r="B523" s="5">
        <f>IF(A523="","",IFERROR(INDEX('جدول الجرد'!$A$2:$A$28,MATCH(A523,'جدول الجرد'!$B$2:$B$28,0)),""))</f>
        <v/>
      </c>
      <c r="C523" s="5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/>
      </c>
    </row>
    <row r="524">
      <c r="A524" s="4" t="n"/>
      <c r="B524" s="5">
        <f>IF(A524="","",IFERROR(INDEX('جدول الجرد'!$A$2:$A$28,MATCH(A524,'جدول الجرد'!$B$2:$B$28,0)),""))</f>
        <v/>
      </c>
      <c r="C524" s="5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/>
      </c>
    </row>
    <row r="525">
      <c r="A525" s="4" t="n"/>
      <c r="B525" s="5">
        <f>IF(A525="","",IFERROR(INDEX('جدول الجرد'!$A$2:$A$28,MATCH(A525,'جدول الجرد'!$B$2:$B$28,0)),""))</f>
        <v/>
      </c>
      <c r="C525" s="5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/>
      </c>
    </row>
    <row r="526">
      <c r="A526" s="4" t="n"/>
      <c r="B526" s="5">
        <f>IF(A526="","",IFERROR(INDEX('جدول الجرد'!$A$2:$A$28,MATCH(A526,'جدول الجرد'!$B$2:$B$28,0)),""))</f>
        <v/>
      </c>
      <c r="C526" s="5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/>
      </c>
    </row>
    <row r="527">
      <c r="A527" s="4" t="n"/>
      <c r="B527" s="5">
        <f>IF(A527="","",IFERROR(INDEX('جدول الجرد'!$A$2:$A$28,MATCH(A527,'جدول الجرد'!$B$2:$B$28,0)),""))</f>
        <v/>
      </c>
      <c r="C527" s="5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/>
      </c>
    </row>
    <row r="528">
      <c r="A528" s="4" t="n"/>
      <c r="B528" s="5">
        <f>IF(A528="","",IFERROR(INDEX('جدول الجرد'!$A$2:$A$28,MATCH(A528,'جدول الجرد'!$B$2:$B$28,0)),""))</f>
        <v/>
      </c>
      <c r="C528" s="5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/>
      </c>
    </row>
    <row r="529">
      <c r="A529" s="4" t="n"/>
      <c r="B529" s="5">
        <f>IF(A529="","",IFERROR(INDEX('جدول الجرد'!$A$2:$A$28,MATCH(A529,'جدول الجرد'!$B$2:$B$28,0)),""))</f>
        <v/>
      </c>
      <c r="C529" s="5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/>
      </c>
    </row>
    <row r="530">
      <c r="A530" s="4" t="n"/>
      <c r="B530" s="5">
        <f>IF(A530="","",IFERROR(INDEX('جدول الجرد'!$A$2:$A$28,MATCH(A530,'جدول الجرد'!$B$2:$B$28,0)),""))</f>
        <v/>
      </c>
      <c r="C530" s="5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/>
      </c>
    </row>
    <row r="531">
      <c r="A531" s="4" t="n"/>
      <c r="B531" s="5">
        <f>IF(A531="","",IFERROR(INDEX('جدول الجرد'!$A$2:$A$28,MATCH(A531,'جدول الجرد'!$B$2:$B$28,0)),""))</f>
        <v/>
      </c>
      <c r="C531" s="5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/>
      </c>
    </row>
    <row r="532">
      <c r="A532" s="4" t="n"/>
      <c r="B532" s="5">
        <f>IF(A532="","",IFERROR(INDEX('جدول الجرد'!$A$2:$A$28,MATCH(A532,'جدول الجرد'!$B$2:$B$28,0)),""))</f>
        <v/>
      </c>
      <c r="C532" s="5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/>
      </c>
    </row>
    <row r="533">
      <c r="A533" s="4" t="n"/>
      <c r="B533" s="5">
        <f>IF(A533="","",IFERROR(INDEX('جدول الجرد'!$A$2:$A$28,MATCH(A533,'جدول الجرد'!$B$2:$B$28,0)),""))</f>
        <v/>
      </c>
      <c r="C533" s="5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/>
      </c>
    </row>
    <row r="534">
      <c r="A534" s="4" t="n"/>
      <c r="B534" s="5">
        <f>IF(A534="","",IFERROR(INDEX('جدول الجرد'!$A$2:$A$28,MATCH(A534,'جدول الجرد'!$B$2:$B$28,0)),""))</f>
        <v/>
      </c>
      <c r="C534" s="5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/>
      </c>
    </row>
    <row r="535">
      <c r="A535" s="4" t="n"/>
      <c r="B535" s="5">
        <f>IF(A535="","",IFERROR(INDEX('جدول الجرد'!$A$2:$A$28,MATCH(A535,'جدول الجرد'!$B$2:$B$28,0)),""))</f>
        <v/>
      </c>
      <c r="C535" s="5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/>
      </c>
    </row>
    <row r="536">
      <c r="A536" s="4" t="n"/>
      <c r="B536" s="5">
        <f>IF(A536="","",IFERROR(INDEX('جدول الجرد'!$A$2:$A$28,MATCH(A536,'جدول الجرد'!$B$2:$B$28,0)),""))</f>
        <v/>
      </c>
      <c r="C536" s="5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/>
      </c>
    </row>
    <row r="537">
      <c r="A537" s="4" t="n"/>
      <c r="B537" s="5">
        <f>IF(A537="","",IFERROR(INDEX('جدول الجرد'!$A$2:$A$28,MATCH(A537,'جدول الجرد'!$B$2:$B$28,0)),""))</f>
        <v/>
      </c>
      <c r="C537" s="5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/>
      </c>
    </row>
    <row r="538">
      <c r="A538" s="4" t="n"/>
      <c r="B538" s="5">
        <f>IF(A538="","",IFERROR(INDEX('جدول الجرد'!$A$2:$A$28,MATCH(A538,'جدول الجرد'!$B$2:$B$28,0)),""))</f>
        <v/>
      </c>
      <c r="C538" s="5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/>
      </c>
    </row>
    <row r="539">
      <c r="A539" s="4" t="n"/>
      <c r="B539" s="5">
        <f>IF(A539="","",IFERROR(INDEX('جدول الجرد'!$A$2:$A$28,MATCH(A539,'جدول الجرد'!$B$2:$B$28,0)),""))</f>
        <v/>
      </c>
      <c r="C539" s="5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/>
      </c>
    </row>
    <row r="540">
      <c r="A540" s="4" t="n"/>
      <c r="B540" s="5">
        <f>IF(A540="","",IFERROR(INDEX('جدول الجرد'!$A$2:$A$28,MATCH(A540,'جدول الجرد'!$B$2:$B$28,0)),""))</f>
        <v/>
      </c>
      <c r="C540" s="5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/>
      </c>
    </row>
    <row r="541">
      <c r="A541" s="4" t="n"/>
      <c r="B541" s="5">
        <f>IF(A541="","",IFERROR(INDEX('جدول الجرد'!$A$2:$A$28,MATCH(A541,'جدول الجرد'!$B$2:$B$28,0)),""))</f>
        <v/>
      </c>
      <c r="C541" s="5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/>
      </c>
    </row>
    <row r="542">
      <c r="A542" s="4" t="n"/>
      <c r="B542" s="5">
        <f>IF(A542="","",IFERROR(INDEX('جدول الجرد'!$A$2:$A$28,MATCH(A542,'جدول الجرد'!$B$2:$B$28,0)),""))</f>
        <v/>
      </c>
      <c r="C542" s="5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/>
      </c>
    </row>
    <row r="543">
      <c r="A543" s="4" t="n"/>
      <c r="B543" s="5">
        <f>IF(A543="","",IFERROR(INDEX('جدول الجرد'!$A$2:$A$28,MATCH(A543,'جدول الجرد'!$B$2:$B$28,0)),""))</f>
        <v/>
      </c>
      <c r="C543" s="5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/>
      </c>
    </row>
    <row r="544">
      <c r="A544" s="4" t="n"/>
      <c r="B544" s="5">
        <f>IF(A544="","",IFERROR(INDEX('جدول الجرد'!$A$2:$A$28,MATCH(A544,'جدول الجرد'!$B$2:$B$28,0)),""))</f>
        <v/>
      </c>
      <c r="C544" s="5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/>
      </c>
    </row>
    <row r="545">
      <c r="A545" s="4" t="n"/>
      <c r="B545" s="5">
        <f>IF(A545="","",IFERROR(INDEX('جدول الجرد'!$A$2:$A$28,MATCH(A545,'جدول الجرد'!$B$2:$B$28,0)),""))</f>
        <v/>
      </c>
      <c r="C545" s="5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/>
      </c>
    </row>
    <row r="546">
      <c r="A546" s="4" t="n"/>
      <c r="B546" s="5">
        <f>IF(A546="","",IFERROR(INDEX('جدول الجرد'!$A$2:$A$28,MATCH(A546,'جدول الجرد'!$B$2:$B$28,0)),""))</f>
        <v/>
      </c>
      <c r="C546" s="5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/>
      </c>
    </row>
    <row r="547">
      <c r="A547" s="4" t="n"/>
      <c r="B547" s="5">
        <f>IF(A547="","",IFERROR(INDEX('جدول الجرد'!$A$2:$A$28,MATCH(A547,'جدول الجرد'!$B$2:$B$28,0)),""))</f>
        <v/>
      </c>
      <c r="C547" s="5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/>
      </c>
    </row>
    <row r="548">
      <c r="A548" s="4" t="n"/>
      <c r="B548" s="5">
        <f>IF(A548="","",IFERROR(INDEX('جدول الجرد'!$A$2:$A$28,MATCH(A548,'جدول الجرد'!$B$2:$B$28,0)),""))</f>
        <v/>
      </c>
      <c r="C548" s="5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/>
      </c>
    </row>
    <row r="549">
      <c r="A549" s="4" t="n"/>
      <c r="B549" s="5">
        <f>IF(A549="","",IFERROR(INDEX('جدول الجرد'!$A$2:$A$28,MATCH(A549,'جدول الجرد'!$B$2:$B$28,0)),""))</f>
        <v/>
      </c>
      <c r="C549" s="5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/>
      </c>
    </row>
    <row r="550">
      <c r="A550" s="4" t="n"/>
      <c r="B550" s="5">
        <f>IF(A550="","",IFERROR(INDEX('جدول الجرد'!$A$2:$A$28,MATCH(A550,'جدول الجرد'!$B$2:$B$28,0)),""))</f>
        <v/>
      </c>
      <c r="C550" s="5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/>
      </c>
    </row>
    <row r="551">
      <c r="A551" s="4" t="n"/>
      <c r="B551" s="5">
        <f>IF(A551="","",IFERROR(INDEX('جدول الجرد'!$A$2:$A$28,MATCH(A551,'جدول الجرد'!$B$2:$B$28,0)),""))</f>
        <v/>
      </c>
      <c r="C551" s="5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/>
      </c>
    </row>
    <row r="552">
      <c r="A552" s="4" t="n"/>
      <c r="B552" s="5">
        <f>IF(A552="","",IFERROR(INDEX('جدول الجرد'!$A$2:$A$28,MATCH(A552,'جدول الجرد'!$B$2:$B$28,0)),""))</f>
        <v/>
      </c>
      <c r="C552" s="5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/>
      </c>
    </row>
    <row r="553">
      <c r="A553" s="4" t="n"/>
      <c r="B553" s="5">
        <f>IF(A553="","",IFERROR(INDEX('جدول الجرد'!$A$2:$A$28,MATCH(A553,'جدول الجرد'!$B$2:$B$28,0)),""))</f>
        <v/>
      </c>
      <c r="C553" s="5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/>
      </c>
    </row>
    <row r="554">
      <c r="A554" s="4" t="n"/>
      <c r="B554" s="5">
        <f>IF(A554="","",IFERROR(INDEX('جدول الجرد'!$A$2:$A$28,MATCH(A554,'جدول الجرد'!$B$2:$B$28,0)),""))</f>
        <v/>
      </c>
      <c r="C554" s="5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/>
      </c>
    </row>
    <row r="555">
      <c r="A555" s="4" t="n"/>
      <c r="B555" s="5">
        <f>IF(A555="","",IFERROR(INDEX('جدول الجرد'!$A$2:$A$28,MATCH(A555,'جدول الجرد'!$B$2:$B$28,0)),""))</f>
        <v/>
      </c>
      <c r="C555" s="5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/>
      </c>
    </row>
    <row r="556">
      <c r="A556" s="4" t="n"/>
      <c r="B556" s="5">
        <f>IF(A556="","",IFERROR(INDEX('جدول الجرد'!$A$2:$A$28,MATCH(A556,'جدول الجرد'!$B$2:$B$28,0)),""))</f>
        <v/>
      </c>
      <c r="C556" s="5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/>
      </c>
    </row>
    <row r="557">
      <c r="A557" s="4" t="n"/>
      <c r="B557" s="5">
        <f>IF(A557="","",IFERROR(INDEX('جدول الجرد'!$A$2:$A$28,MATCH(A557,'جدول الجرد'!$B$2:$B$28,0)),""))</f>
        <v/>
      </c>
      <c r="C557" s="5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/>
      </c>
    </row>
    <row r="558">
      <c r="A558" s="4" t="n"/>
      <c r="B558" s="5">
        <f>IF(A558="","",IFERROR(INDEX('جدول الجرد'!$A$2:$A$28,MATCH(A558,'جدول الجرد'!$B$2:$B$28,0)),""))</f>
        <v/>
      </c>
      <c r="C558" s="5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/>
      </c>
    </row>
    <row r="559">
      <c r="A559" s="4" t="n"/>
      <c r="B559" s="5">
        <f>IF(A559="","",IFERROR(INDEX('جدول الجرد'!$A$2:$A$28,MATCH(A559,'جدول الجرد'!$B$2:$B$28,0)),""))</f>
        <v/>
      </c>
      <c r="C559" s="5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/>
      </c>
    </row>
    <row r="560">
      <c r="A560" s="4" t="n"/>
      <c r="B560" s="5">
        <f>IF(A560="","",IFERROR(INDEX('جدول الجرد'!$A$2:$A$28,MATCH(A560,'جدول الجرد'!$B$2:$B$28,0)),""))</f>
        <v/>
      </c>
      <c r="C560" s="5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/>
      </c>
    </row>
    <row r="561">
      <c r="A561" s="4" t="n"/>
      <c r="B561" s="5">
        <f>IF(A561="","",IFERROR(INDEX('جدول الجرد'!$A$2:$A$28,MATCH(A561,'جدول الجرد'!$B$2:$B$28,0)),""))</f>
        <v/>
      </c>
      <c r="C561" s="5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/>
      </c>
    </row>
    <row r="562">
      <c r="A562" s="4" t="n"/>
      <c r="B562" s="5">
        <f>IF(A562="","",IFERROR(INDEX('جدول الجرد'!$A$2:$A$28,MATCH(A562,'جدول الجرد'!$B$2:$B$28,0)),""))</f>
        <v/>
      </c>
      <c r="C562" s="5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/>
      </c>
    </row>
    <row r="563">
      <c r="A563" s="4" t="n"/>
      <c r="B563" s="5">
        <f>IF(A563="","",IFERROR(INDEX('جدول الجرد'!$A$2:$A$28,MATCH(A563,'جدول الجرد'!$B$2:$B$28,0)),""))</f>
        <v/>
      </c>
      <c r="C563" s="5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/>
      </c>
    </row>
    <row r="564">
      <c r="A564" s="4" t="n"/>
      <c r="B564" s="5">
        <f>IF(A564="","",IFERROR(INDEX('جدول الجرد'!$A$2:$A$28,MATCH(A564,'جدول الجرد'!$B$2:$B$28,0)),""))</f>
        <v/>
      </c>
      <c r="C564" s="5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/>
      </c>
    </row>
    <row r="565">
      <c r="A565" s="4" t="n"/>
      <c r="B565" s="5">
        <f>IF(A565="","",IFERROR(INDEX('جدول الجرد'!$A$2:$A$28,MATCH(A565,'جدول الجرد'!$B$2:$B$28,0)),""))</f>
        <v/>
      </c>
      <c r="C565" s="5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/>
      </c>
    </row>
    <row r="566">
      <c r="A566" s="4" t="n"/>
      <c r="B566" s="5">
        <f>IF(A566="","",IFERROR(INDEX('جدول الجرد'!$A$2:$A$28,MATCH(A566,'جدول الجرد'!$B$2:$B$28,0)),""))</f>
        <v/>
      </c>
      <c r="C566" s="5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/>
      </c>
    </row>
    <row r="567">
      <c r="A567" s="4" t="n"/>
      <c r="B567" s="5">
        <f>IF(A567="","",IFERROR(INDEX('جدول الجرد'!$A$2:$A$28,MATCH(A567,'جدول الجرد'!$B$2:$B$28,0)),""))</f>
        <v/>
      </c>
      <c r="C567" s="5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/>
      </c>
    </row>
    <row r="568">
      <c r="A568" s="4" t="n"/>
      <c r="B568" s="5">
        <f>IF(A568="","",IFERROR(INDEX('جدول الجرد'!$A$2:$A$28,MATCH(A568,'جدول الجرد'!$B$2:$B$28,0)),""))</f>
        <v/>
      </c>
      <c r="C568" s="5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/>
      </c>
    </row>
    <row r="569">
      <c r="A569" s="4" t="n"/>
      <c r="B569" s="5">
        <f>IF(A569="","",IFERROR(INDEX('جدول الجرد'!$A$2:$A$28,MATCH(A569,'جدول الجرد'!$B$2:$B$28,0)),""))</f>
        <v/>
      </c>
      <c r="C569" s="5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/>
      </c>
    </row>
    <row r="570">
      <c r="A570" s="4" t="n"/>
      <c r="B570" s="5">
        <f>IF(A570="","",IFERROR(INDEX('جدول الجرد'!$A$2:$A$28,MATCH(A570,'جدول الجرد'!$B$2:$B$28,0)),""))</f>
        <v/>
      </c>
      <c r="C570" s="5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/>
      </c>
    </row>
    <row r="571">
      <c r="A571" s="4" t="n"/>
      <c r="B571" s="5">
        <f>IF(A571="","",IFERROR(INDEX('جدول الجرد'!$A$2:$A$28,MATCH(A571,'جدول الجرد'!$B$2:$B$28,0)),""))</f>
        <v/>
      </c>
      <c r="C571" s="5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/>
      </c>
    </row>
    <row r="572">
      <c r="A572" s="4" t="n"/>
      <c r="B572" s="5">
        <f>IF(A572="","",IFERROR(INDEX('جدول الجرد'!$A$2:$A$28,MATCH(A572,'جدول الجرد'!$B$2:$B$28,0)),""))</f>
        <v/>
      </c>
      <c r="C572" s="5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/>
      </c>
    </row>
    <row r="573">
      <c r="A573" s="4" t="n"/>
      <c r="B573" s="5">
        <f>IF(A573="","",IFERROR(INDEX('جدول الجرد'!$A$2:$A$28,MATCH(A573,'جدول الجرد'!$B$2:$B$28,0)),""))</f>
        <v/>
      </c>
      <c r="C573" s="5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/>
      </c>
    </row>
    <row r="574">
      <c r="A574" s="4" t="n"/>
      <c r="B574" s="5">
        <f>IF(A574="","",IFERROR(INDEX('جدول الجرد'!$A$2:$A$28,MATCH(A574,'جدول الجرد'!$B$2:$B$28,0)),""))</f>
        <v/>
      </c>
      <c r="C574" s="5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/>
      </c>
    </row>
    <row r="575">
      <c r="A575" s="4" t="n"/>
      <c r="B575" s="5">
        <f>IF(A575="","",IFERROR(INDEX('جدول الجرد'!$A$2:$A$28,MATCH(A575,'جدول الجرد'!$B$2:$B$28,0)),""))</f>
        <v/>
      </c>
      <c r="C575" s="5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/>
      </c>
    </row>
    <row r="576">
      <c r="A576" s="4" t="n"/>
      <c r="B576" s="5">
        <f>IF(A576="","",IFERROR(INDEX('جدول الجرد'!$A$2:$A$28,MATCH(A576,'جدول الجرد'!$B$2:$B$28,0)),""))</f>
        <v/>
      </c>
      <c r="C576" s="5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/>
      </c>
    </row>
    <row r="577">
      <c r="A577" s="4" t="n"/>
      <c r="B577" s="5">
        <f>IF(A577="","",IFERROR(INDEX('جدول الجرد'!$A$2:$A$28,MATCH(A577,'جدول الجرد'!$B$2:$B$28,0)),""))</f>
        <v/>
      </c>
      <c r="C577" s="5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/>
      </c>
    </row>
    <row r="578">
      <c r="A578" s="4" t="n"/>
      <c r="B578" s="5">
        <f>IF(A578="","",IFERROR(INDEX('جدول الجرد'!$A$2:$A$28,MATCH(A578,'جدول الجرد'!$B$2:$B$28,0)),""))</f>
        <v/>
      </c>
      <c r="C578" s="5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/>
      </c>
    </row>
    <row r="579">
      <c r="A579" s="4" t="n"/>
      <c r="B579" s="5">
        <f>IF(A579="","",IFERROR(INDEX('جدول الجرد'!$A$2:$A$28,MATCH(A579,'جدول الجرد'!$B$2:$B$28,0)),""))</f>
        <v/>
      </c>
      <c r="C579" s="5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/>
      </c>
    </row>
    <row r="580">
      <c r="A580" s="4" t="n"/>
      <c r="B580" s="5">
        <f>IF(A580="","",IFERROR(INDEX('جدول الجرد'!$A$2:$A$28,MATCH(A580,'جدول الجرد'!$B$2:$B$28,0)),""))</f>
        <v/>
      </c>
      <c r="C580" s="5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/>
      </c>
    </row>
    <row r="581">
      <c r="A581" s="4" t="n"/>
      <c r="B581" s="5">
        <f>IF(A581="","",IFERROR(INDEX('جدول الجرد'!$A$2:$A$28,MATCH(A581,'جدول الجرد'!$B$2:$B$28,0)),""))</f>
        <v/>
      </c>
      <c r="C581" s="5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/>
      </c>
    </row>
    <row r="582">
      <c r="A582" s="4" t="n"/>
      <c r="B582" s="5">
        <f>IF(A582="","",IFERROR(INDEX('جدول الجرد'!$A$2:$A$28,MATCH(A582,'جدول الجرد'!$B$2:$B$28,0)),""))</f>
        <v/>
      </c>
      <c r="C582" s="5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/>
      </c>
    </row>
    <row r="583">
      <c r="A583" s="4" t="n"/>
      <c r="B583" s="5">
        <f>IF(A583="","",IFERROR(INDEX('جدول الجرد'!$A$2:$A$28,MATCH(A583,'جدول الجرد'!$B$2:$B$28,0)),""))</f>
        <v/>
      </c>
      <c r="C583" s="5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/>
      </c>
    </row>
    <row r="584">
      <c r="A584" s="4" t="n"/>
      <c r="B584" s="5">
        <f>IF(A584="","",IFERROR(INDEX('جدول الجرد'!$A$2:$A$28,MATCH(A584,'جدول الجرد'!$B$2:$B$28,0)),""))</f>
        <v/>
      </c>
      <c r="C584" s="5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/>
      </c>
    </row>
    <row r="585">
      <c r="A585" s="4" t="n"/>
      <c r="B585" s="5">
        <f>IF(A585="","",IFERROR(INDEX('جدول الجرد'!$A$2:$A$28,MATCH(A585,'جدول الجرد'!$B$2:$B$28,0)),""))</f>
        <v/>
      </c>
      <c r="C585" s="5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/>
      </c>
    </row>
    <row r="586">
      <c r="A586" s="4" t="n"/>
      <c r="B586" s="5">
        <f>IF(A586="","",IFERROR(INDEX('جدول الجرد'!$A$2:$A$28,MATCH(A586,'جدول الجرد'!$B$2:$B$28,0)),""))</f>
        <v/>
      </c>
      <c r="C586" s="5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/>
      </c>
    </row>
    <row r="587">
      <c r="A587" s="4" t="n"/>
      <c r="B587" s="5">
        <f>IF(A587="","",IFERROR(INDEX('جدول الجرد'!$A$2:$A$28,MATCH(A587,'جدول الجرد'!$B$2:$B$28,0)),""))</f>
        <v/>
      </c>
      <c r="C587" s="5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/>
      </c>
    </row>
    <row r="588">
      <c r="A588" s="4" t="n"/>
      <c r="B588" s="5">
        <f>IF(A588="","",IFERROR(INDEX('جدول الجرد'!$A$2:$A$28,MATCH(A588,'جدول الجرد'!$B$2:$B$28,0)),""))</f>
        <v/>
      </c>
      <c r="C588" s="5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/>
      </c>
    </row>
    <row r="589">
      <c r="A589" s="4" t="n"/>
      <c r="B589" s="5">
        <f>IF(A589="","",IFERROR(INDEX('جدول الجرد'!$A$2:$A$28,MATCH(A589,'جدول الجرد'!$B$2:$B$28,0)),""))</f>
        <v/>
      </c>
      <c r="C589" s="5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/>
      </c>
    </row>
    <row r="590">
      <c r="A590" s="4" t="n"/>
      <c r="B590" s="5">
        <f>IF(A590="","",IFERROR(INDEX('جدول الجرد'!$A$2:$A$28,MATCH(A590,'جدول الجرد'!$B$2:$B$28,0)),""))</f>
        <v/>
      </c>
      <c r="C590" s="5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/>
      </c>
    </row>
    <row r="591">
      <c r="A591" s="4" t="n"/>
      <c r="B591" s="5">
        <f>IF(A591="","",IFERROR(INDEX('جدول الجرد'!$A$2:$A$28,MATCH(A591,'جدول الجرد'!$B$2:$B$28,0)),""))</f>
        <v/>
      </c>
      <c r="C591" s="5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/>
      </c>
    </row>
    <row r="592">
      <c r="A592" s="4" t="n"/>
      <c r="B592" s="5">
        <f>IF(A592="","",IFERROR(INDEX('جدول الجرد'!$A$2:$A$28,MATCH(A592,'جدول الجرد'!$B$2:$B$28,0)),""))</f>
        <v/>
      </c>
      <c r="C592" s="5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/>
      </c>
    </row>
    <row r="593">
      <c r="A593" s="4" t="n"/>
      <c r="B593" s="5">
        <f>IF(A593="","",IFERROR(INDEX('جدول الجرد'!$A$2:$A$28,MATCH(A593,'جدول الجرد'!$B$2:$B$28,0)),""))</f>
        <v/>
      </c>
      <c r="C593" s="5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/>
      </c>
    </row>
    <row r="594">
      <c r="A594" s="4" t="n"/>
      <c r="B594" s="5">
        <f>IF(A594="","",IFERROR(INDEX('جدول الجرد'!$A$2:$A$28,MATCH(A594,'جدول الجرد'!$B$2:$B$28,0)),""))</f>
        <v/>
      </c>
      <c r="C594" s="5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/>
      </c>
    </row>
    <row r="595">
      <c r="A595" s="4" t="n"/>
      <c r="B595" s="5">
        <f>IF(A595="","",IFERROR(INDEX('جدول الجرد'!$A$2:$A$28,MATCH(A595,'جدول الجرد'!$B$2:$B$28,0)),""))</f>
        <v/>
      </c>
      <c r="C595" s="5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/>
      </c>
    </row>
    <row r="596">
      <c r="A596" s="4" t="n"/>
      <c r="B596" s="5">
        <f>IF(A596="","",IFERROR(INDEX('جدول الجرد'!$A$2:$A$28,MATCH(A596,'جدول الجرد'!$B$2:$B$28,0)),""))</f>
        <v/>
      </c>
      <c r="C596" s="5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/>
      </c>
    </row>
    <row r="597">
      <c r="A597" s="4" t="n"/>
      <c r="B597" s="5">
        <f>IF(A597="","",IFERROR(INDEX('جدول الجرد'!$A$2:$A$28,MATCH(A597,'جدول الجرد'!$B$2:$B$28,0)),""))</f>
        <v/>
      </c>
      <c r="C597" s="5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/>
      </c>
    </row>
    <row r="598">
      <c r="A598" s="4" t="n"/>
      <c r="B598" s="5">
        <f>IF(A598="","",IFERROR(INDEX('جدول الجرد'!$A$2:$A$28,MATCH(A598,'جدول الجرد'!$B$2:$B$28,0)),""))</f>
        <v/>
      </c>
      <c r="C598" s="5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/>
      </c>
    </row>
    <row r="599">
      <c r="A599" s="4" t="n"/>
      <c r="B599" s="5">
        <f>IF(A599="","",IFERROR(INDEX('جدول الجرد'!$A$2:$A$28,MATCH(A599,'جدول الجرد'!$B$2:$B$28,0)),""))</f>
        <v/>
      </c>
      <c r="C599" s="5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/>
      </c>
    </row>
    <row r="600">
      <c r="A600" s="4" t="n"/>
      <c r="B600" s="5">
        <f>IF(A600="","",IFERROR(INDEX('جدول الجرد'!$A$2:$A$28,MATCH(A600,'جدول الجرد'!$B$2:$B$28,0)),""))</f>
        <v/>
      </c>
      <c r="C600" s="5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/>
      </c>
    </row>
    <row r="601">
      <c r="A601" s="4" t="n"/>
      <c r="B601" s="5">
        <f>IF(A601="","",IFERROR(INDEX('جدول الجرد'!$A$2:$A$28,MATCH(A601,'جدول الجرد'!$B$2:$B$28,0)),""))</f>
        <v/>
      </c>
      <c r="C601" s="5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/>
      </c>
    </row>
    <row r="602">
      <c r="A602" s="4" t="n"/>
      <c r="B602" s="5">
        <f>IF(A602="","",IFERROR(INDEX('جدول الجرد'!$A$2:$A$28,MATCH(A602,'جدول الجرد'!$B$2:$B$28,0)),""))</f>
        <v/>
      </c>
      <c r="C602" s="5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/>
      </c>
    </row>
    <row r="603">
      <c r="A603" s="4" t="n"/>
      <c r="B603" s="5">
        <f>IF(A603="","",IFERROR(INDEX('جدول الجرد'!$A$2:$A$28,MATCH(A603,'جدول الجرد'!$B$2:$B$28,0)),""))</f>
        <v/>
      </c>
      <c r="C603" s="5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/>
      </c>
    </row>
    <row r="604">
      <c r="A604" s="4" t="n"/>
      <c r="B604" s="5">
        <f>IF(A604="","",IFERROR(INDEX('جدول الجرد'!$A$2:$A$28,MATCH(A604,'جدول الجرد'!$B$2:$B$28,0)),""))</f>
        <v/>
      </c>
      <c r="C604" s="5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/>
      </c>
    </row>
    <row r="605">
      <c r="A605" s="4" t="n"/>
      <c r="B605" s="5">
        <f>IF(A605="","",IFERROR(INDEX('جدول الجرد'!$A$2:$A$28,MATCH(A605,'جدول الجرد'!$B$2:$B$28,0)),""))</f>
        <v/>
      </c>
      <c r="C605" s="5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/>
      </c>
    </row>
    <row r="606">
      <c r="A606" s="4" t="n"/>
      <c r="B606" s="5">
        <f>IF(A606="","",IFERROR(INDEX('جدول الجرد'!$A$2:$A$28,MATCH(A606,'جدول الجرد'!$B$2:$B$28,0)),""))</f>
        <v/>
      </c>
      <c r="C606" s="5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/>
      </c>
    </row>
    <row r="607">
      <c r="A607" s="4" t="n"/>
      <c r="B607" s="5">
        <f>IF(A607="","",IFERROR(INDEX('جدول الجرد'!$A$2:$A$28,MATCH(A607,'جدول الجرد'!$B$2:$B$28,0)),""))</f>
        <v/>
      </c>
      <c r="C607" s="5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/>
      </c>
    </row>
    <row r="608">
      <c r="A608" s="4" t="n"/>
      <c r="B608" s="5">
        <f>IF(A608="","",IFERROR(INDEX('جدول الجرد'!$A$2:$A$28,MATCH(A608,'جدول الجرد'!$B$2:$B$28,0)),""))</f>
        <v/>
      </c>
      <c r="C608" s="5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/>
      </c>
    </row>
    <row r="609">
      <c r="A609" s="4" t="n"/>
      <c r="B609" s="5">
        <f>IF(A609="","",IFERROR(INDEX('جدول الجرد'!$A$2:$A$28,MATCH(A609,'جدول الجرد'!$B$2:$B$28,0)),""))</f>
        <v/>
      </c>
      <c r="C609" s="5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/>
      </c>
    </row>
    <row r="610">
      <c r="A610" s="4" t="n"/>
      <c r="B610" s="5">
        <f>IF(A610="","",IFERROR(INDEX('جدول الجرد'!$A$2:$A$28,MATCH(A610,'جدول الجرد'!$B$2:$B$28,0)),""))</f>
        <v/>
      </c>
      <c r="C610" s="5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/>
      </c>
    </row>
    <row r="611">
      <c r="A611" s="4" t="n"/>
      <c r="B611" s="5">
        <f>IF(A611="","",IFERROR(INDEX('جدول الجرد'!$A$2:$A$28,MATCH(A611,'جدول الجرد'!$B$2:$B$28,0)),""))</f>
        <v/>
      </c>
      <c r="C611" s="5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/>
      </c>
    </row>
    <row r="612">
      <c r="A612" s="4" t="n"/>
      <c r="B612" s="5">
        <f>IF(A612="","",IFERROR(INDEX('جدول الجرد'!$A$2:$A$28,MATCH(A612,'جدول الجرد'!$B$2:$B$28,0)),""))</f>
        <v/>
      </c>
      <c r="C612" s="5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/>
      </c>
    </row>
    <row r="613">
      <c r="A613" s="4" t="n"/>
      <c r="B613" s="5">
        <f>IF(A613="","",IFERROR(INDEX('جدول الجرد'!$A$2:$A$28,MATCH(A613,'جدول الجرد'!$B$2:$B$28,0)),""))</f>
        <v/>
      </c>
      <c r="C613" s="5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/>
      </c>
    </row>
    <row r="614">
      <c r="A614" s="4" t="n"/>
      <c r="B614" s="5">
        <f>IF(A614="","",IFERROR(INDEX('جدول الجرد'!$A$2:$A$28,MATCH(A614,'جدول الجرد'!$B$2:$B$28,0)),""))</f>
        <v/>
      </c>
      <c r="C614" s="5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/>
      </c>
    </row>
    <row r="615">
      <c r="A615" s="4" t="n"/>
      <c r="B615" s="5">
        <f>IF(A615="","",IFERROR(INDEX('جدول الجرد'!$A$2:$A$28,MATCH(A615,'جدول الجرد'!$B$2:$B$28,0)),""))</f>
        <v/>
      </c>
      <c r="C615" s="5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/>
      </c>
    </row>
    <row r="616">
      <c r="A616" s="4" t="n"/>
      <c r="B616" s="5">
        <f>IF(A616="","",IFERROR(INDEX('جدول الجرد'!$A$2:$A$28,MATCH(A616,'جدول الجرد'!$B$2:$B$28,0)),""))</f>
        <v/>
      </c>
      <c r="C616" s="5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/>
      </c>
    </row>
    <row r="617">
      <c r="A617" s="4" t="n"/>
      <c r="B617" s="5">
        <f>IF(A617="","",IFERROR(INDEX('جدول الجرد'!$A$2:$A$28,MATCH(A617,'جدول الجرد'!$B$2:$B$28,0)),""))</f>
        <v/>
      </c>
      <c r="C617" s="5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/>
      </c>
    </row>
    <row r="618">
      <c r="A618" s="4" t="n"/>
      <c r="B618" s="5">
        <f>IF(A618="","",IFERROR(INDEX('جدول الجرد'!$A$2:$A$28,MATCH(A618,'جدول الجرد'!$B$2:$B$28,0)),""))</f>
        <v/>
      </c>
      <c r="C618" s="5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/>
      </c>
    </row>
    <row r="619">
      <c r="A619" s="4" t="n"/>
      <c r="B619" s="5">
        <f>IF(A619="","",IFERROR(INDEX('جدول الجرد'!$A$2:$A$28,MATCH(A619,'جدول الجرد'!$B$2:$B$28,0)),""))</f>
        <v/>
      </c>
      <c r="C619" s="5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/>
      </c>
    </row>
    <row r="620">
      <c r="A620" s="4" t="n"/>
      <c r="B620" s="5">
        <f>IF(A620="","",IFERROR(INDEX('جدول الجرد'!$A$2:$A$28,MATCH(A620,'جدول الجرد'!$B$2:$B$28,0)),""))</f>
        <v/>
      </c>
      <c r="C620" s="5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/>
      </c>
    </row>
    <row r="621">
      <c r="A621" s="4" t="n"/>
      <c r="B621" s="5">
        <f>IF(A621="","",IFERROR(INDEX('جدول الجرد'!$A$2:$A$28,MATCH(A621,'جدول الجرد'!$B$2:$B$28,0)),""))</f>
        <v/>
      </c>
      <c r="C621" s="5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/>
      </c>
    </row>
    <row r="622">
      <c r="A622" s="4" t="n"/>
      <c r="B622" s="5">
        <f>IF(A622="","",IFERROR(INDEX('جدول الجرد'!$A$2:$A$28,MATCH(A622,'جدول الجرد'!$B$2:$B$28,0)),""))</f>
        <v/>
      </c>
      <c r="C622" s="5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/>
      </c>
    </row>
    <row r="623">
      <c r="A623" s="4" t="n"/>
      <c r="B623" s="5">
        <f>IF(A623="","",IFERROR(INDEX('جدول الجرد'!$A$2:$A$28,MATCH(A623,'جدول الجرد'!$B$2:$B$28,0)),""))</f>
        <v/>
      </c>
      <c r="C623" s="5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/>
      </c>
    </row>
    <row r="624">
      <c r="A624" s="4" t="n"/>
      <c r="B624" s="5">
        <f>IF(A624="","",IFERROR(INDEX('جدول الجرد'!$A$2:$A$28,MATCH(A624,'جدول الجرد'!$B$2:$B$28,0)),""))</f>
        <v/>
      </c>
      <c r="C624" s="5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/>
      </c>
    </row>
    <row r="625">
      <c r="A625" s="4" t="n"/>
      <c r="B625" s="5">
        <f>IF(A625="","",IFERROR(INDEX('جدول الجرد'!$A$2:$A$28,MATCH(A625,'جدول الجرد'!$B$2:$B$28,0)),""))</f>
        <v/>
      </c>
      <c r="C625" s="5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/>
      </c>
    </row>
    <row r="626">
      <c r="A626" s="4" t="n"/>
      <c r="B626" s="5">
        <f>IF(A626="","",IFERROR(INDEX('جدول الجرد'!$A$2:$A$28,MATCH(A626,'جدول الجرد'!$B$2:$B$28,0)),""))</f>
        <v/>
      </c>
      <c r="C626" s="5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/>
      </c>
    </row>
    <row r="627">
      <c r="A627" s="4" t="n"/>
      <c r="B627" s="5">
        <f>IF(A627="","",IFERROR(INDEX('جدول الجرد'!$A$2:$A$28,MATCH(A627,'جدول الجرد'!$B$2:$B$28,0)),""))</f>
        <v/>
      </c>
      <c r="C627" s="5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/>
      </c>
    </row>
    <row r="628">
      <c r="A628" s="4" t="n"/>
      <c r="B628" s="5">
        <f>IF(A628="","",IFERROR(INDEX('جدول الجرد'!$A$2:$A$28,MATCH(A628,'جدول الجرد'!$B$2:$B$28,0)),""))</f>
        <v/>
      </c>
      <c r="C628" s="5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/>
      </c>
    </row>
    <row r="629">
      <c r="A629" s="4" t="n"/>
      <c r="B629" s="5">
        <f>IF(A629="","",IFERROR(INDEX('جدول الجرد'!$A$2:$A$28,MATCH(A629,'جدول الجرد'!$B$2:$B$28,0)),""))</f>
        <v/>
      </c>
      <c r="C629" s="5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/>
      </c>
    </row>
    <row r="630">
      <c r="A630" s="4" t="n"/>
      <c r="B630" s="5">
        <f>IF(A630="","",IFERROR(INDEX('جدول الجرد'!$A$2:$A$28,MATCH(A630,'جدول الجرد'!$B$2:$B$28,0)),""))</f>
        <v/>
      </c>
      <c r="C630" s="5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/>
      </c>
    </row>
    <row r="631">
      <c r="A631" s="4" t="n"/>
      <c r="B631" s="5">
        <f>IF(A631="","",IFERROR(INDEX('جدول الجرد'!$A$2:$A$28,MATCH(A631,'جدول الجرد'!$B$2:$B$28,0)),""))</f>
        <v/>
      </c>
      <c r="C631" s="5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/>
      </c>
    </row>
    <row r="632">
      <c r="A632" s="4" t="n"/>
      <c r="B632" s="5">
        <f>IF(A632="","",IFERROR(INDEX('جدول الجرد'!$A$2:$A$28,MATCH(A632,'جدول الجرد'!$B$2:$B$28,0)),""))</f>
        <v/>
      </c>
      <c r="C632" s="5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/>
      </c>
    </row>
    <row r="633">
      <c r="A633" s="4" t="n"/>
      <c r="B633" s="5">
        <f>IF(A633="","",IFERROR(INDEX('جدول الجرد'!$A$2:$A$28,MATCH(A633,'جدول الجرد'!$B$2:$B$28,0)),""))</f>
        <v/>
      </c>
      <c r="C633" s="5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/>
      </c>
    </row>
    <row r="634">
      <c r="A634" s="4" t="n"/>
      <c r="B634" s="5">
        <f>IF(A634="","",IFERROR(INDEX('جدول الجرد'!$A$2:$A$28,MATCH(A634,'جدول الجرد'!$B$2:$B$28,0)),""))</f>
        <v/>
      </c>
      <c r="C634" s="5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/>
      </c>
    </row>
    <row r="635">
      <c r="A635" s="4" t="n"/>
      <c r="B635" s="5">
        <f>IF(A635="","",IFERROR(INDEX('جدول الجرد'!$A$2:$A$28,MATCH(A635,'جدول الجرد'!$B$2:$B$28,0)),""))</f>
        <v/>
      </c>
      <c r="C635" s="5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/>
      </c>
    </row>
    <row r="636">
      <c r="A636" s="4" t="n"/>
      <c r="B636" s="5">
        <f>IF(A636="","",IFERROR(INDEX('جدول الجرد'!$A$2:$A$28,MATCH(A636,'جدول الجرد'!$B$2:$B$28,0)),""))</f>
        <v/>
      </c>
      <c r="C636" s="5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/>
      </c>
    </row>
    <row r="637">
      <c r="A637" s="4" t="n"/>
      <c r="B637" s="5">
        <f>IF(A637="","",IFERROR(INDEX('جدول الجرد'!$A$2:$A$28,MATCH(A637,'جدول الجرد'!$B$2:$B$28,0)),""))</f>
        <v/>
      </c>
      <c r="C637" s="5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/>
      </c>
    </row>
    <row r="638">
      <c r="A638" s="4" t="n"/>
      <c r="B638" s="5">
        <f>IF(A638="","",IFERROR(INDEX('جدول الجرد'!$A$2:$A$28,MATCH(A638,'جدول الجرد'!$B$2:$B$28,0)),""))</f>
        <v/>
      </c>
      <c r="C638" s="5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/>
      </c>
    </row>
    <row r="639">
      <c r="A639" s="4" t="n"/>
      <c r="B639" s="5">
        <f>IF(A639="","",IFERROR(INDEX('جدول الجرد'!$A$2:$A$28,MATCH(A639,'جدول الجرد'!$B$2:$B$28,0)),""))</f>
        <v/>
      </c>
      <c r="C639" s="5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/>
      </c>
    </row>
    <row r="640">
      <c r="A640" s="4" t="n"/>
      <c r="B640" s="5">
        <f>IF(A640="","",IFERROR(INDEX('جدول الجرد'!$A$2:$A$28,MATCH(A640,'جدول الجرد'!$B$2:$B$28,0)),""))</f>
        <v/>
      </c>
      <c r="C640" s="5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/>
      </c>
    </row>
    <row r="641">
      <c r="A641" s="4" t="n"/>
      <c r="B641" s="5">
        <f>IF(A641="","",IFERROR(INDEX('جدول الجرد'!$A$2:$A$28,MATCH(A641,'جدول الجرد'!$B$2:$B$28,0)),""))</f>
        <v/>
      </c>
      <c r="C641" s="5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/>
      </c>
    </row>
    <row r="642">
      <c r="A642" s="4" t="n"/>
      <c r="B642" s="5">
        <f>IF(A642="","",IFERROR(INDEX('جدول الجرد'!$A$2:$A$28,MATCH(A642,'جدول الجرد'!$B$2:$B$28,0)),""))</f>
        <v/>
      </c>
      <c r="C642" s="5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/>
      </c>
    </row>
    <row r="643">
      <c r="A643" s="4" t="n"/>
      <c r="B643" s="5">
        <f>IF(A643="","",IFERROR(INDEX('جدول الجرد'!$A$2:$A$28,MATCH(A643,'جدول الجرد'!$B$2:$B$28,0)),""))</f>
        <v/>
      </c>
      <c r="C643" s="5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/>
      </c>
    </row>
    <row r="644">
      <c r="A644" s="4" t="n"/>
      <c r="B644" s="5">
        <f>IF(A644="","",IFERROR(INDEX('جدول الجرد'!$A$2:$A$28,MATCH(A644,'جدول الجرد'!$B$2:$B$28,0)),""))</f>
        <v/>
      </c>
      <c r="C644" s="5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/>
      </c>
    </row>
    <row r="645">
      <c r="A645" s="4" t="n"/>
      <c r="B645" s="5">
        <f>IF(A645="","",IFERROR(INDEX('جدول الجرد'!$A$2:$A$28,MATCH(A645,'جدول الجرد'!$B$2:$B$28,0)),""))</f>
        <v/>
      </c>
      <c r="C645" s="5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/>
      </c>
    </row>
    <row r="646">
      <c r="A646" s="4" t="n"/>
      <c r="B646" s="5">
        <f>IF(A646="","",IFERROR(INDEX('جدول الجرد'!$A$2:$A$28,MATCH(A646,'جدول الجرد'!$B$2:$B$28,0)),""))</f>
        <v/>
      </c>
      <c r="C646" s="5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/>
      </c>
    </row>
    <row r="647">
      <c r="A647" s="4" t="n"/>
      <c r="B647" s="5">
        <f>IF(A647="","",IFERROR(INDEX('جدول الجرد'!$A$2:$A$28,MATCH(A647,'جدول الجرد'!$B$2:$B$28,0)),""))</f>
        <v/>
      </c>
      <c r="C647" s="5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/>
      </c>
    </row>
    <row r="648">
      <c r="A648" s="4" t="n"/>
      <c r="B648" s="5">
        <f>IF(A648="","",IFERROR(INDEX('جدول الجرد'!$A$2:$A$28,MATCH(A648,'جدول الجرد'!$B$2:$B$28,0)),""))</f>
        <v/>
      </c>
      <c r="C648" s="5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/>
      </c>
    </row>
    <row r="649">
      <c r="A649" s="4" t="n"/>
      <c r="B649" s="5">
        <f>IF(A649="","",IFERROR(INDEX('جدول الجرد'!$A$2:$A$28,MATCH(A649,'جدول الجرد'!$B$2:$B$28,0)),""))</f>
        <v/>
      </c>
      <c r="C649" s="5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/>
      </c>
    </row>
    <row r="650">
      <c r="A650" s="4" t="n"/>
      <c r="B650" s="5">
        <f>IF(A650="","",IFERROR(INDEX('جدول الجرد'!$A$2:$A$28,MATCH(A650,'جدول الجرد'!$B$2:$B$28,0)),""))</f>
        <v/>
      </c>
      <c r="C650" s="5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/>
      </c>
    </row>
    <row r="651">
      <c r="A651" s="4" t="n"/>
      <c r="B651" s="5">
        <f>IF(A651="","",IFERROR(INDEX('جدول الجرد'!$A$2:$A$28,MATCH(A651,'جدول الجرد'!$B$2:$B$28,0)),""))</f>
        <v/>
      </c>
      <c r="C651" s="5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/>
      </c>
    </row>
    <row r="652">
      <c r="A652" s="4" t="n"/>
      <c r="B652" s="5">
        <f>IF(A652="","",IFERROR(INDEX('جدول الجرد'!$A$2:$A$28,MATCH(A652,'جدول الجرد'!$B$2:$B$28,0)),""))</f>
        <v/>
      </c>
      <c r="C652" s="5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/>
      </c>
    </row>
    <row r="653">
      <c r="A653" s="4" t="n"/>
      <c r="B653" s="5">
        <f>IF(A653="","",IFERROR(INDEX('جدول الجرد'!$A$2:$A$28,MATCH(A653,'جدول الجرد'!$B$2:$B$28,0)),""))</f>
        <v/>
      </c>
      <c r="C653" s="5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/>
      </c>
    </row>
    <row r="654">
      <c r="A654" s="4" t="n"/>
      <c r="B654" s="5">
        <f>IF(A654="","",IFERROR(INDEX('جدول الجرد'!$A$2:$A$28,MATCH(A654,'جدول الجرد'!$B$2:$B$28,0)),""))</f>
        <v/>
      </c>
      <c r="C654" s="5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/>
      </c>
    </row>
    <row r="655">
      <c r="A655" s="4" t="n"/>
      <c r="B655" s="5">
        <f>IF(A655="","",IFERROR(INDEX('جدول الجرد'!$A$2:$A$28,MATCH(A655,'جدول الجرد'!$B$2:$B$28,0)),""))</f>
        <v/>
      </c>
      <c r="C655" s="5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/>
      </c>
    </row>
    <row r="656">
      <c r="A656" s="4" t="n"/>
      <c r="B656" s="5">
        <f>IF(A656="","",IFERROR(INDEX('جدول الجرد'!$A$2:$A$28,MATCH(A656,'جدول الجرد'!$B$2:$B$28,0)),""))</f>
        <v/>
      </c>
      <c r="C656" s="5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/>
      </c>
    </row>
    <row r="657">
      <c r="A657" s="4" t="n"/>
      <c r="B657" s="5">
        <f>IF(A657="","",IFERROR(INDEX('جدول الجرد'!$A$2:$A$28,MATCH(A657,'جدول الجرد'!$B$2:$B$28,0)),""))</f>
        <v/>
      </c>
      <c r="C657" s="5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/>
      </c>
    </row>
    <row r="658">
      <c r="A658" s="4" t="n"/>
      <c r="B658" s="5">
        <f>IF(A658="","",IFERROR(INDEX('جدول الجرد'!$A$2:$A$28,MATCH(A658,'جدول الجرد'!$B$2:$B$28,0)),""))</f>
        <v/>
      </c>
      <c r="C658" s="5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/>
      </c>
    </row>
    <row r="659">
      <c r="A659" s="4" t="n"/>
      <c r="B659" s="5">
        <f>IF(A659="","",IFERROR(INDEX('جدول الجرد'!$A$2:$A$28,MATCH(A659,'جدول الجرد'!$B$2:$B$28,0)),""))</f>
        <v/>
      </c>
      <c r="C659" s="5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/>
      </c>
    </row>
    <row r="660">
      <c r="A660" s="4" t="n"/>
      <c r="B660" s="5">
        <f>IF(A660="","",IFERROR(INDEX('جدول الجرد'!$A$2:$A$28,MATCH(A660,'جدول الجرد'!$B$2:$B$28,0)),""))</f>
        <v/>
      </c>
      <c r="C660" s="5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/>
      </c>
    </row>
    <row r="661">
      <c r="A661" s="4" t="n"/>
      <c r="B661" s="5">
        <f>IF(A661="","",IFERROR(INDEX('جدول الجرد'!$A$2:$A$28,MATCH(A661,'جدول الجرد'!$B$2:$B$28,0)),""))</f>
        <v/>
      </c>
      <c r="C661" s="5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/>
      </c>
    </row>
    <row r="662">
      <c r="A662" s="4" t="n"/>
      <c r="B662" s="5">
        <f>IF(A662="","",IFERROR(INDEX('جدول الجرد'!$A$2:$A$28,MATCH(A662,'جدول الجرد'!$B$2:$B$28,0)),""))</f>
        <v/>
      </c>
      <c r="C662" s="5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/>
      </c>
    </row>
    <row r="663">
      <c r="A663" s="4" t="n"/>
      <c r="B663" s="5">
        <f>IF(A663="","",IFERROR(INDEX('جدول الجرد'!$A$2:$A$28,MATCH(A663,'جدول الجرد'!$B$2:$B$28,0)),""))</f>
        <v/>
      </c>
      <c r="C663" s="5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/>
      </c>
    </row>
    <row r="664">
      <c r="A664" s="4" t="n"/>
      <c r="B664" s="5">
        <f>IF(A664="","",IFERROR(INDEX('جدول الجرد'!$A$2:$A$28,MATCH(A664,'جدول الجرد'!$B$2:$B$28,0)),""))</f>
        <v/>
      </c>
      <c r="C664" s="5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/>
      </c>
    </row>
    <row r="665">
      <c r="A665" s="4" t="n"/>
      <c r="B665" s="5">
        <f>IF(A665="","",IFERROR(INDEX('جدول الجرد'!$A$2:$A$28,MATCH(A665,'جدول الجرد'!$B$2:$B$28,0)),""))</f>
        <v/>
      </c>
      <c r="C665" s="5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/>
      </c>
    </row>
    <row r="666">
      <c r="A666" s="4" t="n"/>
      <c r="B666" s="5">
        <f>IF(A666="","",IFERROR(INDEX('جدول الجرد'!$A$2:$A$28,MATCH(A666,'جدول الجرد'!$B$2:$B$28,0)),""))</f>
        <v/>
      </c>
      <c r="C666" s="5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/>
      </c>
    </row>
    <row r="667">
      <c r="A667" s="4" t="n"/>
      <c r="B667" s="5">
        <f>IF(A667="","",IFERROR(INDEX('جدول الجرد'!$A$2:$A$28,MATCH(A667,'جدول الجرد'!$B$2:$B$28,0)),""))</f>
        <v/>
      </c>
      <c r="C667" s="5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/>
      </c>
    </row>
    <row r="668">
      <c r="A668" s="4" t="n"/>
      <c r="B668" s="5">
        <f>IF(A668="","",IFERROR(INDEX('جدول الجرد'!$A$2:$A$28,MATCH(A668,'جدول الجرد'!$B$2:$B$28,0)),""))</f>
        <v/>
      </c>
      <c r="C668" s="5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/>
      </c>
    </row>
    <row r="669">
      <c r="A669" s="4" t="n"/>
      <c r="B669" s="5">
        <f>IF(A669="","",IFERROR(INDEX('جدول الجرد'!$A$2:$A$28,MATCH(A669,'جدول الجرد'!$B$2:$B$28,0)),""))</f>
        <v/>
      </c>
      <c r="C669" s="5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/>
      </c>
    </row>
    <row r="670">
      <c r="A670" s="4" t="n"/>
      <c r="B670" s="5">
        <f>IF(A670="","",IFERROR(INDEX('جدول الجرد'!$A$2:$A$28,MATCH(A670,'جدول الجرد'!$B$2:$B$28,0)),""))</f>
        <v/>
      </c>
      <c r="C670" s="5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/>
      </c>
    </row>
    <row r="671">
      <c r="A671" s="4" t="n"/>
      <c r="B671" s="5">
        <f>IF(A671="","",IFERROR(INDEX('جدول الجرد'!$A$2:$A$28,MATCH(A671,'جدول الجرد'!$B$2:$B$28,0)),""))</f>
        <v/>
      </c>
      <c r="C671" s="5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/>
      </c>
    </row>
    <row r="672">
      <c r="A672" s="4" t="n"/>
      <c r="B672" s="5">
        <f>IF(A672="","",IFERROR(INDEX('جدول الجرد'!$A$2:$A$28,MATCH(A672,'جدول الجرد'!$B$2:$B$28,0)),""))</f>
        <v/>
      </c>
      <c r="C672" s="5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/>
      </c>
    </row>
    <row r="673">
      <c r="A673" s="4" t="n"/>
      <c r="B673" s="5">
        <f>IF(A673="","",IFERROR(INDEX('جدول الجرد'!$A$2:$A$28,MATCH(A673,'جدول الجرد'!$B$2:$B$28,0)),""))</f>
        <v/>
      </c>
      <c r="C673" s="5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/>
      </c>
    </row>
    <row r="674">
      <c r="A674" s="4" t="n"/>
      <c r="B674" s="5">
        <f>IF(A674="","",IFERROR(INDEX('جدول الجرد'!$A$2:$A$28,MATCH(A674,'جدول الجرد'!$B$2:$B$28,0)),""))</f>
        <v/>
      </c>
      <c r="C674" s="5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/>
      </c>
    </row>
    <row r="675">
      <c r="A675" s="4" t="n"/>
      <c r="B675" s="5">
        <f>IF(A675="","",IFERROR(INDEX('جدول الجرد'!$A$2:$A$28,MATCH(A675,'جدول الجرد'!$B$2:$B$28,0)),""))</f>
        <v/>
      </c>
      <c r="C675" s="5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/>
      </c>
    </row>
    <row r="676">
      <c r="A676" s="4" t="n"/>
      <c r="B676" s="5">
        <f>IF(A676="","",IFERROR(INDEX('جدول الجرد'!$A$2:$A$28,MATCH(A676,'جدول الجرد'!$B$2:$B$28,0)),""))</f>
        <v/>
      </c>
      <c r="C676" s="5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/>
      </c>
    </row>
    <row r="677">
      <c r="A677" s="4" t="n"/>
      <c r="B677" s="5">
        <f>IF(A677="","",IFERROR(INDEX('جدول الجرد'!$A$2:$A$28,MATCH(A677,'جدول الجرد'!$B$2:$B$28,0)),""))</f>
        <v/>
      </c>
      <c r="C677" s="5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/>
      </c>
    </row>
    <row r="678">
      <c r="A678" s="4" t="n"/>
      <c r="B678" s="5">
        <f>IF(A678="","",IFERROR(INDEX('جدول الجرد'!$A$2:$A$28,MATCH(A678,'جدول الجرد'!$B$2:$B$28,0)),""))</f>
        <v/>
      </c>
      <c r="C678" s="5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/>
      </c>
    </row>
    <row r="679">
      <c r="A679" s="4" t="n"/>
      <c r="B679" s="5">
        <f>IF(A679="","",IFERROR(INDEX('جدول الجرد'!$A$2:$A$28,MATCH(A679,'جدول الجرد'!$B$2:$B$28,0)),""))</f>
        <v/>
      </c>
      <c r="C679" s="5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/>
      </c>
    </row>
    <row r="680">
      <c r="A680" s="4" t="n"/>
      <c r="B680" s="5">
        <f>IF(A680="","",IFERROR(INDEX('جدول الجرد'!$A$2:$A$28,MATCH(A680,'جدول الجرد'!$B$2:$B$28,0)),""))</f>
        <v/>
      </c>
      <c r="C680" s="5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/>
      </c>
    </row>
    <row r="681">
      <c r="A681" s="4" t="n"/>
      <c r="B681" s="5">
        <f>IF(A681="","",IFERROR(INDEX('جدول الجرد'!$A$2:$A$28,MATCH(A681,'جدول الجرد'!$B$2:$B$28,0)),""))</f>
        <v/>
      </c>
      <c r="C681" s="5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/>
      </c>
    </row>
    <row r="682">
      <c r="A682" s="4" t="n"/>
      <c r="B682" s="5">
        <f>IF(A682="","",IFERROR(INDEX('جدول الجرد'!$A$2:$A$28,MATCH(A682,'جدول الجرد'!$B$2:$B$28,0)),""))</f>
        <v/>
      </c>
      <c r="C682" s="5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/>
      </c>
    </row>
    <row r="683">
      <c r="A683" s="4" t="n"/>
      <c r="B683" s="5">
        <f>IF(A683="","",IFERROR(INDEX('جدول الجرد'!$A$2:$A$28,MATCH(A683,'جدول الجرد'!$B$2:$B$28,0)),""))</f>
        <v/>
      </c>
      <c r="C683" s="5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/>
      </c>
    </row>
    <row r="684">
      <c r="A684" s="4" t="n"/>
      <c r="B684" s="5">
        <f>IF(A684="","",IFERROR(INDEX('جدول الجرد'!$A$2:$A$28,MATCH(A684,'جدول الجرد'!$B$2:$B$28,0)),""))</f>
        <v/>
      </c>
      <c r="C684" s="5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/>
      </c>
    </row>
    <row r="685">
      <c r="A685" s="4" t="n"/>
      <c r="B685" s="5">
        <f>IF(A685="","",IFERROR(INDEX('جدول الجرد'!$A$2:$A$28,MATCH(A685,'جدول الجرد'!$B$2:$B$28,0)),""))</f>
        <v/>
      </c>
      <c r="C685" s="5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/>
      </c>
    </row>
    <row r="686">
      <c r="A686" s="4" t="n"/>
      <c r="B686" s="5">
        <f>IF(A686="","",IFERROR(INDEX('جدول الجرد'!$A$2:$A$28,MATCH(A686,'جدول الجرد'!$B$2:$B$28,0)),""))</f>
        <v/>
      </c>
      <c r="C686" s="5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/>
      </c>
    </row>
    <row r="687">
      <c r="A687" s="4" t="n"/>
      <c r="B687" s="5">
        <f>IF(A687="","",IFERROR(INDEX('جدول الجرد'!$A$2:$A$28,MATCH(A687,'جدول الجرد'!$B$2:$B$28,0)),""))</f>
        <v/>
      </c>
      <c r="C687" s="5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/>
      </c>
    </row>
    <row r="688">
      <c r="A688" s="4" t="n"/>
      <c r="B688" s="5">
        <f>IF(A688="","",IFERROR(INDEX('جدول الجرد'!$A$2:$A$28,MATCH(A688,'جدول الجرد'!$B$2:$B$28,0)),""))</f>
        <v/>
      </c>
      <c r="C688" s="5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/>
      </c>
    </row>
    <row r="689">
      <c r="A689" s="4" t="n"/>
      <c r="B689" s="5">
        <f>IF(A689="","",IFERROR(INDEX('جدول الجرد'!$A$2:$A$28,MATCH(A689,'جدول الجرد'!$B$2:$B$28,0)),""))</f>
        <v/>
      </c>
      <c r="C689" s="5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/>
      </c>
    </row>
    <row r="690">
      <c r="A690" s="4" t="n"/>
      <c r="B690" s="5">
        <f>IF(A690="","",IFERROR(INDEX('جدول الجرد'!$A$2:$A$28,MATCH(A690,'جدول الجرد'!$B$2:$B$28,0)),""))</f>
        <v/>
      </c>
      <c r="C690" s="5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/>
      </c>
    </row>
    <row r="691">
      <c r="A691" s="4" t="n"/>
      <c r="B691" s="5">
        <f>IF(A691="","",IFERROR(INDEX('جدول الجرد'!$A$2:$A$28,MATCH(A691,'جدول الجرد'!$B$2:$B$28,0)),""))</f>
        <v/>
      </c>
      <c r="C691" s="5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/>
      </c>
    </row>
    <row r="692">
      <c r="A692" s="4" t="n"/>
      <c r="B692" s="5">
        <f>IF(A692="","",IFERROR(INDEX('جدول الجرد'!$A$2:$A$28,MATCH(A692,'جدول الجرد'!$B$2:$B$28,0)),""))</f>
        <v/>
      </c>
      <c r="C692" s="5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/>
      </c>
    </row>
    <row r="693">
      <c r="A693" s="4" t="n"/>
      <c r="B693" s="5">
        <f>IF(A693="","",IFERROR(INDEX('جدول الجرد'!$A$2:$A$28,MATCH(A693,'جدول الجرد'!$B$2:$B$28,0)),""))</f>
        <v/>
      </c>
      <c r="C693" s="5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/>
      </c>
    </row>
    <row r="694">
      <c r="A694" s="4" t="n"/>
      <c r="B694" s="5">
        <f>IF(A694="","",IFERROR(INDEX('جدول الجرد'!$A$2:$A$28,MATCH(A694,'جدول الجرد'!$B$2:$B$28,0)),""))</f>
        <v/>
      </c>
      <c r="C694" s="5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/>
      </c>
    </row>
    <row r="695">
      <c r="A695" s="4" t="n"/>
      <c r="B695" s="5">
        <f>IF(A695="","",IFERROR(INDEX('جدول الجرد'!$A$2:$A$28,MATCH(A695,'جدول الجرد'!$B$2:$B$28,0)),""))</f>
        <v/>
      </c>
      <c r="C695" s="5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/>
      </c>
    </row>
    <row r="696">
      <c r="A696" s="4" t="n"/>
      <c r="B696" s="5">
        <f>IF(A696="","",IFERROR(INDEX('جدول الجرد'!$A$2:$A$28,MATCH(A696,'جدول الجرد'!$B$2:$B$28,0)),""))</f>
        <v/>
      </c>
      <c r="C696" s="5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/>
      </c>
    </row>
    <row r="697">
      <c r="A697" s="4" t="n"/>
      <c r="B697" s="5">
        <f>IF(A697="","",IFERROR(INDEX('جدول الجرد'!$A$2:$A$28,MATCH(A697,'جدول الجرد'!$B$2:$B$28,0)),""))</f>
        <v/>
      </c>
      <c r="C697" s="5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/>
      </c>
    </row>
    <row r="698">
      <c r="A698" s="4" t="n"/>
      <c r="B698" s="5">
        <f>IF(A698="","",IFERROR(INDEX('جدول الجرد'!$A$2:$A$28,MATCH(A698,'جدول الجرد'!$B$2:$B$28,0)),""))</f>
        <v/>
      </c>
      <c r="C698" s="5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/>
      </c>
    </row>
    <row r="699">
      <c r="A699" s="4" t="n"/>
      <c r="B699" s="5">
        <f>IF(A699="","",IFERROR(INDEX('جدول الجرد'!$A$2:$A$28,MATCH(A699,'جدول الجرد'!$B$2:$B$28,0)),""))</f>
        <v/>
      </c>
      <c r="C699" s="5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/>
      </c>
    </row>
    <row r="700">
      <c r="A700" s="4" t="n"/>
      <c r="B700" s="5">
        <f>IF(A700="","",IFERROR(INDEX('جدول الجرد'!$A$2:$A$28,MATCH(A700,'جدول الجرد'!$B$2:$B$28,0)),""))</f>
        <v/>
      </c>
      <c r="C700" s="5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/>
      </c>
    </row>
    <row r="701">
      <c r="A701" s="4" t="n"/>
      <c r="B701" s="5">
        <f>IF(A701="","",IFERROR(INDEX('جدول الجرد'!$A$2:$A$28,MATCH(A701,'جدول الجرد'!$B$2:$B$28,0)),""))</f>
        <v/>
      </c>
      <c r="C701" s="5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/>
      </c>
    </row>
    <row r="702">
      <c r="A702" s="4" t="n"/>
      <c r="B702" s="5">
        <f>IF(A702="","",IFERROR(INDEX('جدول الجرد'!$A$2:$A$28,MATCH(A702,'جدول الجرد'!$B$2:$B$28,0)),""))</f>
        <v/>
      </c>
      <c r="C702" s="5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/>
      </c>
    </row>
    <row r="703">
      <c r="A703" s="4" t="n"/>
      <c r="B703" s="5">
        <f>IF(A703="","",IFERROR(INDEX('جدول الجرد'!$A$2:$A$28,MATCH(A703,'جدول الجرد'!$B$2:$B$28,0)),""))</f>
        <v/>
      </c>
      <c r="C703" s="5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/>
      </c>
    </row>
    <row r="704">
      <c r="A704" s="4" t="n"/>
      <c r="B704" s="5">
        <f>IF(A704="","",IFERROR(INDEX('جدول الجرد'!$A$2:$A$28,MATCH(A704,'جدول الجرد'!$B$2:$B$28,0)),""))</f>
        <v/>
      </c>
      <c r="C704" s="5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/>
      </c>
    </row>
    <row r="705">
      <c r="A705" s="4" t="n"/>
      <c r="B705" s="5">
        <f>IF(A705="","",IFERROR(INDEX('جدول الجرد'!$A$2:$A$28,MATCH(A705,'جدول الجرد'!$B$2:$B$28,0)),""))</f>
        <v/>
      </c>
      <c r="C705" s="5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/>
      </c>
    </row>
    <row r="706">
      <c r="A706" s="4" t="n"/>
      <c r="B706" s="5">
        <f>IF(A706="","",IFERROR(INDEX('جدول الجرد'!$A$2:$A$28,MATCH(A706,'جدول الجرد'!$B$2:$B$28,0)),""))</f>
        <v/>
      </c>
      <c r="C706" s="5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/>
      </c>
    </row>
    <row r="707">
      <c r="A707" s="4" t="n"/>
      <c r="B707" s="5">
        <f>IF(A707="","",IFERROR(INDEX('جدول الجرد'!$A$2:$A$28,MATCH(A707,'جدول الجرد'!$B$2:$B$28,0)),""))</f>
        <v/>
      </c>
      <c r="C707" s="5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/>
      </c>
    </row>
    <row r="708">
      <c r="A708" s="4" t="n"/>
      <c r="B708" s="5">
        <f>IF(A708="","",IFERROR(INDEX('جدول الجرد'!$A$2:$A$28,MATCH(A708,'جدول الجرد'!$B$2:$B$28,0)),""))</f>
        <v/>
      </c>
      <c r="C708" s="5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/>
      </c>
    </row>
    <row r="709">
      <c r="A709" s="4" t="n"/>
      <c r="B709" s="5">
        <f>IF(A709="","",IFERROR(INDEX('جدول الجرد'!$A$2:$A$28,MATCH(A709,'جدول الجرد'!$B$2:$B$28,0)),""))</f>
        <v/>
      </c>
      <c r="C709" s="5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/>
      </c>
    </row>
    <row r="710">
      <c r="A710" s="4" t="n"/>
      <c r="B710" s="5">
        <f>IF(A710="","",IFERROR(INDEX('جدول الجرد'!$A$2:$A$28,MATCH(A710,'جدول الجرد'!$B$2:$B$28,0)),""))</f>
        <v/>
      </c>
      <c r="C710" s="5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/>
      </c>
    </row>
    <row r="711">
      <c r="A711" s="4" t="n"/>
      <c r="B711" s="5">
        <f>IF(A711="","",IFERROR(INDEX('جدول الجرد'!$A$2:$A$28,MATCH(A711,'جدول الجرد'!$B$2:$B$28,0)),""))</f>
        <v/>
      </c>
      <c r="C711" s="5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/>
      </c>
    </row>
    <row r="712">
      <c r="A712" s="4" t="n"/>
      <c r="B712" s="5">
        <f>IF(A712="","",IFERROR(INDEX('جدول الجرد'!$A$2:$A$28,MATCH(A712,'جدول الجرد'!$B$2:$B$28,0)),""))</f>
        <v/>
      </c>
      <c r="C712" s="5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/>
      </c>
    </row>
    <row r="713">
      <c r="A713" s="4" t="n"/>
      <c r="B713" s="5">
        <f>IF(A713="","",IFERROR(INDEX('جدول الجرد'!$A$2:$A$28,MATCH(A713,'جدول الجرد'!$B$2:$B$28,0)),""))</f>
        <v/>
      </c>
      <c r="C713" s="5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/>
      </c>
    </row>
    <row r="714">
      <c r="A714" s="4" t="n"/>
      <c r="B714" s="5">
        <f>IF(A714="","",IFERROR(INDEX('جدول الجرد'!$A$2:$A$28,MATCH(A714,'جدول الجرد'!$B$2:$B$28,0)),""))</f>
        <v/>
      </c>
      <c r="C714" s="5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/>
      </c>
    </row>
    <row r="715">
      <c r="A715" s="4" t="n"/>
      <c r="B715" s="5">
        <f>IF(A715="","",IFERROR(INDEX('جدول الجرد'!$A$2:$A$28,MATCH(A715,'جدول الجرد'!$B$2:$B$28,0)),""))</f>
        <v/>
      </c>
      <c r="C715" s="5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/>
      </c>
    </row>
    <row r="716">
      <c r="A716" s="4" t="n"/>
      <c r="B716" s="5">
        <f>IF(A716="","",IFERROR(INDEX('جدول الجرد'!$A$2:$A$28,MATCH(A716,'جدول الجرد'!$B$2:$B$28,0)),""))</f>
        <v/>
      </c>
      <c r="C716" s="5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/>
      </c>
    </row>
    <row r="717">
      <c r="A717" s="4" t="n"/>
      <c r="B717" s="5">
        <f>IF(A717="","",IFERROR(INDEX('جدول الجرد'!$A$2:$A$28,MATCH(A717,'جدول الجرد'!$B$2:$B$28,0)),""))</f>
        <v/>
      </c>
      <c r="C717" s="5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/>
      </c>
    </row>
    <row r="718">
      <c r="A718" s="4" t="n"/>
      <c r="B718" s="5">
        <f>IF(A718="","",IFERROR(INDEX('جدول الجرد'!$A$2:$A$28,MATCH(A718,'جدول الجرد'!$B$2:$B$28,0)),""))</f>
        <v/>
      </c>
      <c r="C718" s="5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/>
      </c>
    </row>
    <row r="719">
      <c r="A719" s="4" t="n"/>
      <c r="B719" s="5">
        <f>IF(A719="","",IFERROR(INDEX('جدول الجرد'!$A$2:$A$28,MATCH(A719,'جدول الجرد'!$B$2:$B$28,0)),""))</f>
        <v/>
      </c>
      <c r="C719" s="5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/>
      </c>
    </row>
    <row r="720">
      <c r="A720" s="4" t="n"/>
      <c r="B720" s="5">
        <f>IF(A720="","",IFERROR(INDEX('جدول الجرد'!$A$2:$A$28,MATCH(A720,'جدول الجرد'!$B$2:$B$28,0)),""))</f>
        <v/>
      </c>
      <c r="C720" s="5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/>
      </c>
    </row>
    <row r="721">
      <c r="A721" s="4" t="n"/>
      <c r="B721" s="5">
        <f>IF(A721="","",IFERROR(INDEX('جدول الجرد'!$A$2:$A$28,MATCH(A721,'جدول الجرد'!$B$2:$B$28,0)),""))</f>
        <v/>
      </c>
      <c r="C721" s="5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/>
      </c>
    </row>
    <row r="722">
      <c r="A722" s="4" t="n"/>
      <c r="B722" s="5">
        <f>IF(A722="","",IFERROR(INDEX('جدول الجرد'!$A$2:$A$28,MATCH(A722,'جدول الجرد'!$B$2:$B$28,0)),""))</f>
        <v/>
      </c>
      <c r="C722" s="5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/>
      </c>
    </row>
    <row r="723">
      <c r="A723" s="4" t="n"/>
      <c r="B723" s="5">
        <f>IF(A723="","",IFERROR(INDEX('جدول الجرد'!$A$2:$A$28,MATCH(A723,'جدول الجرد'!$B$2:$B$28,0)),""))</f>
        <v/>
      </c>
      <c r="C723" s="5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/>
      </c>
    </row>
    <row r="724">
      <c r="A724" s="4" t="n"/>
      <c r="B724" s="5">
        <f>IF(A724="","",IFERROR(INDEX('جدول الجرد'!$A$2:$A$28,MATCH(A724,'جدول الجرد'!$B$2:$B$28,0)),""))</f>
        <v/>
      </c>
      <c r="C724" s="5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/>
      </c>
    </row>
    <row r="725">
      <c r="A725" s="4" t="n"/>
      <c r="B725" s="5">
        <f>IF(A725="","",IFERROR(INDEX('جدول الجرد'!$A$2:$A$28,MATCH(A725,'جدول الجرد'!$B$2:$B$28,0)),""))</f>
        <v/>
      </c>
      <c r="C725" s="5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/>
      </c>
    </row>
    <row r="726">
      <c r="A726" s="4" t="n"/>
      <c r="B726" s="5">
        <f>IF(A726="","",IFERROR(INDEX('جدول الجرد'!$A$2:$A$28,MATCH(A726,'جدول الجرد'!$B$2:$B$28,0)),""))</f>
        <v/>
      </c>
      <c r="C726" s="5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/>
      </c>
    </row>
    <row r="727">
      <c r="A727" s="4" t="n"/>
      <c r="B727" s="5">
        <f>IF(A727="","",IFERROR(INDEX('جدول الجرد'!$A$2:$A$28,MATCH(A727,'جدول الجرد'!$B$2:$B$28,0)),""))</f>
        <v/>
      </c>
      <c r="C727" s="5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/>
      </c>
    </row>
    <row r="728">
      <c r="A728" s="4" t="n"/>
      <c r="B728" s="5">
        <f>IF(A728="","",IFERROR(INDEX('جدول الجرد'!$A$2:$A$28,MATCH(A728,'جدول الجرد'!$B$2:$B$28,0)),""))</f>
        <v/>
      </c>
      <c r="C728" s="5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/>
      </c>
    </row>
    <row r="729">
      <c r="A729" s="4" t="n"/>
      <c r="B729" s="5">
        <f>IF(A729="","",IFERROR(INDEX('جدول الجرد'!$A$2:$A$28,MATCH(A729,'جدول الجرد'!$B$2:$B$28,0)),""))</f>
        <v/>
      </c>
      <c r="C729" s="5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/>
      </c>
    </row>
    <row r="730">
      <c r="A730" s="4" t="n"/>
      <c r="B730" s="5">
        <f>IF(A730="","",IFERROR(INDEX('جدول الجرد'!$A$2:$A$28,MATCH(A730,'جدول الجرد'!$B$2:$B$28,0)),""))</f>
        <v/>
      </c>
      <c r="C730" s="5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/>
      </c>
    </row>
    <row r="731">
      <c r="A731" s="4" t="n"/>
      <c r="B731" s="5">
        <f>IF(A731="","",IFERROR(INDEX('جدول الجرد'!$A$2:$A$28,MATCH(A731,'جدول الجرد'!$B$2:$B$28,0)),""))</f>
        <v/>
      </c>
      <c r="C731" s="5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/>
      </c>
    </row>
    <row r="732">
      <c r="A732" s="4" t="n"/>
      <c r="B732" s="5">
        <f>IF(A732="","",IFERROR(INDEX('جدول الجرد'!$A$2:$A$28,MATCH(A732,'جدول الجرد'!$B$2:$B$28,0)),""))</f>
        <v/>
      </c>
      <c r="C732" s="5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/>
      </c>
    </row>
    <row r="733">
      <c r="A733" s="4" t="n"/>
      <c r="B733" s="5">
        <f>IF(A733="","",IFERROR(INDEX('جدول الجرد'!$A$2:$A$28,MATCH(A733,'جدول الجرد'!$B$2:$B$28,0)),""))</f>
        <v/>
      </c>
      <c r="C733" s="5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/>
      </c>
    </row>
    <row r="734">
      <c r="A734" s="4" t="n"/>
      <c r="B734" s="5">
        <f>IF(A734="","",IFERROR(INDEX('جدول الجرد'!$A$2:$A$28,MATCH(A734,'جدول الجرد'!$B$2:$B$28,0)),""))</f>
        <v/>
      </c>
      <c r="C734" s="5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/>
      </c>
    </row>
    <row r="735">
      <c r="A735" s="4" t="n"/>
      <c r="B735" s="5">
        <f>IF(A735="","",IFERROR(INDEX('جدول الجرد'!$A$2:$A$28,MATCH(A735,'جدول الجرد'!$B$2:$B$28,0)),""))</f>
        <v/>
      </c>
      <c r="C735" s="5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/>
      </c>
    </row>
    <row r="736">
      <c r="A736" s="4" t="n"/>
      <c r="B736" s="5">
        <f>IF(A736="","",IFERROR(INDEX('جدول الجرد'!$A$2:$A$28,MATCH(A736,'جدول الجرد'!$B$2:$B$28,0)),""))</f>
        <v/>
      </c>
      <c r="C736" s="5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/>
      </c>
    </row>
    <row r="737">
      <c r="A737" s="4" t="n"/>
      <c r="B737" s="5">
        <f>IF(A737="","",IFERROR(INDEX('جدول الجرد'!$A$2:$A$28,MATCH(A737,'جدول الجرد'!$B$2:$B$28,0)),""))</f>
        <v/>
      </c>
      <c r="C737" s="5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/>
      </c>
    </row>
    <row r="738">
      <c r="A738" s="4" t="n"/>
      <c r="B738" s="5">
        <f>IF(A738="","",IFERROR(INDEX('جدول الجرد'!$A$2:$A$28,MATCH(A738,'جدول الجرد'!$B$2:$B$28,0)),""))</f>
        <v/>
      </c>
      <c r="C738" s="5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/>
      </c>
    </row>
    <row r="739">
      <c r="A739" s="4" t="n"/>
      <c r="B739" s="5">
        <f>IF(A739="","",IFERROR(INDEX('جدول الجرد'!$A$2:$A$28,MATCH(A739,'جدول الجرد'!$B$2:$B$28,0)),""))</f>
        <v/>
      </c>
      <c r="C739" s="5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/>
      </c>
    </row>
    <row r="740">
      <c r="A740" s="4" t="n"/>
      <c r="B740" s="5">
        <f>IF(A740="","",IFERROR(INDEX('جدول الجرد'!$A$2:$A$28,MATCH(A740,'جدول الجرد'!$B$2:$B$28,0)),""))</f>
        <v/>
      </c>
      <c r="C740" s="5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/>
      </c>
    </row>
    <row r="741">
      <c r="A741" s="4" t="n"/>
      <c r="B741" s="5">
        <f>IF(A741="","",IFERROR(INDEX('جدول الجرد'!$A$2:$A$28,MATCH(A741,'جدول الجرد'!$B$2:$B$28,0)),""))</f>
        <v/>
      </c>
      <c r="C741" s="5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/>
      </c>
    </row>
    <row r="742">
      <c r="A742" s="4" t="n"/>
      <c r="B742" s="5">
        <f>IF(A742="","",IFERROR(INDEX('جدول الجرد'!$A$2:$A$28,MATCH(A742,'جدول الجرد'!$B$2:$B$28,0)),""))</f>
        <v/>
      </c>
      <c r="C742" s="5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/>
      </c>
    </row>
    <row r="743">
      <c r="A743" s="4" t="n"/>
      <c r="B743" s="5">
        <f>IF(A743="","",IFERROR(INDEX('جدول الجرد'!$A$2:$A$28,MATCH(A743,'جدول الجرد'!$B$2:$B$28,0)),""))</f>
        <v/>
      </c>
      <c r="C743" s="5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/>
      </c>
    </row>
    <row r="744">
      <c r="A744" s="4" t="n"/>
      <c r="B744" s="5">
        <f>IF(A744="","",IFERROR(INDEX('جدول الجرد'!$A$2:$A$28,MATCH(A744,'جدول الجرد'!$B$2:$B$28,0)),""))</f>
        <v/>
      </c>
      <c r="C744" s="5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/>
      </c>
    </row>
    <row r="745">
      <c r="A745" s="4" t="n"/>
      <c r="B745" s="5">
        <f>IF(A745="","",IFERROR(INDEX('جدول الجرد'!$A$2:$A$28,MATCH(A745,'جدول الجرد'!$B$2:$B$28,0)),""))</f>
        <v/>
      </c>
      <c r="C745" s="5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/>
      </c>
    </row>
    <row r="746">
      <c r="A746" s="4" t="n"/>
      <c r="B746" s="5">
        <f>IF(A746="","",IFERROR(INDEX('جدول الجرد'!$A$2:$A$28,MATCH(A746,'جدول الجرد'!$B$2:$B$28,0)),""))</f>
        <v/>
      </c>
      <c r="C746" s="5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/>
      </c>
    </row>
    <row r="747">
      <c r="A747" s="4" t="n"/>
      <c r="B747" s="5">
        <f>IF(A747="","",IFERROR(INDEX('جدول الجرد'!$A$2:$A$28,MATCH(A747,'جدول الجرد'!$B$2:$B$28,0)),""))</f>
        <v/>
      </c>
      <c r="C747" s="5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/>
      </c>
    </row>
    <row r="748">
      <c r="A748" s="4" t="n"/>
      <c r="B748" s="5">
        <f>IF(A748="","",IFERROR(INDEX('جدول الجرد'!$A$2:$A$28,MATCH(A748,'جدول الجرد'!$B$2:$B$28,0)),""))</f>
        <v/>
      </c>
      <c r="C748" s="5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/>
      </c>
    </row>
    <row r="749">
      <c r="A749" s="4" t="n"/>
      <c r="B749" s="5">
        <f>IF(A749="","",IFERROR(INDEX('جدول الجرد'!$A$2:$A$28,MATCH(A749,'جدول الجرد'!$B$2:$B$28,0)),""))</f>
        <v/>
      </c>
      <c r="C749" s="5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/>
      </c>
    </row>
    <row r="750">
      <c r="A750" s="4" t="n"/>
      <c r="B750" s="5">
        <f>IF(A750="","",IFERROR(INDEX('جدول الجرد'!$A$2:$A$28,MATCH(A750,'جدول الجرد'!$B$2:$B$28,0)),""))</f>
        <v/>
      </c>
      <c r="C750" s="5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/>
      </c>
    </row>
    <row r="751">
      <c r="A751" s="4" t="n"/>
      <c r="B751" s="5">
        <f>IF(A751="","",IFERROR(INDEX('جدول الجرد'!$A$2:$A$28,MATCH(A751,'جدول الجرد'!$B$2:$B$28,0)),""))</f>
        <v/>
      </c>
      <c r="C751" s="5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/>
      </c>
    </row>
    <row r="752">
      <c r="A752" s="4" t="n"/>
      <c r="B752" s="5">
        <f>IF(A752="","",IFERROR(INDEX('جدول الجرد'!$A$2:$A$28,MATCH(A752,'جدول الجرد'!$B$2:$B$28,0)),""))</f>
        <v/>
      </c>
      <c r="C752" s="5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/>
      </c>
    </row>
    <row r="753">
      <c r="A753" s="4" t="n"/>
      <c r="B753" s="5">
        <f>IF(A753="","",IFERROR(INDEX('جدول الجرد'!$A$2:$A$28,MATCH(A753,'جدول الجرد'!$B$2:$B$28,0)),""))</f>
        <v/>
      </c>
      <c r="C753" s="5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/>
      </c>
    </row>
    <row r="754">
      <c r="A754" s="4" t="n"/>
      <c r="B754" s="5">
        <f>IF(A754="","",IFERROR(INDEX('جدول الجرد'!$A$2:$A$28,MATCH(A754,'جدول الجرد'!$B$2:$B$28,0)),""))</f>
        <v/>
      </c>
      <c r="C754" s="5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/>
      </c>
    </row>
    <row r="755">
      <c r="A755" s="4" t="n"/>
      <c r="B755" s="5">
        <f>IF(A755="","",IFERROR(INDEX('جدول الجرد'!$A$2:$A$28,MATCH(A755,'جدول الجرد'!$B$2:$B$28,0)),""))</f>
        <v/>
      </c>
      <c r="C755" s="5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/>
      </c>
    </row>
    <row r="756">
      <c r="A756" s="4" t="n"/>
      <c r="B756" s="5">
        <f>IF(A756="","",IFERROR(INDEX('جدول الجرد'!$A$2:$A$28,MATCH(A756,'جدول الجرد'!$B$2:$B$28,0)),""))</f>
        <v/>
      </c>
      <c r="C756" s="5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/>
      </c>
    </row>
    <row r="757">
      <c r="A757" s="4" t="n"/>
      <c r="B757" s="5">
        <f>IF(A757="","",IFERROR(INDEX('جدول الجرد'!$A$2:$A$28,MATCH(A757,'جدول الجرد'!$B$2:$B$28,0)),""))</f>
        <v/>
      </c>
      <c r="C757" s="5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/>
      </c>
    </row>
    <row r="758">
      <c r="A758" s="4" t="n"/>
      <c r="B758" s="5">
        <f>IF(A758="","",IFERROR(INDEX('جدول الجرد'!$A$2:$A$28,MATCH(A758,'جدول الجرد'!$B$2:$B$28,0)),""))</f>
        <v/>
      </c>
      <c r="C758" s="5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/>
      </c>
    </row>
    <row r="759">
      <c r="A759" s="4" t="n"/>
      <c r="B759" s="5">
        <f>IF(A759="","",IFERROR(INDEX('جدول الجرد'!$A$2:$A$28,MATCH(A759,'جدول الجرد'!$B$2:$B$28,0)),""))</f>
        <v/>
      </c>
      <c r="C759" s="5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/>
      </c>
    </row>
    <row r="760">
      <c r="A760" s="4" t="n"/>
      <c r="B760" s="5">
        <f>IF(A760="","",IFERROR(INDEX('جدول الجرد'!$A$2:$A$28,MATCH(A760,'جدول الجرد'!$B$2:$B$28,0)),""))</f>
        <v/>
      </c>
      <c r="C760" s="5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/>
      </c>
    </row>
    <row r="761">
      <c r="A761" s="4" t="n"/>
      <c r="B761" s="5">
        <f>IF(A761="","",IFERROR(INDEX('جدول الجرد'!$A$2:$A$28,MATCH(A761,'جدول الجرد'!$B$2:$B$28,0)),""))</f>
        <v/>
      </c>
      <c r="C761" s="5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/>
      </c>
    </row>
    <row r="762">
      <c r="A762" s="4" t="n"/>
      <c r="B762" s="5">
        <f>IF(A762="","",IFERROR(INDEX('جدول الجرد'!$A$2:$A$28,MATCH(A762,'جدول الجرد'!$B$2:$B$28,0)),""))</f>
        <v/>
      </c>
      <c r="C762" s="5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/>
      </c>
    </row>
    <row r="763">
      <c r="A763" s="4" t="n"/>
      <c r="B763" s="5">
        <f>IF(A763="","",IFERROR(INDEX('جدول الجرد'!$A$2:$A$28,MATCH(A763,'جدول الجرد'!$B$2:$B$28,0)),""))</f>
        <v/>
      </c>
      <c r="C763" s="5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/>
      </c>
    </row>
    <row r="764">
      <c r="A764" s="4" t="n"/>
      <c r="B764" s="5">
        <f>IF(A764="","",IFERROR(INDEX('جدول الجرد'!$A$2:$A$28,MATCH(A764,'جدول الجرد'!$B$2:$B$28,0)),""))</f>
        <v/>
      </c>
      <c r="C764" s="5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/>
      </c>
    </row>
    <row r="765">
      <c r="A765" s="4" t="n"/>
      <c r="B765" s="5">
        <f>IF(A765="","",IFERROR(INDEX('جدول الجرد'!$A$2:$A$28,MATCH(A765,'جدول الجرد'!$B$2:$B$28,0)),""))</f>
        <v/>
      </c>
      <c r="C765" s="5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/>
      </c>
    </row>
    <row r="766">
      <c r="A766" s="4" t="n"/>
      <c r="B766" s="5">
        <f>IF(A766="","",IFERROR(INDEX('جدول الجرد'!$A$2:$A$28,MATCH(A766,'جدول الجرد'!$B$2:$B$28,0)),""))</f>
        <v/>
      </c>
      <c r="C766" s="5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/>
      </c>
    </row>
    <row r="767">
      <c r="A767" s="4" t="n"/>
      <c r="B767" s="5">
        <f>IF(A767="","",IFERROR(INDEX('جدول الجرد'!$A$2:$A$28,MATCH(A767,'جدول الجرد'!$B$2:$B$28,0)),""))</f>
        <v/>
      </c>
      <c r="C767" s="5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/>
      </c>
    </row>
    <row r="768">
      <c r="A768" s="4" t="n"/>
      <c r="B768" s="5">
        <f>IF(A768="","",IFERROR(INDEX('جدول الجرد'!$A$2:$A$28,MATCH(A768,'جدول الجرد'!$B$2:$B$28,0)),""))</f>
        <v/>
      </c>
      <c r="C768" s="5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/>
      </c>
    </row>
    <row r="769">
      <c r="A769" s="4" t="n"/>
      <c r="B769" s="5">
        <f>IF(A769="","",IFERROR(INDEX('جدول الجرد'!$A$2:$A$28,MATCH(A769,'جدول الجرد'!$B$2:$B$28,0)),""))</f>
        <v/>
      </c>
      <c r="C769" s="5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/>
      </c>
    </row>
    <row r="770">
      <c r="A770" s="4" t="n"/>
      <c r="B770" s="5">
        <f>IF(A770="","",IFERROR(INDEX('جدول الجرد'!$A$2:$A$28,MATCH(A770,'جدول الجرد'!$B$2:$B$28,0)),""))</f>
        <v/>
      </c>
      <c r="C770" s="5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/>
      </c>
    </row>
    <row r="771">
      <c r="A771" s="4" t="n"/>
      <c r="B771" s="5">
        <f>IF(A771="","",IFERROR(INDEX('جدول الجرد'!$A$2:$A$28,MATCH(A771,'جدول الجرد'!$B$2:$B$28,0)),""))</f>
        <v/>
      </c>
      <c r="C771" s="5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/>
      </c>
    </row>
    <row r="772">
      <c r="A772" s="4" t="n"/>
      <c r="B772" s="5">
        <f>IF(A772="","",IFERROR(INDEX('جدول الجرد'!$A$2:$A$28,MATCH(A772,'جدول الجرد'!$B$2:$B$28,0)),""))</f>
        <v/>
      </c>
      <c r="C772" s="5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/>
      </c>
    </row>
    <row r="773">
      <c r="A773" s="4" t="n"/>
      <c r="B773" s="5">
        <f>IF(A773="","",IFERROR(INDEX('جدول الجرد'!$A$2:$A$28,MATCH(A773,'جدول الجرد'!$B$2:$B$28,0)),""))</f>
        <v/>
      </c>
      <c r="C773" s="5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/>
      </c>
    </row>
    <row r="774">
      <c r="A774" s="4" t="n"/>
      <c r="B774" s="5">
        <f>IF(A774="","",IFERROR(INDEX('جدول الجرد'!$A$2:$A$28,MATCH(A774,'جدول الجرد'!$B$2:$B$28,0)),""))</f>
        <v/>
      </c>
      <c r="C774" s="5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/>
      </c>
    </row>
    <row r="775">
      <c r="A775" s="4" t="n"/>
      <c r="B775" s="5">
        <f>IF(A775="","",IFERROR(INDEX('جدول الجرد'!$A$2:$A$28,MATCH(A775,'جدول الجرد'!$B$2:$B$28,0)),""))</f>
        <v/>
      </c>
      <c r="C775" s="5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/>
      </c>
    </row>
    <row r="776">
      <c r="A776" s="4" t="n"/>
      <c r="B776" s="5">
        <f>IF(A776="","",IFERROR(INDEX('جدول الجرد'!$A$2:$A$28,MATCH(A776,'جدول الجرد'!$B$2:$B$28,0)),""))</f>
        <v/>
      </c>
      <c r="C776" s="5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/>
      </c>
    </row>
    <row r="777">
      <c r="A777" s="4" t="n"/>
      <c r="B777" s="5">
        <f>IF(A777="","",IFERROR(INDEX('جدول الجرد'!$A$2:$A$28,MATCH(A777,'جدول الجرد'!$B$2:$B$28,0)),""))</f>
        <v/>
      </c>
      <c r="C777" s="5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/>
      </c>
    </row>
    <row r="778">
      <c r="A778" s="4" t="n"/>
      <c r="B778" s="5">
        <f>IF(A778="","",IFERROR(INDEX('جدول الجرد'!$A$2:$A$28,MATCH(A778,'جدول الجرد'!$B$2:$B$28,0)),""))</f>
        <v/>
      </c>
      <c r="C778" s="5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/>
      </c>
    </row>
    <row r="779">
      <c r="A779" s="4" t="n"/>
      <c r="B779" s="5">
        <f>IF(A779="","",IFERROR(INDEX('جدول الجرد'!$A$2:$A$28,MATCH(A779,'جدول الجرد'!$B$2:$B$28,0)),""))</f>
        <v/>
      </c>
      <c r="C779" s="5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/>
      </c>
    </row>
    <row r="780">
      <c r="A780" s="4" t="n"/>
      <c r="B780" s="5">
        <f>IF(A780="","",IFERROR(INDEX('جدول الجرد'!$A$2:$A$28,MATCH(A780,'جدول الجرد'!$B$2:$B$28,0)),""))</f>
        <v/>
      </c>
      <c r="C780" s="5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/>
      </c>
    </row>
    <row r="781">
      <c r="A781" s="4" t="n"/>
      <c r="B781" s="5">
        <f>IF(A781="","",IFERROR(INDEX('جدول الجرد'!$A$2:$A$28,MATCH(A781,'جدول الجرد'!$B$2:$B$28,0)),""))</f>
        <v/>
      </c>
      <c r="C781" s="5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/>
      </c>
    </row>
    <row r="782">
      <c r="A782" s="4" t="n"/>
      <c r="B782" s="5">
        <f>IF(A782="","",IFERROR(INDEX('جدول الجرد'!$A$2:$A$28,MATCH(A782,'جدول الجرد'!$B$2:$B$28,0)),""))</f>
        <v/>
      </c>
      <c r="C782" s="5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/>
      </c>
    </row>
    <row r="783">
      <c r="A783" s="4" t="n"/>
      <c r="B783" s="5">
        <f>IF(A783="","",IFERROR(INDEX('جدول الجرد'!$A$2:$A$28,MATCH(A783,'جدول الجرد'!$B$2:$B$28,0)),""))</f>
        <v/>
      </c>
      <c r="C783" s="5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/>
      </c>
    </row>
    <row r="784">
      <c r="A784" s="4" t="n"/>
      <c r="B784" s="5">
        <f>IF(A784="","",IFERROR(INDEX('جدول الجرد'!$A$2:$A$28,MATCH(A784,'جدول الجرد'!$B$2:$B$28,0)),""))</f>
        <v/>
      </c>
      <c r="C784" s="5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/>
      </c>
    </row>
    <row r="785">
      <c r="A785" s="4" t="n"/>
      <c r="B785" s="5">
        <f>IF(A785="","",IFERROR(INDEX('جدول الجرد'!$A$2:$A$28,MATCH(A785,'جدول الجرد'!$B$2:$B$28,0)),""))</f>
        <v/>
      </c>
      <c r="C785" s="5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/>
      </c>
    </row>
    <row r="786">
      <c r="A786" s="4" t="n"/>
      <c r="B786" s="5">
        <f>IF(A786="","",IFERROR(INDEX('جدول الجرد'!$A$2:$A$28,MATCH(A786,'جدول الجرد'!$B$2:$B$28,0)),""))</f>
        <v/>
      </c>
      <c r="C786" s="5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/>
      </c>
    </row>
    <row r="787">
      <c r="A787" s="4" t="n"/>
      <c r="B787" s="5">
        <f>IF(A787="","",IFERROR(INDEX('جدول الجرد'!$A$2:$A$28,MATCH(A787,'جدول الجرد'!$B$2:$B$28,0)),""))</f>
        <v/>
      </c>
      <c r="C787" s="5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/>
      </c>
    </row>
    <row r="788">
      <c r="A788" s="4" t="n"/>
      <c r="B788" s="5">
        <f>IF(A788="","",IFERROR(INDEX('جدول الجرد'!$A$2:$A$28,MATCH(A788,'جدول الجرد'!$B$2:$B$28,0)),""))</f>
        <v/>
      </c>
      <c r="C788" s="5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/>
      </c>
    </row>
    <row r="789">
      <c r="A789" s="4" t="n"/>
      <c r="B789" s="5">
        <f>IF(A789="","",IFERROR(INDEX('جدول الجرد'!$A$2:$A$28,MATCH(A789,'جدول الجرد'!$B$2:$B$28,0)),""))</f>
        <v/>
      </c>
      <c r="C789" s="5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/>
      </c>
    </row>
    <row r="790">
      <c r="A790" s="4" t="n"/>
      <c r="B790" s="5">
        <f>IF(A790="","",IFERROR(INDEX('جدول الجرد'!$A$2:$A$28,MATCH(A790,'جدول الجرد'!$B$2:$B$28,0)),""))</f>
        <v/>
      </c>
      <c r="C790" s="5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/>
      </c>
    </row>
    <row r="791">
      <c r="A791" s="4" t="n"/>
      <c r="B791" s="5">
        <f>IF(A791="","",IFERROR(INDEX('جدول الجرد'!$A$2:$A$28,MATCH(A791,'جدول الجرد'!$B$2:$B$28,0)),""))</f>
        <v/>
      </c>
      <c r="C791" s="5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/>
      </c>
    </row>
    <row r="792">
      <c r="A792" s="4" t="n"/>
      <c r="B792" s="5">
        <f>IF(A792="","",IFERROR(INDEX('جدول الجرد'!$A$2:$A$28,MATCH(A792,'جدول الجرد'!$B$2:$B$28,0)),""))</f>
        <v/>
      </c>
      <c r="C792" s="5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/>
      </c>
    </row>
    <row r="793">
      <c r="A793" s="4" t="n"/>
      <c r="B793" s="5">
        <f>IF(A793="","",IFERROR(INDEX('جدول الجرد'!$A$2:$A$28,MATCH(A793,'جدول الجرد'!$B$2:$B$28,0)),""))</f>
        <v/>
      </c>
      <c r="C793" s="5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/>
      </c>
    </row>
    <row r="794">
      <c r="A794" s="4" t="n"/>
      <c r="B794" s="5">
        <f>IF(A794="","",IFERROR(INDEX('جدول الجرد'!$A$2:$A$28,MATCH(A794,'جدول الجرد'!$B$2:$B$28,0)),""))</f>
        <v/>
      </c>
      <c r="C794" s="5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/>
      </c>
    </row>
    <row r="795">
      <c r="A795" s="4" t="n"/>
      <c r="B795" s="5">
        <f>IF(A795="","",IFERROR(INDEX('جدول الجرد'!$A$2:$A$28,MATCH(A795,'جدول الجرد'!$B$2:$B$28,0)),""))</f>
        <v/>
      </c>
      <c r="C795" s="5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/>
      </c>
    </row>
    <row r="796">
      <c r="A796" s="4" t="n"/>
      <c r="B796" s="5">
        <f>IF(A796="","",IFERROR(INDEX('جدول الجرد'!$A$2:$A$28,MATCH(A796,'جدول الجرد'!$B$2:$B$28,0)),""))</f>
        <v/>
      </c>
      <c r="C796" s="5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/>
      </c>
    </row>
    <row r="797">
      <c r="A797" s="4" t="n"/>
      <c r="B797" s="5">
        <f>IF(A797="","",IFERROR(INDEX('جدول الجرد'!$A$2:$A$28,MATCH(A797,'جدول الجرد'!$B$2:$B$28,0)),""))</f>
        <v/>
      </c>
      <c r="C797" s="5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/>
      </c>
    </row>
    <row r="798">
      <c r="A798" s="4" t="n"/>
      <c r="B798" s="5">
        <f>IF(A798="","",IFERROR(INDEX('جدول الجرد'!$A$2:$A$28,MATCH(A798,'جدول الجرد'!$B$2:$B$28,0)),""))</f>
        <v/>
      </c>
      <c r="C798" s="5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/>
      </c>
    </row>
    <row r="799">
      <c r="A799" s="4" t="n"/>
      <c r="B799" s="5">
        <f>IF(A799="","",IFERROR(INDEX('جدول الجرد'!$A$2:$A$28,MATCH(A799,'جدول الجرد'!$B$2:$B$28,0)),""))</f>
        <v/>
      </c>
      <c r="C799" s="5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/>
      </c>
    </row>
    <row r="800">
      <c r="A800" s="4" t="n"/>
      <c r="B800" s="5">
        <f>IF(A800="","",IFERROR(INDEX('جدول الجرد'!$A$2:$A$28,MATCH(A800,'جدول الجرد'!$B$2:$B$28,0)),""))</f>
        <v/>
      </c>
      <c r="C800" s="5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/>
      </c>
    </row>
    <row r="801">
      <c r="A801" s="4" t="n"/>
      <c r="B801" s="5">
        <f>IF(A801="","",IFERROR(INDEX('جدول الجرد'!$A$2:$A$28,MATCH(A801,'جدول الجرد'!$B$2:$B$28,0)),""))</f>
        <v/>
      </c>
      <c r="C801" s="5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/>
      </c>
    </row>
    <row r="802">
      <c r="A802" s="4" t="n"/>
      <c r="B802" s="5">
        <f>IF(A802="","",IFERROR(INDEX('جدول الجرد'!$A$2:$A$28,MATCH(A802,'جدول الجرد'!$B$2:$B$28,0)),""))</f>
        <v/>
      </c>
      <c r="C802" s="5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/>
      </c>
    </row>
    <row r="803">
      <c r="A803" s="4" t="n"/>
      <c r="B803" s="5">
        <f>IF(A803="","",IFERROR(INDEX('جدول الجرد'!$A$2:$A$28,MATCH(A803,'جدول الجرد'!$B$2:$B$28,0)),""))</f>
        <v/>
      </c>
      <c r="C803" s="5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/>
      </c>
    </row>
    <row r="804">
      <c r="A804" s="4" t="n"/>
      <c r="B804" s="5">
        <f>IF(A804="","",IFERROR(INDEX('جدول الجرد'!$A$2:$A$28,MATCH(A804,'جدول الجرد'!$B$2:$B$28,0)),""))</f>
        <v/>
      </c>
      <c r="C804" s="5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/>
      </c>
    </row>
    <row r="805">
      <c r="A805" s="4" t="n"/>
      <c r="B805" s="5">
        <f>IF(A805="","",IFERROR(INDEX('جدول الجرد'!$A$2:$A$28,MATCH(A805,'جدول الجرد'!$B$2:$B$28,0)),""))</f>
        <v/>
      </c>
      <c r="C805" s="5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/>
      </c>
    </row>
    <row r="806">
      <c r="A806" s="4" t="n"/>
      <c r="B806" s="5">
        <f>IF(A806="","",IFERROR(INDEX('جدول الجرد'!$A$2:$A$28,MATCH(A806,'جدول الجرد'!$B$2:$B$28,0)),""))</f>
        <v/>
      </c>
      <c r="C806" s="5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/>
      </c>
    </row>
    <row r="807">
      <c r="A807" s="4" t="n"/>
      <c r="B807" s="5">
        <f>IF(A807="","",IFERROR(INDEX('جدول الجرد'!$A$2:$A$28,MATCH(A807,'جدول الجرد'!$B$2:$B$28,0)),""))</f>
        <v/>
      </c>
      <c r="C807" s="5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/>
      </c>
    </row>
    <row r="808">
      <c r="A808" s="4" t="n"/>
      <c r="B808" s="5">
        <f>IF(A808="","",IFERROR(INDEX('جدول الجرد'!$A$2:$A$28,MATCH(A808,'جدول الجرد'!$B$2:$B$28,0)),""))</f>
        <v/>
      </c>
      <c r="C808" s="5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/>
      </c>
    </row>
    <row r="809">
      <c r="A809" s="4" t="n"/>
      <c r="B809" s="5">
        <f>IF(A809="","",IFERROR(INDEX('جدول الجرد'!$A$2:$A$28,MATCH(A809,'جدول الجرد'!$B$2:$B$28,0)),""))</f>
        <v/>
      </c>
      <c r="C809" s="5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/>
      </c>
    </row>
    <row r="810">
      <c r="A810" s="4" t="n"/>
      <c r="B810" s="5">
        <f>IF(A810="","",IFERROR(INDEX('جدول الجرد'!$A$2:$A$28,MATCH(A810,'جدول الجرد'!$B$2:$B$28,0)),""))</f>
        <v/>
      </c>
      <c r="C810" s="5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/>
      </c>
    </row>
    <row r="811">
      <c r="A811" s="4" t="n"/>
      <c r="B811" s="5">
        <f>IF(A811="","",IFERROR(INDEX('جدول الجرد'!$A$2:$A$28,MATCH(A811,'جدول الجرد'!$B$2:$B$28,0)),""))</f>
        <v/>
      </c>
      <c r="C811" s="5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/>
      </c>
    </row>
    <row r="812">
      <c r="A812" s="4" t="n"/>
      <c r="B812" s="5">
        <f>IF(A812="","",IFERROR(INDEX('جدول الجرد'!$A$2:$A$28,MATCH(A812,'جدول الجرد'!$B$2:$B$28,0)),""))</f>
        <v/>
      </c>
      <c r="C812" s="5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/>
      </c>
    </row>
    <row r="813">
      <c r="A813" s="4" t="n"/>
      <c r="B813" s="5">
        <f>IF(A813="","",IFERROR(INDEX('جدول الجرد'!$A$2:$A$28,MATCH(A813,'جدول الجرد'!$B$2:$B$28,0)),""))</f>
        <v/>
      </c>
      <c r="C813" s="5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/>
      </c>
    </row>
    <row r="814">
      <c r="A814" s="4" t="n"/>
      <c r="B814" s="5">
        <f>IF(A814="","",IFERROR(INDEX('جدول الجرد'!$A$2:$A$28,MATCH(A814,'جدول الجرد'!$B$2:$B$28,0)),""))</f>
        <v/>
      </c>
      <c r="C814" s="5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/>
      </c>
    </row>
    <row r="815">
      <c r="A815" s="4" t="n"/>
      <c r="B815" s="5">
        <f>IF(A815="","",IFERROR(INDEX('جدول الجرد'!$A$2:$A$28,MATCH(A815,'جدول الجرد'!$B$2:$B$28,0)),""))</f>
        <v/>
      </c>
      <c r="C815" s="5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/>
      </c>
    </row>
    <row r="816">
      <c r="A816" s="4" t="n"/>
      <c r="B816" s="5">
        <f>IF(A816="","",IFERROR(INDEX('جدول الجرد'!$A$2:$A$28,MATCH(A816,'جدول الجرد'!$B$2:$B$28,0)),""))</f>
        <v/>
      </c>
      <c r="C816" s="5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/>
      </c>
    </row>
    <row r="817">
      <c r="A817" s="4" t="n"/>
      <c r="B817" s="5">
        <f>IF(A817="","",IFERROR(INDEX('جدول الجرد'!$A$2:$A$28,MATCH(A817,'جدول الجرد'!$B$2:$B$28,0)),""))</f>
        <v/>
      </c>
      <c r="C817" s="5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/>
      </c>
    </row>
    <row r="818">
      <c r="A818" s="4" t="n"/>
      <c r="B818" s="5">
        <f>IF(A818="","",IFERROR(INDEX('جدول الجرد'!$A$2:$A$28,MATCH(A818,'جدول الجرد'!$B$2:$B$28,0)),""))</f>
        <v/>
      </c>
      <c r="C818" s="5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/>
      </c>
    </row>
    <row r="819">
      <c r="A819" s="4" t="n"/>
      <c r="B819" s="5">
        <f>IF(A819="","",IFERROR(INDEX('جدول الجرد'!$A$2:$A$28,MATCH(A819,'جدول الجرد'!$B$2:$B$28,0)),""))</f>
        <v/>
      </c>
      <c r="C819" s="5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/>
      </c>
    </row>
    <row r="820">
      <c r="A820" s="4" t="n"/>
      <c r="B820" s="5">
        <f>IF(A820="","",IFERROR(INDEX('جدول الجرد'!$A$2:$A$28,MATCH(A820,'جدول الجرد'!$B$2:$B$28,0)),""))</f>
        <v/>
      </c>
      <c r="C820" s="5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/>
      </c>
    </row>
    <row r="821">
      <c r="A821" s="4" t="n"/>
      <c r="B821" s="5">
        <f>IF(A821="","",IFERROR(INDEX('جدول الجرد'!$A$2:$A$28,MATCH(A821,'جدول الجرد'!$B$2:$B$28,0)),""))</f>
        <v/>
      </c>
      <c r="C821" s="5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/>
      </c>
    </row>
    <row r="822">
      <c r="A822" s="4" t="n"/>
      <c r="B822" s="5">
        <f>IF(A822="","",IFERROR(INDEX('جدول الجرد'!$A$2:$A$28,MATCH(A822,'جدول الجرد'!$B$2:$B$28,0)),""))</f>
        <v/>
      </c>
      <c r="C822" s="5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/>
      </c>
    </row>
    <row r="823">
      <c r="A823" s="4" t="n"/>
      <c r="B823" s="5">
        <f>IF(A823="","",IFERROR(INDEX('جدول الجرد'!$A$2:$A$28,MATCH(A823,'جدول الجرد'!$B$2:$B$28,0)),""))</f>
        <v/>
      </c>
      <c r="C823" s="5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/>
      </c>
    </row>
    <row r="824">
      <c r="A824" s="4" t="n"/>
      <c r="B824" s="5">
        <f>IF(A824="","",IFERROR(INDEX('جدول الجرد'!$A$2:$A$28,MATCH(A824,'جدول الجرد'!$B$2:$B$28,0)),""))</f>
        <v/>
      </c>
      <c r="C824" s="5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/>
      </c>
    </row>
    <row r="825">
      <c r="A825" s="4" t="n"/>
      <c r="B825" s="5">
        <f>IF(A825="","",IFERROR(INDEX('جدول الجرد'!$A$2:$A$28,MATCH(A825,'جدول الجرد'!$B$2:$B$28,0)),""))</f>
        <v/>
      </c>
      <c r="C825" s="5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/>
      </c>
    </row>
    <row r="826">
      <c r="A826" s="4" t="n"/>
      <c r="B826" s="5">
        <f>IF(A826="","",IFERROR(INDEX('جدول الجرد'!$A$2:$A$28,MATCH(A826,'جدول الجرد'!$B$2:$B$28,0)),""))</f>
        <v/>
      </c>
      <c r="C826" s="5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/>
      </c>
    </row>
    <row r="827">
      <c r="A827" s="4" t="n"/>
      <c r="B827" s="5">
        <f>IF(A827="","",IFERROR(INDEX('جدول الجرد'!$A$2:$A$28,MATCH(A827,'جدول الجرد'!$B$2:$B$28,0)),""))</f>
        <v/>
      </c>
      <c r="C827" s="5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/>
      </c>
    </row>
    <row r="828">
      <c r="A828" s="4" t="n"/>
      <c r="B828" s="5">
        <f>IF(A828="","",IFERROR(INDEX('جدول الجرد'!$A$2:$A$28,MATCH(A828,'جدول الجرد'!$B$2:$B$28,0)),""))</f>
        <v/>
      </c>
      <c r="C828" s="5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/>
      </c>
    </row>
    <row r="829">
      <c r="A829" s="4" t="n"/>
      <c r="B829" s="5">
        <f>IF(A829="","",IFERROR(INDEX('جدول الجرد'!$A$2:$A$28,MATCH(A829,'جدول الجرد'!$B$2:$B$28,0)),""))</f>
        <v/>
      </c>
      <c r="C829" s="5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/>
      </c>
    </row>
    <row r="830">
      <c r="A830" s="4" t="n"/>
      <c r="B830" s="5">
        <f>IF(A830="","",IFERROR(INDEX('جدول الجرد'!$A$2:$A$28,MATCH(A830,'جدول الجرد'!$B$2:$B$28,0)),""))</f>
        <v/>
      </c>
      <c r="C830" s="5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/>
      </c>
    </row>
    <row r="831">
      <c r="A831" s="4" t="n"/>
      <c r="B831" s="5">
        <f>IF(A831="","",IFERROR(INDEX('جدول الجرد'!$A$2:$A$28,MATCH(A831,'جدول الجرد'!$B$2:$B$28,0)),""))</f>
        <v/>
      </c>
      <c r="C831" s="5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/>
      </c>
    </row>
    <row r="832">
      <c r="A832" s="4" t="n"/>
      <c r="B832" s="5">
        <f>IF(A832="","",IFERROR(INDEX('جدول الجرد'!$A$2:$A$28,MATCH(A832,'جدول الجرد'!$B$2:$B$28,0)),""))</f>
        <v/>
      </c>
      <c r="C832" s="5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/>
      </c>
    </row>
    <row r="833">
      <c r="A833" s="4" t="n"/>
      <c r="B833" s="5">
        <f>IF(A833="","",IFERROR(INDEX('جدول الجرد'!$A$2:$A$28,MATCH(A833,'جدول الجرد'!$B$2:$B$28,0)),""))</f>
        <v/>
      </c>
      <c r="C833" s="5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/>
      </c>
    </row>
    <row r="834">
      <c r="A834" s="4" t="n"/>
      <c r="B834" s="5">
        <f>IF(A834="","",IFERROR(INDEX('جدول الجرد'!$A$2:$A$28,MATCH(A834,'جدول الجرد'!$B$2:$B$28,0)),""))</f>
        <v/>
      </c>
      <c r="C834" s="5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/>
      </c>
    </row>
    <row r="835">
      <c r="A835" s="4" t="n"/>
      <c r="B835" s="5">
        <f>IF(A835="","",IFERROR(INDEX('جدول الجرد'!$A$2:$A$28,MATCH(A835,'جدول الجرد'!$B$2:$B$28,0)),""))</f>
        <v/>
      </c>
      <c r="C835" s="5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/>
      </c>
    </row>
    <row r="836">
      <c r="A836" s="4" t="n"/>
      <c r="B836" s="5">
        <f>IF(A836="","",IFERROR(INDEX('جدول الجرد'!$A$2:$A$28,MATCH(A836,'جدول الجرد'!$B$2:$B$28,0)),""))</f>
        <v/>
      </c>
      <c r="C836" s="5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/>
      </c>
    </row>
    <row r="837">
      <c r="A837" s="4" t="n"/>
      <c r="B837" s="5">
        <f>IF(A837="","",IFERROR(INDEX('جدول الجرد'!$A$2:$A$28,MATCH(A837,'جدول الجرد'!$B$2:$B$28,0)),""))</f>
        <v/>
      </c>
      <c r="C837" s="5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/>
      </c>
    </row>
    <row r="838">
      <c r="A838" s="4" t="n"/>
      <c r="B838" s="5">
        <f>IF(A838="","",IFERROR(INDEX('جدول الجرد'!$A$2:$A$28,MATCH(A838,'جدول الجرد'!$B$2:$B$28,0)),""))</f>
        <v/>
      </c>
      <c r="C838" s="5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/>
      </c>
    </row>
    <row r="839">
      <c r="A839" s="4" t="n"/>
      <c r="B839" s="5">
        <f>IF(A839="","",IFERROR(INDEX('جدول الجرد'!$A$2:$A$28,MATCH(A839,'جدول الجرد'!$B$2:$B$28,0)),""))</f>
        <v/>
      </c>
      <c r="C839" s="5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/>
      </c>
    </row>
    <row r="840">
      <c r="A840" s="4" t="n"/>
      <c r="B840" s="5">
        <f>IF(A840="","",IFERROR(INDEX('جدول الجرد'!$A$2:$A$28,MATCH(A840,'جدول الجرد'!$B$2:$B$28,0)),""))</f>
        <v/>
      </c>
      <c r="C840" s="5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/>
      </c>
    </row>
    <row r="841">
      <c r="A841" s="4" t="n"/>
      <c r="B841" s="5">
        <f>IF(A841="","",IFERROR(INDEX('جدول الجرد'!$A$2:$A$28,MATCH(A841,'جدول الجرد'!$B$2:$B$28,0)),""))</f>
        <v/>
      </c>
      <c r="C841" s="5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/>
      </c>
    </row>
    <row r="842">
      <c r="A842" s="4" t="n"/>
      <c r="B842" s="5">
        <f>IF(A842="","",IFERROR(INDEX('جدول الجرد'!$A$2:$A$28,MATCH(A842,'جدول الجرد'!$B$2:$B$28,0)),""))</f>
        <v/>
      </c>
      <c r="C842" s="5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/>
      </c>
    </row>
    <row r="843">
      <c r="A843" s="4" t="n"/>
      <c r="B843" s="5">
        <f>IF(A843="","",IFERROR(INDEX('جدول الجرد'!$A$2:$A$28,MATCH(A843,'جدول الجرد'!$B$2:$B$28,0)),""))</f>
        <v/>
      </c>
      <c r="C843" s="5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/>
      </c>
    </row>
    <row r="844">
      <c r="A844" s="4" t="n"/>
      <c r="B844" s="5">
        <f>IF(A844="","",IFERROR(INDEX('جدول الجرد'!$A$2:$A$28,MATCH(A844,'جدول الجرد'!$B$2:$B$28,0)),""))</f>
        <v/>
      </c>
      <c r="C844" s="5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/>
      </c>
    </row>
    <row r="845">
      <c r="A845" s="4" t="n"/>
      <c r="B845" s="5">
        <f>IF(A845="","",IFERROR(INDEX('جدول الجرد'!$A$2:$A$28,MATCH(A845,'جدول الجرد'!$B$2:$B$28,0)),""))</f>
        <v/>
      </c>
      <c r="C845" s="5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/>
      </c>
    </row>
    <row r="846">
      <c r="A846" s="4" t="n"/>
      <c r="B846" s="5">
        <f>IF(A846="","",IFERROR(INDEX('جدول الجرد'!$A$2:$A$28,MATCH(A846,'جدول الجرد'!$B$2:$B$28,0)),""))</f>
        <v/>
      </c>
      <c r="C846" s="5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/>
      </c>
    </row>
    <row r="847">
      <c r="A847" s="4" t="n"/>
      <c r="B847" s="5">
        <f>IF(A847="","",IFERROR(INDEX('جدول الجرد'!$A$2:$A$28,MATCH(A847,'جدول الجرد'!$B$2:$B$28,0)),""))</f>
        <v/>
      </c>
      <c r="C847" s="5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/>
      </c>
    </row>
    <row r="848">
      <c r="A848" s="4" t="n"/>
      <c r="B848" s="5">
        <f>IF(A848="","",IFERROR(INDEX('جدول الجرد'!$A$2:$A$28,MATCH(A848,'جدول الجرد'!$B$2:$B$28,0)),""))</f>
        <v/>
      </c>
      <c r="C848" s="5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/>
      </c>
    </row>
    <row r="849">
      <c r="A849" s="4" t="n"/>
      <c r="B849" s="5">
        <f>IF(A849="","",IFERROR(INDEX('جدول الجرد'!$A$2:$A$28,MATCH(A849,'جدول الجرد'!$B$2:$B$28,0)),""))</f>
        <v/>
      </c>
      <c r="C849" s="5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/>
      </c>
    </row>
    <row r="850">
      <c r="A850" s="4" t="n"/>
      <c r="B850" s="5">
        <f>IF(A850="","",IFERROR(INDEX('جدول الجرد'!$A$2:$A$28,MATCH(A850,'جدول الجرد'!$B$2:$B$28,0)),""))</f>
        <v/>
      </c>
      <c r="C850" s="5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/>
      </c>
    </row>
    <row r="851">
      <c r="A851" s="4" t="n"/>
      <c r="B851" s="5">
        <f>IF(A851="","",IFERROR(INDEX('جدول الجرد'!$A$2:$A$28,MATCH(A851,'جدول الجرد'!$B$2:$B$28,0)),""))</f>
        <v/>
      </c>
      <c r="C851" s="5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/>
      </c>
    </row>
    <row r="852">
      <c r="A852" s="4" t="n"/>
      <c r="B852" s="5">
        <f>IF(A852="","",IFERROR(INDEX('جدول الجرد'!$A$2:$A$28,MATCH(A852,'جدول الجرد'!$B$2:$B$28,0)),""))</f>
        <v/>
      </c>
      <c r="C852" s="5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/>
      </c>
    </row>
    <row r="853">
      <c r="A853" s="4" t="n"/>
      <c r="B853" s="5">
        <f>IF(A853="","",IFERROR(INDEX('جدول الجرد'!$A$2:$A$28,MATCH(A853,'جدول الجرد'!$B$2:$B$28,0)),""))</f>
        <v/>
      </c>
      <c r="C853" s="5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/>
      </c>
    </row>
    <row r="854">
      <c r="A854" s="4" t="n"/>
      <c r="B854" s="5">
        <f>IF(A854="","",IFERROR(INDEX('جدول الجرد'!$A$2:$A$28,MATCH(A854,'جدول الجرد'!$B$2:$B$28,0)),""))</f>
        <v/>
      </c>
      <c r="C854" s="5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/>
      </c>
    </row>
    <row r="855">
      <c r="A855" s="4" t="n"/>
      <c r="B855" s="5">
        <f>IF(A855="","",IFERROR(INDEX('جدول الجرد'!$A$2:$A$28,MATCH(A855,'جدول الجرد'!$B$2:$B$28,0)),""))</f>
        <v/>
      </c>
      <c r="C855" s="5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/>
      </c>
    </row>
    <row r="856">
      <c r="A856" s="4" t="n"/>
      <c r="B856" s="5">
        <f>IF(A856="","",IFERROR(INDEX('جدول الجرد'!$A$2:$A$28,MATCH(A856,'جدول الجرد'!$B$2:$B$28,0)),""))</f>
        <v/>
      </c>
      <c r="C856" s="5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/>
      </c>
    </row>
    <row r="857">
      <c r="A857" s="4" t="n"/>
      <c r="B857" s="5">
        <f>IF(A857="","",IFERROR(INDEX('جدول الجرد'!$A$2:$A$28,MATCH(A857,'جدول الجرد'!$B$2:$B$28,0)),""))</f>
        <v/>
      </c>
      <c r="C857" s="5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/>
      </c>
    </row>
    <row r="858">
      <c r="A858" s="4" t="n"/>
      <c r="B858" s="5">
        <f>IF(A858="","",IFERROR(INDEX('جدول الجرد'!$A$2:$A$28,MATCH(A858,'جدول الجرد'!$B$2:$B$28,0)),""))</f>
        <v/>
      </c>
      <c r="C858" s="5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/>
      </c>
    </row>
    <row r="859">
      <c r="A859" s="4" t="n"/>
      <c r="B859" s="5">
        <f>IF(A859="","",IFERROR(INDEX('جدول الجرد'!$A$2:$A$28,MATCH(A859,'جدول الجرد'!$B$2:$B$28,0)),""))</f>
        <v/>
      </c>
      <c r="C859" s="5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/>
      </c>
    </row>
    <row r="860">
      <c r="A860" s="4" t="n"/>
      <c r="B860" s="5">
        <f>IF(A860="","",IFERROR(INDEX('جدول الجرد'!$A$2:$A$28,MATCH(A860,'جدول الجرد'!$B$2:$B$28,0)),""))</f>
        <v/>
      </c>
      <c r="C860" s="5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/>
      </c>
    </row>
    <row r="861">
      <c r="A861" s="4" t="n"/>
      <c r="B861" s="5">
        <f>IF(A861="","",IFERROR(INDEX('جدول الجرد'!$A$2:$A$28,MATCH(A861,'جدول الجرد'!$B$2:$B$28,0)),""))</f>
        <v/>
      </c>
      <c r="C861" s="5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/>
      </c>
    </row>
    <row r="862">
      <c r="A862" s="4" t="n"/>
      <c r="B862" s="5">
        <f>IF(A862="","",IFERROR(INDEX('جدول الجرد'!$A$2:$A$28,MATCH(A862,'جدول الجرد'!$B$2:$B$28,0)),""))</f>
        <v/>
      </c>
      <c r="C862" s="5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/>
      </c>
    </row>
    <row r="863">
      <c r="A863" s="4" t="n"/>
      <c r="B863" s="5">
        <f>IF(A863="","",IFERROR(INDEX('جدول الجرد'!$A$2:$A$28,MATCH(A863,'جدول الجرد'!$B$2:$B$28,0)),""))</f>
        <v/>
      </c>
      <c r="C863" s="5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/>
      </c>
    </row>
    <row r="864">
      <c r="A864" s="4" t="n"/>
      <c r="B864" s="5">
        <f>IF(A864="","",IFERROR(INDEX('جدول الجرد'!$A$2:$A$28,MATCH(A864,'جدول الجرد'!$B$2:$B$28,0)),""))</f>
        <v/>
      </c>
      <c r="C864" s="5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/>
      </c>
    </row>
    <row r="865">
      <c r="A865" s="4" t="n"/>
      <c r="B865" s="5">
        <f>IF(A865="","",IFERROR(INDEX('جدول الجرد'!$A$2:$A$28,MATCH(A865,'جدول الجرد'!$B$2:$B$28,0)),""))</f>
        <v/>
      </c>
      <c r="C865" s="5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/>
      </c>
    </row>
    <row r="866">
      <c r="A866" s="4" t="n"/>
      <c r="B866" s="5">
        <f>IF(A866="","",IFERROR(INDEX('جدول الجرد'!$A$2:$A$28,MATCH(A866,'جدول الجرد'!$B$2:$B$28,0)),""))</f>
        <v/>
      </c>
      <c r="C866" s="5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/>
      </c>
    </row>
    <row r="867">
      <c r="A867" s="4" t="n"/>
      <c r="B867" s="5">
        <f>IF(A867="","",IFERROR(INDEX('جدول الجرد'!$A$2:$A$28,MATCH(A867,'جدول الجرد'!$B$2:$B$28,0)),""))</f>
        <v/>
      </c>
      <c r="C867" s="5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/>
      </c>
    </row>
    <row r="868">
      <c r="A868" s="4" t="n"/>
      <c r="B868" s="5">
        <f>IF(A868="","",IFERROR(INDEX('جدول الجرد'!$A$2:$A$28,MATCH(A868,'جدول الجرد'!$B$2:$B$28,0)),""))</f>
        <v/>
      </c>
      <c r="C868" s="5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/>
      </c>
    </row>
    <row r="869">
      <c r="A869" s="4" t="n"/>
      <c r="B869" s="5">
        <f>IF(A869="","",IFERROR(INDEX('جدول الجرد'!$A$2:$A$28,MATCH(A869,'جدول الجرد'!$B$2:$B$28,0)),""))</f>
        <v/>
      </c>
      <c r="C869" s="5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/>
      </c>
    </row>
    <row r="870">
      <c r="A870" s="4" t="n"/>
      <c r="B870" s="5">
        <f>IF(A870="","",IFERROR(INDEX('جدول الجرد'!$A$2:$A$28,MATCH(A870,'جدول الجرد'!$B$2:$B$28,0)),""))</f>
        <v/>
      </c>
      <c r="C870" s="5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/>
      </c>
    </row>
    <row r="871">
      <c r="A871" s="4" t="n"/>
      <c r="B871" s="5">
        <f>IF(A871="","",IFERROR(INDEX('جدول الجرد'!$A$2:$A$28,MATCH(A871,'جدول الجرد'!$B$2:$B$28,0)),""))</f>
        <v/>
      </c>
      <c r="C871" s="5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/>
      </c>
    </row>
    <row r="872">
      <c r="A872" s="4" t="n"/>
      <c r="B872" s="5">
        <f>IF(A872="","",IFERROR(INDEX('جدول الجرد'!$A$2:$A$28,MATCH(A872,'جدول الجرد'!$B$2:$B$28,0)),""))</f>
        <v/>
      </c>
      <c r="C872" s="5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/>
      </c>
    </row>
    <row r="873">
      <c r="A873" s="4" t="n"/>
      <c r="B873" s="5">
        <f>IF(A873="","",IFERROR(INDEX('جدول الجرد'!$A$2:$A$28,MATCH(A873,'جدول الجرد'!$B$2:$B$28,0)),""))</f>
        <v/>
      </c>
      <c r="C873" s="5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/>
      </c>
    </row>
    <row r="874">
      <c r="A874" s="4" t="n"/>
      <c r="B874" s="5">
        <f>IF(A874="","",IFERROR(INDEX('جدول الجرد'!$A$2:$A$28,MATCH(A874,'جدول الجرد'!$B$2:$B$28,0)),""))</f>
        <v/>
      </c>
      <c r="C874" s="5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/>
      </c>
    </row>
    <row r="875">
      <c r="A875" s="4" t="n"/>
      <c r="B875" s="5">
        <f>IF(A875="","",IFERROR(INDEX('جدول الجرد'!$A$2:$A$28,MATCH(A875,'جدول الجرد'!$B$2:$B$28,0)),""))</f>
        <v/>
      </c>
      <c r="C875" s="5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/>
      </c>
    </row>
    <row r="876">
      <c r="A876" s="4" t="n"/>
      <c r="B876" s="5">
        <f>IF(A876="","",IFERROR(INDEX('جدول الجرد'!$A$2:$A$28,MATCH(A876,'جدول الجرد'!$B$2:$B$28,0)),""))</f>
        <v/>
      </c>
      <c r="C876" s="5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/>
      </c>
    </row>
    <row r="877">
      <c r="A877" s="4" t="n"/>
      <c r="B877" s="5">
        <f>IF(A877="","",IFERROR(INDEX('جدول الجرد'!$A$2:$A$28,MATCH(A877,'جدول الجرد'!$B$2:$B$28,0)),""))</f>
        <v/>
      </c>
      <c r="C877" s="5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/>
      </c>
    </row>
    <row r="878">
      <c r="A878" s="4" t="n"/>
      <c r="B878" s="5">
        <f>IF(A878="","",IFERROR(INDEX('جدول الجرد'!$A$2:$A$28,MATCH(A878,'جدول الجرد'!$B$2:$B$28,0)),""))</f>
        <v/>
      </c>
      <c r="C878" s="5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/>
      </c>
    </row>
    <row r="879">
      <c r="A879" s="4" t="n"/>
      <c r="B879" s="5">
        <f>IF(A879="","",IFERROR(INDEX('جدول الجرد'!$A$2:$A$28,MATCH(A879,'جدول الجرد'!$B$2:$B$28,0)),""))</f>
        <v/>
      </c>
      <c r="C879" s="5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/>
      </c>
    </row>
    <row r="880">
      <c r="A880" s="4" t="n"/>
      <c r="B880" s="5">
        <f>IF(A880="","",IFERROR(INDEX('جدول الجرد'!$A$2:$A$28,MATCH(A880,'جدول الجرد'!$B$2:$B$28,0)),""))</f>
        <v/>
      </c>
      <c r="C880" s="5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/>
      </c>
    </row>
    <row r="881">
      <c r="A881" s="4" t="n"/>
      <c r="B881" s="5">
        <f>IF(A881="","",IFERROR(INDEX('جدول الجرد'!$A$2:$A$28,MATCH(A881,'جدول الجرد'!$B$2:$B$28,0)),""))</f>
        <v/>
      </c>
      <c r="C881" s="5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/>
      </c>
    </row>
    <row r="882">
      <c r="A882" s="4" t="n"/>
      <c r="B882" s="5">
        <f>IF(A882="","",IFERROR(INDEX('جدول الجرد'!$A$2:$A$28,MATCH(A882,'جدول الجرد'!$B$2:$B$28,0)),""))</f>
        <v/>
      </c>
      <c r="C882" s="5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/>
      </c>
    </row>
    <row r="883">
      <c r="A883" s="4" t="n"/>
      <c r="B883" s="5">
        <f>IF(A883="","",IFERROR(INDEX('جدول الجرد'!$A$2:$A$28,MATCH(A883,'جدول الجرد'!$B$2:$B$28,0)),""))</f>
        <v/>
      </c>
      <c r="C883" s="5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/>
      </c>
    </row>
    <row r="884">
      <c r="A884" s="4" t="n"/>
      <c r="B884" s="5">
        <f>IF(A884="","",IFERROR(INDEX('جدول الجرد'!$A$2:$A$28,MATCH(A884,'جدول الجرد'!$B$2:$B$28,0)),""))</f>
        <v/>
      </c>
      <c r="C884" s="5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/>
      </c>
    </row>
    <row r="885">
      <c r="A885" s="4" t="n"/>
      <c r="B885" s="5">
        <f>IF(A885="","",IFERROR(INDEX('جدول الجرد'!$A$2:$A$28,MATCH(A885,'جدول الجرد'!$B$2:$B$28,0)),""))</f>
        <v/>
      </c>
      <c r="C885" s="5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/>
      </c>
    </row>
    <row r="886">
      <c r="A886" s="4" t="n"/>
      <c r="B886" s="5">
        <f>IF(A886="","",IFERROR(INDEX('جدول الجرد'!$A$2:$A$28,MATCH(A886,'جدول الجرد'!$B$2:$B$28,0)),""))</f>
        <v/>
      </c>
      <c r="C886" s="5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/>
      </c>
    </row>
    <row r="887">
      <c r="A887" s="4" t="n"/>
      <c r="B887" s="5">
        <f>IF(A887="","",IFERROR(INDEX('جدول الجرد'!$A$2:$A$28,MATCH(A887,'جدول الجرد'!$B$2:$B$28,0)),""))</f>
        <v/>
      </c>
      <c r="C887" s="5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/>
      </c>
    </row>
    <row r="888">
      <c r="A888" s="4" t="n"/>
      <c r="B888" s="5">
        <f>IF(A888="","",IFERROR(INDEX('جدول الجرد'!$A$2:$A$28,MATCH(A888,'جدول الجرد'!$B$2:$B$28,0)),""))</f>
        <v/>
      </c>
      <c r="C888" s="5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/>
      </c>
    </row>
    <row r="889">
      <c r="A889" s="4" t="n"/>
      <c r="B889" s="5">
        <f>IF(A889="","",IFERROR(INDEX('جدول الجرد'!$A$2:$A$28,MATCH(A889,'جدول الجرد'!$B$2:$B$28,0)),""))</f>
        <v/>
      </c>
      <c r="C889" s="5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/>
      </c>
    </row>
    <row r="890">
      <c r="A890" s="4" t="n"/>
      <c r="B890" s="5">
        <f>IF(A890="","",IFERROR(INDEX('جدول الجرد'!$A$2:$A$28,MATCH(A890,'جدول الجرد'!$B$2:$B$28,0)),""))</f>
        <v/>
      </c>
      <c r="C890" s="5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/>
      </c>
    </row>
    <row r="891">
      <c r="A891" s="4" t="n"/>
      <c r="B891" s="5">
        <f>IF(A891="","",IFERROR(INDEX('جدول الجرد'!$A$2:$A$28,MATCH(A891,'جدول الجرد'!$B$2:$B$28,0)),""))</f>
        <v/>
      </c>
      <c r="C891" s="5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/>
      </c>
    </row>
    <row r="892">
      <c r="A892" s="4" t="n"/>
      <c r="B892" s="5">
        <f>IF(A892="","",IFERROR(INDEX('جدول الجرد'!$A$2:$A$28,MATCH(A892,'جدول الجرد'!$B$2:$B$28,0)),""))</f>
        <v/>
      </c>
      <c r="C892" s="5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/>
      </c>
    </row>
    <row r="893">
      <c r="A893" s="4" t="n"/>
      <c r="B893" s="5">
        <f>IF(A893="","",IFERROR(INDEX('جدول الجرد'!$A$2:$A$28,MATCH(A893,'جدول الجرد'!$B$2:$B$28,0)),""))</f>
        <v/>
      </c>
      <c r="C893" s="5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/>
      </c>
    </row>
    <row r="894">
      <c r="A894" s="4" t="n"/>
      <c r="B894" s="5">
        <f>IF(A894="","",IFERROR(INDEX('جدول الجرد'!$A$2:$A$28,MATCH(A894,'جدول الجرد'!$B$2:$B$28,0)),""))</f>
        <v/>
      </c>
      <c r="C894" s="5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/>
      </c>
    </row>
    <row r="895">
      <c r="A895" s="4" t="n"/>
      <c r="B895" s="5">
        <f>IF(A895="","",IFERROR(INDEX('جدول الجرد'!$A$2:$A$28,MATCH(A895,'جدول الجرد'!$B$2:$B$28,0)),""))</f>
        <v/>
      </c>
      <c r="C895" s="5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/>
      </c>
    </row>
    <row r="896">
      <c r="A896" s="4" t="n"/>
      <c r="B896" s="5">
        <f>IF(A896="","",IFERROR(INDEX('جدول الجرد'!$A$2:$A$28,MATCH(A896,'جدول الجرد'!$B$2:$B$28,0)),""))</f>
        <v/>
      </c>
      <c r="C896" s="5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/>
      </c>
    </row>
    <row r="897">
      <c r="A897" s="4" t="n"/>
      <c r="B897" s="5">
        <f>IF(A897="","",IFERROR(INDEX('جدول الجرد'!$A$2:$A$28,MATCH(A897,'جدول الجرد'!$B$2:$B$28,0)),""))</f>
        <v/>
      </c>
      <c r="C897" s="5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/>
      </c>
    </row>
    <row r="898">
      <c r="A898" s="4" t="n"/>
      <c r="B898" s="5">
        <f>IF(A898="","",IFERROR(INDEX('جدول الجرد'!$A$2:$A$28,MATCH(A898,'جدول الجرد'!$B$2:$B$28,0)),""))</f>
        <v/>
      </c>
      <c r="C898" s="5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/>
      </c>
    </row>
    <row r="899">
      <c r="A899" s="4" t="n"/>
      <c r="B899" s="5">
        <f>IF(A899="","",IFERROR(INDEX('جدول الجرد'!$A$2:$A$28,MATCH(A899,'جدول الجرد'!$B$2:$B$28,0)),""))</f>
        <v/>
      </c>
      <c r="C899" s="5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/>
      </c>
    </row>
    <row r="900">
      <c r="A900" s="4" t="n"/>
      <c r="B900" s="5">
        <f>IF(A900="","",IFERROR(INDEX('جدول الجرد'!$A$2:$A$28,MATCH(A900,'جدول الجرد'!$B$2:$B$28,0)),""))</f>
        <v/>
      </c>
      <c r="C900" s="5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/>
      </c>
    </row>
    <row r="901">
      <c r="A901" s="4" t="n"/>
      <c r="B901" s="5">
        <f>IF(A901="","",IFERROR(INDEX('جدول الجرد'!$A$2:$A$28,MATCH(A901,'جدول الجرد'!$B$2:$B$28,0)),""))</f>
        <v/>
      </c>
      <c r="C901" s="5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/>
      </c>
    </row>
    <row r="902">
      <c r="A902" s="4" t="n"/>
      <c r="B902" s="5">
        <f>IF(A902="","",IFERROR(INDEX('جدول الجرد'!$A$2:$A$28,MATCH(A902,'جدول الجرد'!$B$2:$B$28,0)),""))</f>
        <v/>
      </c>
      <c r="C902" s="5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/>
      </c>
    </row>
    <row r="903">
      <c r="A903" s="4" t="n"/>
      <c r="B903" s="5">
        <f>IF(A903="","",IFERROR(INDEX('جدول الجرد'!$A$2:$A$28,MATCH(A903,'جدول الجرد'!$B$2:$B$28,0)),""))</f>
        <v/>
      </c>
      <c r="C903" s="5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/>
      </c>
    </row>
    <row r="904">
      <c r="A904" s="4" t="n"/>
      <c r="B904" s="5">
        <f>IF(A904="","",IFERROR(INDEX('جدول الجرد'!$A$2:$A$28,MATCH(A904,'جدول الجرد'!$B$2:$B$28,0)),""))</f>
        <v/>
      </c>
      <c r="C904" s="5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/>
      </c>
    </row>
    <row r="905">
      <c r="A905" s="4" t="n"/>
      <c r="B905" s="5">
        <f>IF(A905="","",IFERROR(INDEX('جدول الجرد'!$A$2:$A$28,MATCH(A905,'جدول الجرد'!$B$2:$B$28,0)),""))</f>
        <v/>
      </c>
      <c r="C905" s="5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/>
      </c>
    </row>
    <row r="906">
      <c r="A906" s="4" t="n"/>
      <c r="B906" s="5">
        <f>IF(A906="","",IFERROR(INDEX('جدول الجرد'!$A$2:$A$28,MATCH(A906,'جدول الجرد'!$B$2:$B$28,0)),""))</f>
        <v/>
      </c>
      <c r="C906" s="5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/>
      </c>
    </row>
    <row r="907">
      <c r="A907" s="4" t="n"/>
      <c r="B907" s="5">
        <f>IF(A907="","",IFERROR(INDEX('جدول الجرد'!$A$2:$A$28,MATCH(A907,'جدول الجرد'!$B$2:$B$28,0)),""))</f>
        <v/>
      </c>
      <c r="C907" s="5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/>
      </c>
    </row>
    <row r="908">
      <c r="A908" s="4" t="n"/>
      <c r="B908" s="5">
        <f>IF(A908="","",IFERROR(INDEX('جدول الجرد'!$A$2:$A$28,MATCH(A908,'جدول الجرد'!$B$2:$B$28,0)),""))</f>
        <v/>
      </c>
      <c r="C908" s="5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/>
      </c>
    </row>
    <row r="909">
      <c r="A909" s="4" t="n"/>
      <c r="B909" s="5">
        <f>IF(A909="","",IFERROR(INDEX('جدول الجرد'!$A$2:$A$28,MATCH(A909,'جدول الجرد'!$B$2:$B$28,0)),""))</f>
        <v/>
      </c>
      <c r="C909" s="5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/>
      </c>
    </row>
    <row r="910">
      <c r="A910" s="4" t="n"/>
      <c r="B910" s="5">
        <f>IF(A910="","",IFERROR(INDEX('جدول الجرد'!$A$2:$A$28,MATCH(A910,'جدول الجرد'!$B$2:$B$28,0)),""))</f>
        <v/>
      </c>
      <c r="C910" s="5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/>
      </c>
    </row>
    <row r="911">
      <c r="A911" s="4" t="n"/>
      <c r="B911" s="5">
        <f>IF(A911="","",IFERROR(INDEX('جدول الجرد'!$A$2:$A$28,MATCH(A911,'جدول الجرد'!$B$2:$B$28,0)),""))</f>
        <v/>
      </c>
      <c r="C911" s="5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/>
      </c>
    </row>
    <row r="912">
      <c r="A912" s="4" t="n"/>
      <c r="B912" s="5">
        <f>IF(A912="","",IFERROR(INDEX('جدول الجرد'!$A$2:$A$28,MATCH(A912,'جدول الجرد'!$B$2:$B$28,0)),""))</f>
        <v/>
      </c>
      <c r="C912" s="5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/>
      </c>
    </row>
    <row r="913">
      <c r="A913" s="4" t="n"/>
      <c r="B913" s="5">
        <f>IF(A913="","",IFERROR(INDEX('جدول الجرد'!$A$2:$A$28,MATCH(A913,'جدول الجرد'!$B$2:$B$28,0)),""))</f>
        <v/>
      </c>
      <c r="C913" s="5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/>
      </c>
    </row>
    <row r="914">
      <c r="A914" s="4" t="n"/>
      <c r="B914" s="5">
        <f>IF(A914="","",IFERROR(INDEX('جدول الجرد'!$A$2:$A$28,MATCH(A914,'جدول الجرد'!$B$2:$B$28,0)),""))</f>
        <v/>
      </c>
      <c r="C914" s="5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/>
      </c>
    </row>
    <row r="915">
      <c r="A915" s="4" t="n"/>
      <c r="B915" s="5">
        <f>IF(A915="","",IFERROR(INDEX('جدول الجرد'!$A$2:$A$28,MATCH(A915,'جدول الجرد'!$B$2:$B$28,0)),""))</f>
        <v/>
      </c>
      <c r="C915" s="5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/>
      </c>
    </row>
    <row r="916">
      <c r="A916" s="4" t="n"/>
      <c r="B916" s="5">
        <f>IF(A916="","",IFERROR(INDEX('جدول الجرد'!$A$2:$A$28,MATCH(A916,'جدول الجرد'!$B$2:$B$28,0)),""))</f>
        <v/>
      </c>
      <c r="C916" s="5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/>
      </c>
    </row>
    <row r="917">
      <c r="A917" s="4" t="n"/>
      <c r="B917" s="5">
        <f>IF(A917="","",IFERROR(INDEX('جدول الجرد'!$A$2:$A$28,MATCH(A917,'جدول الجرد'!$B$2:$B$28,0)),""))</f>
        <v/>
      </c>
      <c r="C917" s="5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/>
      </c>
    </row>
    <row r="918">
      <c r="A918" s="4" t="n"/>
      <c r="B918" s="5">
        <f>IF(A918="","",IFERROR(INDEX('جدول الجرد'!$A$2:$A$28,MATCH(A918,'جدول الجرد'!$B$2:$B$28,0)),""))</f>
        <v/>
      </c>
      <c r="C918" s="5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/>
      </c>
    </row>
    <row r="919">
      <c r="A919" s="4" t="n"/>
      <c r="B919" s="5">
        <f>IF(A919="","",IFERROR(INDEX('جدول الجرد'!$A$2:$A$28,MATCH(A919,'جدول الجرد'!$B$2:$B$28,0)),""))</f>
        <v/>
      </c>
      <c r="C919" s="5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/>
      </c>
    </row>
    <row r="920">
      <c r="A920" s="4" t="n"/>
      <c r="B920" s="5">
        <f>IF(A920="","",IFERROR(INDEX('جدول الجرد'!$A$2:$A$28,MATCH(A920,'جدول الجرد'!$B$2:$B$28,0)),""))</f>
        <v/>
      </c>
      <c r="C920" s="5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/>
      </c>
    </row>
    <row r="921">
      <c r="A921" s="4" t="n"/>
      <c r="B921" s="5">
        <f>IF(A921="","",IFERROR(INDEX('جدول الجرد'!$A$2:$A$28,MATCH(A921,'جدول الجرد'!$B$2:$B$28,0)),""))</f>
        <v/>
      </c>
      <c r="C921" s="5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/>
      </c>
    </row>
    <row r="922">
      <c r="A922" s="4" t="n"/>
      <c r="B922" s="5">
        <f>IF(A922="","",IFERROR(INDEX('جدول الجرد'!$A$2:$A$28,MATCH(A922,'جدول الجرد'!$B$2:$B$28,0)),""))</f>
        <v/>
      </c>
      <c r="C922" s="5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/>
      </c>
    </row>
    <row r="923">
      <c r="A923" s="4" t="n"/>
      <c r="B923" s="5">
        <f>IF(A923="","",IFERROR(INDEX('جدول الجرد'!$A$2:$A$28,MATCH(A923,'جدول الجرد'!$B$2:$B$28,0)),""))</f>
        <v/>
      </c>
      <c r="C923" s="5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/>
      </c>
    </row>
    <row r="924">
      <c r="A924" s="4" t="n"/>
      <c r="B924" s="5">
        <f>IF(A924="","",IFERROR(INDEX('جدول الجرد'!$A$2:$A$28,MATCH(A924,'جدول الجرد'!$B$2:$B$28,0)),""))</f>
        <v/>
      </c>
      <c r="C924" s="5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/>
      </c>
    </row>
    <row r="925">
      <c r="A925" s="4" t="n"/>
      <c r="B925" s="5">
        <f>IF(A925="","",IFERROR(INDEX('جدول الجرد'!$A$2:$A$28,MATCH(A925,'جدول الجرد'!$B$2:$B$28,0)),""))</f>
        <v/>
      </c>
      <c r="C925" s="5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/>
      </c>
    </row>
    <row r="926">
      <c r="A926" s="4" t="n"/>
      <c r="B926" s="5">
        <f>IF(A926="","",IFERROR(INDEX('جدول الجرد'!$A$2:$A$28,MATCH(A926,'جدول الجرد'!$B$2:$B$28,0)),""))</f>
        <v/>
      </c>
      <c r="C926" s="5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/>
      </c>
    </row>
    <row r="927">
      <c r="A927" s="4" t="n"/>
      <c r="B927" s="5">
        <f>IF(A927="","",IFERROR(INDEX('جدول الجرد'!$A$2:$A$28,MATCH(A927,'جدول الجرد'!$B$2:$B$28,0)),""))</f>
        <v/>
      </c>
      <c r="C927" s="5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/>
      </c>
    </row>
    <row r="928">
      <c r="A928" s="4" t="n"/>
      <c r="B928" s="5">
        <f>IF(A928="","",IFERROR(INDEX('جدول الجرد'!$A$2:$A$28,MATCH(A928,'جدول الجرد'!$B$2:$B$28,0)),""))</f>
        <v/>
      </c>
      <c r="C928" s="5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/>
      </c>
    </row>
    <row r="929">
      <c r="A929" s="4" t="n"/>
      <c r="B929" s="5">
        <f>IF(A929="","",IFERROR(INDEX('جدول الجرد'!$A$2:$A$28,MATCH(A929,'جدول الجرد'!$B$2:$B$28,0)),""))</f>
        <v/>
      </c>
      <c r="C929" s="5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/>
      </c>
    </row>
    <row r="930">
      <c r="A930" s="4" t="n"/>
      <c r="B930" s="5">
        <f>IF(A930="","",IFERROR(INDEX('جدول الجرد'!$A$2:$A$28,MATCH(A930,'جدول الجرد'!$B$2:$B$28,0)),""))</f>
        <v/>
      </c>
      <c r="C930" s="5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/>
      </c>
    </row>
    <row r="931">
      <c r="A931" s="4" t="n"/>
      <c r="B931" s="5">
        <f>IF(A931="","",IFERROR(INDEX('جدول الجرد'!$A$2:$A$28,MATCH(A931,'جدول الجرد'!$B$2:$B$28,0)),""))</f>
        <v/>
      </c>
      <c r="C931" s="5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/>
      </c>
    </row>
    <row r="932">
      <c r="A932" s="4" t="n"/>
      <c r="B932" s="5">
        <f>IF(A932="","",IFERROR(INDEX('جدول الجرد'!$A$2:$A$28,MATCH(A932,'جدول الجرد'!$B$2:$B$28,0)),""))</f>
        <v/>
      </c>
      <c r="C932" s="5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/>
      </c>
    </row>
    <row r="933">
      <c r="A933" s="4" t="n"/>
      <c r="B933" s="5">
        <f>IF(A933="","",IFERROR(INDEX('جدول الجرد'!$A$2:$A$28,MATCH(A933,'جدول الجرد'!$B$2:$B$28,0)),""))</f>
        <v/>
      </c>
      <c r="C933" s="5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/>
      </c>
    </row>
    <row r="934">
      <c r="A934" s="4" t="n"/>
      <c r="B934" s="5">
        <f>IF(A934="","",IFERROR(INDEX('جدول الجرد'!$A$2:$A$28,MATCH(A934,'جدول الجرد'!$B$2:$B$28,0)),""))</f>
        <v/>
      </c>
      <c r="C934" s="5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/>
      </c>
    </row>
    <row r="935">
      <c r="A935" s="4" t="n"/>
      <c r="B935" s="5">
        <f>IF(A935="","",IFERROR(INDEX('جدول الجرد'!$A$2:$A$28,MATCH(A935,'جدول الجرد'!$B$2:$B$28,0)),""))</f>
        <v/>
      </c>
      <c r="C935" s="5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/>
      </c>
    </row>
    <row r="936">
      <c r="A936" s="4" t="n"/>
      <c r="B936" s="5">
        <f>IF(A936="","",IFERROR(INDEX('جدول الجرد'!$A$2:$A$28,MATCH(A936,'جدول الجرد'!$B$2:$B$28,0)),""))</f>
        <v/>
      </c>
      <c r="C936" s="5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/>
      </c>
    </row>
    <row r="937">
      <c r="A937" s="4" t="n"/>
      <c r="B937" s="5">
        <f>IF(A937="","",IFERROR(INDEX('جدول الجرد'!$A$2:$A$28,MATCH(A937,'جدول الجرد'!$B$2:$B$28,0)),""))</f>
        <v/>
      </c>
      <c r="C937" s="5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/>
      </c>
    </row>
    <row r="938">
      <c r="A938" s="4" t="n"/>
      <c r="B938" s="5">
        <f>IF(A938="","",IFERROR(INDEX('جدول الجرد'!$A$2:$A$28,MATCH(A938,'جدول الجرد'!$B$2:$B$28,0)),""))</f>
        <v/>
      </c>
      <c r="C938" s="5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/>
      </c>
    </row>
    <row r="939">
      <c r="A939" s="4" t="n"/>
      <c r="B939" s="5">
        <f>IF(A939="","",IFERROR(INDEX('جدول الجرد'!$A$2:$A$28,MATCH(A939,'جدول الجرد'!$B$2:$B$28,0)),""))</f>
        <v/>
      </c>
      <c r="C939" s="5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/>
      </c>
    </row>
    <row r="940">
      <c r="A940" s="4" t="n"/>
      <c r="B940" s="5">
        <f>IF(A940="","",IFERROR(INDEX('جدول الجرد'!$A$2:$A$28,MATCH(A940,'جدول الجرد'!$B$2:$B$28,0)),""))</f>
        <v/>
      </c>
      <c r="C940" s="5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/>
      </c>
    </row>
    <row r="941">
      <c r="A941" s="4" t="n"/>
      <c r="B941" s="5">
        <f>IF(A941="","",IFERROR(INDEX('جدول الجرد'!$A$2:$A$28,MATCH(A941,'جدول الجرد'!$B$2:$B$28,0)),""))</f>
        <v/>
      </c>
      <c r="C941" s="5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/>
      </c>
    </row>
    <row r="942">
      <c r="A942" s="4" t="n"/>
      <c r="B942" s="5">
        <f>IF(A942="","",IFERROR(INDEX('جدول الجرد'!$A$2:$A$28,MATCH(A942,'جدول الجرد'!$B$2:$B$28,0)),""))</f>
        <v/>
      </c>
      <c r="C942" s="5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/>
      </c>
    </row>
    <row r="943">
      <c r="A943" s="4" t="n"/>
      <c r="B943" s="5">
        <f>IF(A943="","",IFERROR(INDEX('جدول الجرد'!$A$2:$A$28,MATCH(A943,'جدول الجرد'!$B$2:$B$28,0)),""))</f>
        <v/>
      </c>
      <c r="C943" s="5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/>
      </c>
    </row>
    <row r="944">
      <c r="A944" s="4" t="n"/>
      <c r="B944" s="5">
        <f>IF(A944="","",IFERROR(INDEX('جدول الجرد'!$A$2:$A$28,MATCH(A944,'جدول الجرد'!$B$2:$B$28,0)),""))</f>
        <v/>
      </c>
      <c r="C944" s="5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/>
      </c>
    </row>
    <row r="945">
      <c r="A945" s="4" t="n"/>
      <c r="B945" s="5">
        <f>IF(A945="","",IFERROR(INDEX('جدول الجرد'!$A$2:$A$28,MATCH(A945,'جدول الجرد'!$B$2:$B$28,0)),""))</f>
        <v/>
      </c>
      <c r="C945" s="5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/>
      </c>
    </row>
    <row r="946">
      <c r="A946" s="4" t="n"/>
      <c r="B946" s="5">
        <f>IF(A946="","",IFERROR(INDEX('جدول الجرد'!$A$2:$A$28,MATCH(A946,'جدول الجرد'!$B$2:$B$28,0)),""))</f>
        <v/>
      </c>
      <c r="C946" s="5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/>
      </c>
    </row>
    <row r="947">
      <c r="A947" s="4" t="n"/>
      <c r="B947" s="5">
        <f>IF(A947="","",IFERROR(INDEX('جدول الجرد'!$A$2:$A$28,MATCH(A947,'جدول الجرد'!$B$2:$B$28,0)),""))</f>
        <v/>
      </c>
      <c r="C947" s="5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/>
      </c>
    </row>
    <row r="948">
      <c r="A948" s="4" t="n"/>
      <c r="B948" s="5">
        <f>IF(A948="","",IFERROR(INDEX('جدول الجرد'!$A$2:$A$28,MATCH(A948,'جدول الجرد'!$B$2:$B$28,0)),""))</f>
        <v/>
      </c>
      <c r="C948" s="5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/>
      </c>
    </row>
    <row r="949">
      <c r="A949" s="4" t="n"/>
      <c r="B949" s="5">
        <f>IF(A949="","",IFERROR(INDEX('جدول الجرد'!$A$2:$A$28,MATCH(A949,'جدول الجرد'!$B$2:$B$28,0)),""))</f>
        <v/>
      </c>
      <c r="C949" s="5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/>
      </c>
    </row>
    <row r="950">
      <c r="A950" s="4" t="n"/>
      <c r="B950" s="5">
        <f>IF(A950="","",IFERROR(INDEX('جدول الجرد'!$A$2:$A$28,MATCH(A950,'جدول الجرد'!$B$2:$B$28,0)),""))</f>
        <v/>
      </c>
      <c r="C950" s="5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/>
      </c>
    </row>
    <row r="951">
      <c r="A951" s="4" t="n"/>
      <c r="B951" s="5">
        <f>IF(A951="","",IFERROR(INDEX('جدول الجرد'!$A$2:$A$28,MATCH(A951,'جدول الجرد'!$B$2:$B$28,0)),""))</f>
        <v/>
      </c>
      <c r="C951" s="5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/>
      </c>
    </row>
    <row r="952">
      <c r="A952" s="4" t="n"/>
      <c r="B952" s="5">
        <f>IF(A952="","",IFERROR(INDEX('جدول الجرد'!$A$2:$A$28,MATCH(A952,'جدول الجرد'!$B$2:$B$28,0)),""))</f>
        <v/>
      </c>
      <c r="C952" s="5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/>
      </c>
    </row>
    <row r="953">
      <c r="A953" s="4" t="n"/>
      <c r="B953" s="5">
        <f>IF(A953="","",IFERROR(INDEX('جدول الجرد'!$A$2:$A$28,MATCH(A953,'جدول الجرد'!$B$2:$B$28,0)),""))</f>
        <v/>
      </c>
      <c r="C953" s="5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/>
      </c>
    </row>
    <row r="954">
      <c r="A954" s="4" t="n"/>
      <c r="B954" s="5">
        <f>IF(A954="","",IFERROR(INDEX('جدول الجرد'!$A$2:$A$28,MATCH(A954,'جدول الجرد'!$B$2:$B$28,0)),""))</f>
        <v/>
      </c>
      <c r="C954" s="5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/>
      </c>
    </row>
    <row r="955">
      <c r="A955" s="4" t="n"/>
      <c r="B955" s="5">
        <f>IF(A955="","",IFERROR(INDEX('جدول الجرد'!$A$2:$A$28,MATCH(A955,'جدول الجرد'!$B$2:$B$28,0)),""))</f>
        <v/>
      </c>
      <c r="C955" s="5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/>
      </c>
    </row>
    <row r="956">
      <c r="A956" s="4" t="n"/>
      <c r="B956" s="5">
        <f>IF(A956="","",IFERROR(INDEX('جدول الجرد'!$A$2:$A$28,MATCH(A956,'جدول الجرد'!$B$2:$B$28,0)),""))</f>
        <v/>
      </c>
      <c r="C956" s="5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/>
      </c>
    </row>
    <row r="957">
      <c r="A957" s="4" t="n"/>
      <c r="B957" s="5">
        <f>IF(A957="","",IFERROR(INDEX('جدول الجرد'!$A$2:$A$28,MATCH(A957,'جدول الجرد'!$B$2:$B$28,0)),""))</f>
        <v/>
      </c>
      <c r="C957" s="5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/>
      </c>
    </row>
    <row r="958">
      <c r="A958" s="4" t="n"/>
      <c r="B958" s="5">
        <f>IF(A958="","",IFERROR(INDEX('جدول الجرد'!$A$2:$A$28,MATCH(A958,'جدول الجرد'!$B$2:$B$28,0)),""))</f>
        <v/>
      </c>
      <c r="C958" s="5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/>
      </c>
    </row>
    <row r="959">
      <c r="A959" s="4" t="n"/>
      <c r="B959" s="5">
        <f>IF(A959="","",IFERROR(INDEX('جدول الجرد'!$A$2:$A$28,MATCH(A959,'جدول الجرد'!$B$2:$B$28,0)),""))</f>
        <v/>
      </c>
      <c r="C959" s="5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/>
      </c>
    </row>
    <row r="960">
      <c r="A960" s="4" t="n"/>
      <c r="B960" s="5">
        <f>IF(A960="","",IFERROR(INDEX('جدول الجرد'!$A$2:$A$28,MATCH(A960,'جدول الجرد'!$B$2:$B$28,0)),""))</f>
        <v/>
      </c>
      <c r="C960" s="5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/>
      </c>
    </row>
    <row r="961">
      <c r="A961" s="4" t="n"/>
      <c r="B961" s="5">
        <f>IF(A961="","",IFERROR(INDEX('جدول الجرد'!$A$2:$A$28,MATCH(A961,'جدول الجرد'!$B$2:$B$28,0)),""))</f>
        <v/>
      </c>
      <c r="C961" s="5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/>
      </c>
    </row>
    <row r="962">
      <c r="A962" s="4" t="n"/>
      <c r="B962" s="5">
        <f>IF(A962="","",IFERROR(INDEX('جدول الجرد'!$A$2:$A$28,MATCH(A962,'جدول الجرد'!$B$2:$B$28,0)),""))</f>
        <v/>
      </c>
      <c r="C962" s="5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/>
      </c>
    </row>
    <row r="963">
      <c r="A963" s="4" t="n"/>
      <c r="B963" s="5">
        <f>IF(A963="","",IFERROR(INDEX('جدول الجرد'!$A$2:$A$28,MATCH(A963,'جدول الجرد'!$B$2:$B$28,0)),""))</f>
        <v/>
      </c>
      <c r="C963" s="5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/>
      </c>
    </row>
    <row r="964">
      <c r="A964" s="4" t="n"/>
      <c r="B964" s="5">
        <f>IF(A964="","",IFERROR(INDEX('جدول الجرد'!$A$2:$A$28,MATCH(A964,'جدول الجرد'!$B$2:$B$28,0)),""))</f>
        <v/>
      </c>
      <c r="C964" s="5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/>
      </c>
    </row>
    <row r="965">
      <c r="A965" s="4" t="n"/>
      <c r="B965" s="5">
        <f>IF(A965="","",IFERROR(INDEX('جدول الجرد'!$A$2:$A$28,MATCH(A965,'جدول الجرد'!$B$2:$B$28,0)),""))</f>
        <v/>
      </c>
      <c r="C965" s="5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/>
      </c>
    </row>
    <row r="966">
      <c r="A966" s="4" t="n"/>
      <c r="B966" s="5">
        <f>IF(A966="","",IFERROR(INDEX('جدول الجرد'!$A$2:$A$28,MATCH(A966,'جدول الجرد'!$B$2:$B$28,0)),""))</f>
        <v/>
      </c>
      <c r="C966" s="5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/>
      </c>
    </row>
    <row r="967">
      <c r="A967" s="4" t="n"/>
      <c r="B967" s="5">
        <f>IF(A967="","",IFERROR(INDEX('جدول الجرد'!$A$2:$A$28,MATCH(A967,'جدول الجرد'!$B$2:$B$28,0)),""))</f>
        <v/>
      </c>
      <c r="C967" s="5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/>
      </c>
    </row>
    <row r="968">
      <c r="A968" s="4" t="n"/>
      <c r="B968" s="5">
        <f>IF(A968="","",IFERROR(INDEX('جدول الجرد'!$A$2:$A$28,MATCH(A968,'جدول الجرد'!$B$2:$B$28,0)),""))</f>
        <v/>
      </c>
      <c r="C968" s="5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/>
      </c>
    </row>
    <row r="969">
      <c r="A969" s="4" t="n"/>
      <c r="B969" s="5">
        <f>IF(A969="","",IFERROR(INDEX('جدول الجرد'!$A$2:$A$28,MATCH(A969,'جدول الجرد'!$B$2:$B$28,0)),""))</f>
        <v/>
      </c>
      <c r="C969" s="5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/>
      </c>
    </row>
    <row r="970">
      <c r="A970" s="4" t="n"/>
      <c r="B970" s="5">
        <f>IF(A970="","",IFERROR(INDEX('جدول الجرد'!$A$2:$A$28,MATCH(A970,'جدول الجرد'!$B$2:$B$28,0)),""))</f>
        <v/>
      </c>
      <c r="C970" s="5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/>
      </c>
    </row>
    <row r="971">
      <c r="A971" s="4" t="n"/>
      <c r="B971" s="5">
        <f>IF(A971="","",IFERROR(INDEX('جدول الجرد'!$A$2:$A$28,MATCH(A971,'جدول الجرد'!$B$2:$B$28,0)),""))</f>
        <v/>
      </c>
      <c r="C971" s="5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/>
      </c>
    </row>
    <row r="972">
      <c r="A972" s="4" t="n"/>
      <c r="B972" s="5">
        <f>IF(A972="","",IFERROR(INDEX('جدول الجرد'!$A$2:$A$28,MATCH(A972,'جدول الجرد'!$B$2:$B$28,0)),""))</f>
        <v/>
      </c>
      <c r="C972" s="5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/>
      </c>
    </row>
    <row r="973">
      <c r="A973" s="4" t="n"/>
      <c r="B973" s="5">
        <f>IF(A973="","",IFERROR(INDEX('جدول الجرد'!$A$2:$A$28,MATCH(A973,'جدول الجرد'!$B$2:$B$28,0)),""))</f>
        <v/>
      </c>
      <c r="C973" s="5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/>
      </c>
    </row>
    <row r="974">
      <c r="A974" s="4" t="n"/>
      <c r="B974" s="5">
        <f>IF(A974="","",IFERROR(INDEX('جدول الجرد'!$A$2:$A$28,MATCH(A974,'جدول الجرد'!$B$2:$B$28,0)),""))</f>
        <v/>
      </c>
      <c r="C974" s="5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/>
      </c>
    </row>
    <row r="975">
      <c r="A975" s="4" t="n"/>
      <c r="B975" s="5">
        <f>IF(A975="","",IFERROR(INDEX('جدول الجرد'!$A$2:$A$28,MATCH(A975,'جدول الجرد'!$B$2:$B$28,0)),""))</f>
        <v/>
      </c>
      <c r="C975" s="5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/>
      </c>
    </row>
    <row r="976">
      <c r="A976" s="4" t="n"/>
      <c r="B976" s="5">
        <f>IF(A976="","",IFERROR(INDEX('جدول الجرد'!$A$2:$A$28,MATCH(A976,'جدول الجرد'!$B$2:$B$28,0)),""))</f>
        <v/>
      </c>
      <c r="C976" s="5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/>
      </c>
    </row>
    <row r="977">
      <c r="A977" s="4" t="n"/>
      <c r="B977" s="5">
        <f>IF(A977="","",IFERROR(INDEX('جدول الجرد'!$A$2:$A$28,MATCH(A977,'جدول الجرد'!$B$2:$B$28,0)),""))</f>
        <v/>
      </c>
      <c r="C977" s="5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/>
      </c>
    </row>
    <row r="978">
      <c r="A978" s="4" t="n"/>
      <c r="B978" s="5">
        <f>IF(A978="","",IFERROR(INDEX('جدول الجرد'!$A$2:$A$28,MATCH(A978,'جدول الجرد'!$B$2:$B$28,0)),""))</f>
        <v/>
      </c>
      <c r="C978" s="5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/>
      </c>
    </row>
    <row r="979">
      <c r="A979" s="4" t="n"/>
      <c r="B979" s="5">
        <f>IF(A979="","",IFERROR(INDEX('جدول الجرد'!$A$2:$A$28,MATCH(A979,'جدول الجرد'!$B$2:$B$28,0)),""))</f>
        <v/>
      </c>
      <c r="C979" s="5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/>
      </c>
    </row>
    <row r="980">
      <c r="A980" s="4" t="n"/>
      <c r="B980" s="5">
        <f>IF(A980="","",IFERROR(INDEX('جدول الجرد'!$A$2:$A$28,MATCH(A980,'جدول الجرد'!$B$2:$B$28,0)),""))</f>
        <v/>
      </c>
      <c r="C980" s="5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/>
      </c>
    </row>
    <row r="981">
      <c r="A981" s="4" t="n"/>
      <c r="B981" s="5">
        <f>IF(A981="","",IFERROR(INDEX('جدول الجرد'!$A$2:$A$28,MATCH(A981,'جدول الجرد'!$B$2:$B$28,0)),""))</f>
        <v/>
      </c>
      <c r="C981" s="5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/>
      </c>
    </row>
    <row r="982">
      <c r="A982" s="4" t="n"/>
      <c r="B982" s="5">
        <f>IF(A982="","",IFERROR(INDEX('جدول الجرد'!$A$2:$A$28,MATCH(A982,'جدول الجرد'!$B$2:$B$28,0)),""))</f>
        <v/>
      </c>
      <c r="C982" s="5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/>
      </c>
    </row>
    <row r="983">
      <c r="A983" s="4" t="n"/>
      <c r="B983" s="5">
        <f>IF(A983="","",IFERROR(INDEX('جدول الجرد'!$A$2:$A$28,MATCH(A983,'جدول الجرد'!$B$2:$B$28,0)),""))</f>
        <v/>
      </c>
      <c r="C983" s="5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/>
      </c>
    </row>
    <row r="984">
      <c r="A984" s="4" t="n"/>
      <c r="B984" s="5">
        <f>IF(A984="","",IFERROR(INDEX('جدول الجرد'!$A$2:$A$28,MATCH(A984,'جدول الجرد'!$B$2:$B$28,0)),""))</f>
        <v/>
      </c>
      <c r="C984" s="5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/>
      </c>
    </row>
    <row r="985">
      <c r="A985" s="4" t="n"/>
      <c r="B985" s="5">
        <f>IF(A985="","",IFERROR(INDEX('جدول الجرد'!$A$2:$A$28,MATCH(A985,'جدول الجرد'!$B$2:$B$28,0)),""))</f>
        <v/>
      </c>
      <c r="C985" s="5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/>
      </c>
    </row>
    <row r="986">
      <c r="A986" s="4" t="n"/>
      <c r="B986" s="5">
        <f>IF(A986="","",IFERROR(INDEX('جدول الجرد'!$A$2:$A$28,MATCH(A986,'جدول الجرد'!$B$2:$B$28,0)),""))</f>
        <v/>
      </c>
      <c r="C986" s="5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/>
      </c>
    </row>
    <row r="987">
      <c r="A987" s="4" t="n"/>
      <c r="B987" s="5">
        <f>IF(A987="","",IFERROR(INDEX('جدول الجرد'!$A$2:$A$28,MATCH(A987,'جدول الجرد'!$B$2:$B$28,0)),""))</f>
        <v/>
      </c>
      <c r="C987" s="5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/>
      </c>
    </row>
    <row r="988">
      <c r="A988" s="4" t="n"/>
      <c r="B988" s="5">
        <f>IF(A988="","",IFERROR(INDEX('جدول الجرد'!$A$2:$A$28,MATCH(A988,'جدول الجرد'!$B$2:$B$28,0)),""))</f>
        <v/>
      </c>
      <c r="C988" s="5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/>
      </c>
    </row>
    <row r="989">
      <c r="A989" s="4" t="n"/>
      <c r="B989" s="5">
        <f>IF(A989="","",IFERROR(INDEX('جدول الجرد'!$A$2:$A$28,MATCH(A989,'جدول الجرد'!$B$2:$B$28,0)),""))</f>
        <v/>
      </c>
      <c r="C989" s="5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/>
      </c>
    </row>
    <row r="990">
      <c r="A990" s="4" t="n"/>
      <c r="B990" s="5">
        <f>IF(A990="","",IFERROR(INDEX('جدول الجرد'!$A$2:$A$28,MATCH(A990,'جدول الجرد'!$B$2:$B$28,0)),""))</f>
        <v/>
      </c>
      <c r="C990" s="5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/>
      </c>
    </row>
    <row r="991">
      <c r="A991" s="4" t="n"/>
      <c r="B991" s="5">
        <f>IF(A991="","",IFERROR(INDEX('جدول الجرد'!$A$2:$A$28,MATCH(A991,'جدول الجرد'!$B$2:$B$28,0)),""))</f>
        <v/>
      </c>
      <c r="C991" s="5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/>
      </c>
    </row>
    <row r="992">
      <c r="A992" s="4" t="n"/>
      <c r="B992" s="5">
        <f>IF(A992="","",IFERROR(INDEX('جدول الجرد'!$A$2:$A$28,MATCH(A992,'جدول الجرد'!$B$2:$B$28,0)),""))</f>
        <v/>
      </c>
      <c r="C992" s="5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/>
      </c>
    </row>
    <row r="993">
      <c r="A993" s="4" t="n"/>
      <c r="B993" s="5">
        <f>IF(A993="","",IFERROR(INDEX('جدول الجرد'!$A$2:$A$28,MATCH(A993,'جدول الجرد'!$B$2:$B$28,0)),""))</f>
        <v/>
      </c>
      <c r="C993" s="5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/>
      </c>
    </row>
    <row r="994">
      <c r="A994" s="4" t="n"/>
      <c r="B994" s="5">
        <f>IF(A994="","",IFERROR(INDEX('جدول الجرد'!$A$2:$A$28,MATCH(A994,'جدول الجرد'!$B$2:$B$28,0)),""))</f>
        <v/>
      </c>
      <c r="C994" s="5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/>
      </c>
    </row>
    <row r="995">
      <c r="A995" s="4" t="n"/>
      <c r="B995" s="5">
        <f>IF(A995="","",IFERROR(INDEX('جدول الجرد'!$A$2:$A$28,MATCH(A995,'جدول الجرد'!$B$2:$B$28,0)),""))</f>
        <v/>
      </c>
      <c r="C995" s="5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/>
      </c>
    </row>
    <row r="996">
      <c r="A996" s="4" t="n"/>
      <c r="B996" s="5">
        <f>IF(A996="","",IFERROR(INDEX('جدول الجرد'!$A$2:$A$28,MATCH(A996,'جدول الجرد'!$B$2:$B$28,0)),""))</f>
        <v/>
      </c>
      <c r="C996" s="5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/>
      </c>
    </row>
    <row r="997">
      <c r="A997" s="4" t="n"/>
      <c r="B997" s="5">
        <f>IF(A997="","",IFERROR(INDEX('جدول الجرد'!$A$2:$A$28,MATCH(A997,'جدول الجرد'!$B$2:$B$28,0)),""))</f>
        <v/>
      </c>
      <c r="C997" s="5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/>
      </c>
    </row>
    <row r="998">
      <c r="A998" s="4" t="n"/>
      <c r="B998" s="5">
        <f>IF(A998="","",IFERROR(INDEX('جدول الجرد'!$A$2:$A$28,MATCH(A998,'جدول الجرد'!$B$2:$B$28,0)),""))</f>
        <v/>
      </c>
      <c r="C998" s="5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/>
      </c>
    </row>
    <row r="999">
      <c r="A999" s="4" t="n"/>
      <c r="B999" s="5">
        <f>IF(A999="","",IFERROR(INDEX('جدول الجرد'!$A$2:$A$28,MATCH(A999,'جدول الجرد'!$B$2:$B$28,0)),""))</f>
        <v/>
      </c>
      <c r="C999" s="5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/>
      </c>
    </row>
    <row r="1000">
      <c r="A1000" s="4" t="n"/>
      <c r="B1000" s="5">
        <f>IF(A1000="","",IFERROR(INDEX('جدول الجرد'!$A$2:$A$28,MATCH(A1000,'جدول الجرد'!$B$2:$B$28,0)),""))</f>
        <v/>
      </c>
      <c r="C1000" s="5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/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2026-09-26T12:26:49Z</dcterms:created>
  <dcterms:modified xsi:type="dcterms:W3CDTF">2026-09-26T12:26:50Z</dcterms:modified>
</cp:coreProperties>
</file>