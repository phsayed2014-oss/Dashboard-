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13</v>
      </c>
      <c r="C4" s="5">
        <f>IF(A4="","",COUNTIFS(السجل!$E$2:$E$1000,A4,السجل!$H$2:$H$1000,"مراجعة فقط"))</f>
        <v>8</v>
      </c>
      <c r="D4" s="5">
        <f>IF(A4="","",COUNTIFS(السجل!$E$2:$E$1000,A4,السجل!$H$2:$H$1000,"جرد فقط"))</f>
        <v>0</v>
      </c>
      <c r="E4" s="5">
        <f>IF(A4="","",SUM(B4:D4))</f>
        <v>21</v>
      </c>
      <c r="F4" s="6">
        <f>IF(A4="","",SUMIFS(السجل!$I$2:$I$1000,السجل!$E$2:$E$1000,A4))</f>
        <v>3800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2</v>
      </c>
      <c r="C5" s="5">
        <f>IF(A5="","",COUNTIFS(السجل!$E$2:$E$1000,A5,السجل!$H$2:$H$1000,"مراجعة فقط"))</f>
        <v>19</v>
      </c>
      <c r="D5" s="5">
        <f>IF(A5="","",COUNTIFS(السجل!$E$2:$E$1000,A5,السجل!$H$2:$H$1000,"جرد فقط"))</f>
        <v>0</v>
      </c>
      <c r="E5" s="5">
        <f>IF(A5="","",SUM(B5:D5))</f>
        <v>21</v>
      </c>
      <c r="F5" s="6">
        <f>IF(A5="","",SUMIFS(السجل!$I$2:$I$1000,السجل!$E$2:$E$1000,A5))</f>
        <v>3250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13</v>
      </c>
      <c r="D7" s="5">
        <f>IF(A7="","",COUNTIFS(السجل!$E$2:$E$1000,A7,السجل!$H$2:$H$1000,"جرد فقط"))</f>
        <v>0</v>
      </c>
      <c r="E7" s="5">
        <f>IF(A7="","",SUM(B7:D7))</f>
        <v>13</v>
      </c>
      <c r="F7" s="6">
        <f>IF(A7="","",SUMIFS(السجل!$I$2:$I$1000,السجل!$E$2:$E$1000,A7))</f>
        <v>1950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6</v>
      </c>
      <c r="C8" s="5">
        <f>IF(A8="","",COUNTIFS(السجل!$E$2:$E$1000,A8,السجل!$H$2:$H$1000,"مراجعة فقط"))</f>
        <v>7</v>
      </c>
      <c r="D8" s="5">
        <f>IF(A8="","",COUNTIFS(السجل!$E$2:$E$1000,A8,السجل!$H$2:$H$1000,"جرد فقط"))</f>
        <v>0</v>
      </c>
      <c r="E8" s="5">
        <f>IF(A8="","",SUM(B8:D8))</f>
        <v>13</v>
      </c>
      <c r="F8" s="6">
        <f>IF(A8="","",SUMIFS(السجل!$I$2:$I$1000,السجل!$E$2:$E$1000,A8))</f>
        <v>2250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6</v>
      </c>
      <c r="D9" s="5">
        <f>IF(A9="","",COUNTIFS(السجل!$E$2:$E$1000,A9,السجل!$H$2:$H$1000,"جرد فقط"))</f>
        <v>0</v>
      </c>
      <c r="E9" s="5">
        <f>IF(A9="","",SUM(B9:D9))</f>
        <v>6</v>
      </c>
      <c r="F9" s="6">
        <f>IF(A9="","",SUMIFS(السجل!$I$2:$I$1000,السجل!$E$2:$E$1000,A9))</f>
        <v>900</v>
      </c>
    </row>
    <row r="10">
      <c r="A10" s="4" t="n"/>
      <c r="B10" s="5" t="str">
        <f>IF(A10="","",COUNTIFS(السجل!$E$2:$E$1000,A10,السجل!$H$2:$H$1000,"جرد + مراجعة"))</f>
        <v/>
      </c>
      <c r="C10" s="5" t="str">
        <f>IF(A10="","",COUNTIFS(السجل!$E$2:$E$1000,A10,السجل!$H$2:$H$1000,"مراجعة فقط"))</f>
        <v/>
      </c>
      <c r="D10" s="5" t="str">
        <f>IF(A10="","",COUNTIFS(السجل!$E$2:$E$1000,A10,السجل!$H$2:$H$1000,"جرد فقط"))</f>
        <v/>
      </c>
      <c r="E10" s="5" t="str">
        <f>IF(A10="","",SUM(B10:D10))</f>
        <v/>
      </c>
      <c r="F10" s="6" t="str">
        <f>IF(A10="","",SUMIFS(السجل!$I$2:$I$1000,السجل!$E$2:$E$1000,A10))</f>
        <v/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21</v>
      </c>
      <c r="C19" s="7">
        <f>SUM(C4:C18)</f>
        <v>64</v>
      </c>
      <c r="D19" s="7">
        <f>SUM(D4:D18)</f>
        <v>0</v>
      </c>
      <c r="E19" s="7">
        <f>SUM(E4:E18)</f>
        <v>85</v>
      </c>
      <c r="F19" s="8">
        <f>SUM(F4:F18)</f>
        <v>13800</v>
      </c>
    </row>
    <row r="21">
      <c r="A21" s="5" t="inlineStr">
        <is>
          <t>للتحقق: إجمالي السجل</t>
        </is>
      </c>
      <c r="F21" s="9">
        <f>SUM(السجل!$I$2:$I$1000)</f>
        <v>13800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الاثنين
2026-10-05</t>
        </is>
      </c>
      <c r="M1" s="3" t="inlineStr">
        <is>
          <t>الثلاثاء
2026-10-06</t>
        </is>
      </c>
      <c r="N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9">
        <f>SUMIFS(السجل!$I$2:$I$1000,السجل!$E$2:$E$1000,$A2,السجل!$A$2:$A$1000,L$1000)</f>
        <v>300</v>
      </c>
      <c r="M2" s="9">
        <f>SUMIFS(السجل!$I$2:$I$1000,السجل!$E$2:$E$1000,$A2,السجل!$A$2:$A$1000,M$1000)</f>
        <v>400</v>
      </c>
      <c r="N2" s="6">
        <f>SUM(B2:M2)</f>
        <v>3800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9">
        <f>SUMIFS(السجل!$I$2:$I$1000,السجل!$E$2:$E$1000,$A3,السجل!$A$2:$A$1000,L$1000)</f>
        <v>400</v>
      </c>
      <c r="M3" s="9">
        <f>SUMIFS(السجل!$I$2:$I$1000,السجل!$E$2:$E$1000,$A3,السجل!$A$2:$A$1000,M$1000)</f>
        <v>300</v>
      </c>
      <c r="N3" s="6">
        <f>SUM(B3:M3)</f>
        <v>3250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6">
        <f>SUM(B4:M4)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6">
        <f>SUM(B5:M5)</f>
        <v>1950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6">
        <f>SUM(B6:M6)</f>
        <v>2250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6">
        <f>SUM(B7:M7)</f>
        <v>900</v>
      </c>
    </row>
    <row r="8">
      <c r="A8" s="7" t="inlineStr">
        <is>
          <t>الإجمالي</t>
        </is>
      </c>
      <c r="B8" s="8">
        <f>SUM(B2:B7)</f>
        <v>1150</v>
      </c>
      <c r="C8" s="8">
        <f>SUM(C2:C7)</f>
        <v>1000</v>
      </c>
      <c r="D8" s="8">
        <f>SUM(D2:D7)</f>
        <v>1150</v>
      </c>
      <c r="E8" s="8">
        <f>SUM(E2:E7)</f>
        <v>1150</v>
      </c>
      <c r="F8" s="8">
        <f>SUM(F2:F7)</f>
        <v>1600</v>
      </c>
      <c r="G8" s="8">
        <f>SUM(G2:G7)</f>
        <v>1450</v>
      </c>
      <c r="H8" s="8">
        <f>SUM(H2:H7)</f>
        <v>800</v>
      </c>
      <c r="I8" s="8">
        <f>SUM(I2:I7)</f>
        <v>800</v>
      </c>
      <c r="J8" s="8">
        <f>SUM(J2:J7)</f>
        <v>800</v>
      </c>
      <c r="K8" s="8">
        <f>SUM(K2:K7)</f>
        <v>1300</v>
      </c>
      <c r="L8" s="8">
        <f>SUM(L2:L7)</f>
        <v>1300</v>
      </c>
      <c r="M8" s="8">
        <f>SUM(M2:M7)</f>
        <v>1300</v>
      </c>
      <c r="N8" s="8">
        <f>SUM(N2:N7)</f>
        <v>13800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  <c r="L1000" t="inlineStr">
        <is>
          <t>2026-10-05</t>
        </is>
      </c>
      <c r="M1000" t="inlineStr">
        <is>
          <t>2026-10-06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الجرد'!$A$2:$A$29,MATCH(A63,'جدول الجرد'!$B$2:$B$29,0)),""))</f>
        <v>الأحد</v>
      </c>
      <c r="C63" s="5" t="str">
        <f>IF(A63="","",IFERROR(INDEX('جدول الجرد'!$E$2:$E$29,MATCH(A63,'جدول الجرد'!$B$2:$B$29,0)),""))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الجرد'!$A$2:$A$29,MATCH(A64,'جدول الجرد'!$B$2:$B$29,0)),""))</f>
        <v>الأحد</v>
      </c>
      <c r="C64" s="5" t="str">
        <f>IF(A64="","",IFERROR(INDEX('جدول الجرد'!$E$2:$E$29,MATCH(A64,'جدول الجرد'!$B$2:$B$29,0)),""))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الجرد'!$A$2:$A$29,MATCH(A65,'جدول الجرد'!$B$2:$B$29,0)),""))</f>
        <v>الأحد</v>
      </c>
      <c r="C65" s="5" t="str">
        <f>IF(A65="","",IFERROR(INDEX('جدول الجرد'!$E$2:$E$29,MATCH(A65,'جدول الجرد'!$B$2:$B$29,0)),""))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الجرد'!$A$2:$A$29,MATCH(A66,'جدول الجرد'!$B$2:$B$29,0)),""))</f>
        <v>الأحد</v>
      </c>
      <c r="C66" s="5" t="str">
        <f>IF(A66="","",IFERROR(INDEX('جدول الجرد'!$E$2:$E$29,MATCH(A66,'جدول الجرد'!$B$2:$B$29,0)),""))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الجرد'!$A$2:$A$29,MATCH(A67,'جدول الجرد'!$B$2:$B$29,0)),""))</f>
        <v>الأحد</v>
      </c>
      <c r="C67" s="5" t="str">
        <f>IF(A67="","",IFERROR(INDEX('جدول الجرد'!$E$2:$E$29,MATCH(A67,'جدول الجرد'!$B$2:$B$29,0)),""))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الجرد'!$A$2:$A$29,MATCH(A68,'جدول الجرد'!$B$2:$B$29,0)),""))</f>
        <v>الأحد</v>
      </c>
      <c r="C68" s="5" t="str">
        <f>IF(A68="","",IFERROR(INDEX('جدول الجرد'!$E$2:$E$29,MATCH(A68,'جدول الجرد'!$B$2:$B$29,0)),""))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الجرد'!$A$2:$A$29,MATCH(A69,'جدول الجرد'!$B$2:$B$29,0)),""))</f>
        <v>الأحد</v>
      </c>
      <c r="C69" s="5" t="str">
        <f>IF(A69="","",IFERROR(INDEX('جدول الجرد'!$E$2:$E$29,MATCH(A69,'جدول الجرد'!$B$2:$B$29,0)),""))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الجرد'!$A$2:$A$29,MATCH(A70,'جدول الجرد'!$B$2:$B$29,0)),""))</f>
        <v>الأحد</v>
      </c>
      <c r="C70" s="5" t="str">
        <f>IF(A70="","",IFERROR(INDEX('جدول الجرد'!$E$2:$E$29,MATCH(A70,'جدول الجرد'!$B$2:$B$29,0)),""))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الجرد'!$A$2:$A$29,MATCH(A71,'جدول الجرد'!$B$2:$B$29,0)),""))</f>
        <v>الاثنين</v>
      </c>
      <c r="C71" s="5" t="str">
        <f>IF(A71="","",IFERROR(INDEX('جدول الجرد'!$E$2:$E$29,MATCH(A71,'جدول الجرد'!$B$2:$B$29,0)),""))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الجرد'!$A$2:$A$29,MATCH(A72,'جدول الجرد'!$B$2:$B$29,0)),""))</f>
        <v>الاثنين</v>
      </c>
      <c r="C72" s="5" t="str">
        <f>IF(A72="","",IFERROR(INDEX('جدول الجرد'!$E$2:$E$29,MATCH(A72,'جدول الجرد'!$B$2:$B$29,0)),""))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الجرد'!$A$2:$A$29,MATCH(A73,'جدول الجرد'!$B$2:$B$29,0)),""))</f>
        <v>الاثنين</v>
      </c>
      <c r="C73" s="5" t="str">
        <f>IF(A73="","",IFERROR(INDEX('جدول الجرد'!$E$2:$E$29,MATCH(A73,'جدول الجرد'!$B$2:$B$29,0)),""))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الجرد'!$A$2:$A$29,MATCH(A74,'جدول الجرد'!$B$2:$B$29,0)),""))</f>
        <v>الاثنين</v>
      </c>
      <c r="C74" s="5" t="str">
        <f>IF(A74="","",IFERROR(INDEX('جدول الجرد'!$E$2:$E$29,MATCH(A74,'جدول الجرد'!$B$2:$B$29,0)),""))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الجرد'!$A$2:$A$29,MATCH(A75,'جدول الجرد'!$B$2:$B$29,0)),""))</f>
        <v>الاثنين</v>
      </c>
      <c r="C75" s="5" t="str">
        <f>IF(A75="","",IFERROR(INDEX('جدول الجرد'!$E$2:$E$29,MATCH(A75,'جدول الجرد'!$B$2:$B$29,0)),""))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الجرد'!$A$2:$A$29,MATCH(A76,'جدول الجرد'!$B$2:$B$29,0)),""))</f>
        <v>الاثنين</v>
      </c>
      <c r="C76" s="5" t="str">
        <f>IF(A76="","",IFERROR(INDEX('جدول الجرد'!$E$2:$E$29,MATCH(A76,'جدول الجرد'!$B$2:$B$29,0)),""))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الجرد'!$A$2:$A$29,MATCH(A77,'جدول الجرد'!$B$2:$B$29,0)),""))</f>
        <v>الاثنين</v>
      </c>
      <c r="C77" s="5" t="str">
        <f>IF(A77="","",IFERROR(INDEX('جدول الجرد'!$E$2:$E$29,MATCH(A77,'جدول الجرد'!$B$2:$B$29,0)),""))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الجرد'!$A$2:$A$29,MATCH(A78,'جدول الجرد'!$B$2:$B$29,0)),""))</f>
        <v>الاثنين</v>
      </c>
      <c r="C78" s="5" t="str">
        <f>IF(A78="","",IFERROR(INDEX('جدول الجرد'!$E$2:$E$29,MATCH(A78,'جدول الجرد'!$B$2:$B$29,0)),""))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الجرد'!$A$2:$A$29,MATCH(A79,'جدول الجرد'!$B$2:$B$29,0)),""))</f>
        <v>الثلاثاء</v>
      </c>
      <c r="C79" s="5" t="str">
        <f>IF(A79="","",IFERROR(INDEX('جدول الجرد'!$E$2:$E$29,MATCH(A79,'جدول الجرد'!$B$2:$B$29,0)),""))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الجرد'!$A$2:$A$29,MATCH(A80,'جدول الجرد'!$B$2:$B$29,0)),""))</f>
        <v>الثلاثاء</v>
      </c>
      <c r="C80" s="5" t="str">
        <f>IF(A80="","",IFERROR(INDEX('جدول الجرد'!$E$2:$E$29,MATCH(A80,'جدول الجرد'!$B$2:$B$29,0)),""))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الجرد'!$A$2:$A$29,MATCH(A81,'جدول الجرد'!$B$2:$B$29,0)),""))</f>
        <v>الثلاثاء</v>
      </c>
      <c r="C81" s="5" t="str">
        <f>IF(A81="","",IFERROR(INDEX('جدول الجرد'!$E$2:$E$29,MATCH(A81,'جدول الجرد'!$B$2:$B$29,0)),""))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الجرد'!$A$2:$A$29,MATCH(A82,'جدول الجرد'!$B$2:$B$29,0)),""))</f>
        <v>الثلاثاء</v>
      </c>
      <c r="C82" s="5" t="str">
        <f>IF(A82="","",IFERROR(INDEX('جدول الجرد'!$E$2:$E$29,MATCH(A82,'جدول الجرد'!$B$2:$B$29,0)),""))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الجرد'!$A$2:$A$29,MATCH(A83,'جدول الجرد'!$B$2:$B$29,0)),""))</f>
        <v>الثلاثاء</v>
      </c>
      <c r="C83" s="5" t="str">
        <f>IF(A83="","",IFERROR(INDEX('جدول الجرد'!$E$2:$E$29,MATCH(A83,'جدول الجرد'!$B$2:$B$29,0)),""))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الجرد'!$A$2:$A$29,MATCH(A84,'جدول الجرد'!$B$2:$B$29,0)),""))</f>
        <v>الثلاثاء</v>
      </c>
      <c r="C84" s="5" t="str">
        <f>IF(A84="","",IFERROR(INDEX('جدول الجرد'!$E$2:$E$29,MATCH(A84,'جدول الجرد'!$B$2:$B$29,0)),""))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الجرد'!$A$2:$A$29,MATCH(A85,'جدول الجرد'!$B$2:$B$29,0)),""))</f>
        <v>الثلاثاء</v>
      </c>
      <c r="C85" s="5" t="str">
        <f>IF(A85="","",IFERROR(INDEX('جدول الجرد'!$E$2:$E$29,MATCH(A85,'جدول الجرد'!$B$2:$B$29,0)),""))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الجرد'!$A$2:$A$29,MATCH(A86,'جدول الجرد'!$B$2:$B$29,0)),""))</f>
        <v>الثلاثاء</v>
      </c>
      <c r="C86" s="5" t="str">
        <f>IF(A86="","",IFERROR(INDEX('جدول الجرد'!$E$2:$E$29,MATCH(A86,'جدول الجرد'!$B$2:$B$29,0)),""))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n"/>
      <c r="B87" s="5" t="str">
        <f>IF(A87="","",IFERROR(INDEX('جدول الجرد'!$A$2:$A$29,MATCH(A87,'جدول الجرد'!$B$2:$B$29,0)),""))</f>
        <v/>
      </c>
      <c r="C87" s="5" t="str">
        <f>IF(A87="","",IFERROR(INDEX('جدول الجرد'!$E$2:$E$29,MATCH(A87,'جدول الجرد'!$B$2:$B$29,0)),""))</f>
        <v/>
      </c>
      <c r="D87" s="4" t="n"/>
      <c r="E87" s="4" t="n"/>
      <c r="F87" s="4" t="n"/>
      <c r="G87" s="4" t="n"/>
      <c r="H87" s="5" t="str">
        <f>IF(E87="","",IF(AND(F87="نعم",G87="نعم"),"جرد + مراجعة",IF(F87="نعم","جرد فقط",IF(G87="نعم","مراجعة فقط",""))))</f>
        <v/>
      </c>
      <c r="I87" s="9">
        <f>IF(H87="جرد + مراجعة",الإعدادات!$B$2,IF(H87="مراجعة فقط",الإعدادات!$B$3,IF(H87="جرد فقط",الإعدادات!$B$4,0)))</f>
        <v>0</v>
      </c>
    </row>
    <row r="88">
      <c r="A88" s="4" t="n"/>
      <c r="B88" s="5" t="str">
        <f>IF(A88="","",IFERROR(INDEX('جدول الجرد'!$A$2:$A$29,MATCH(A88,'جدول الجرد'!$B$2:$B$29,0)),""))</f>
        <v/>
      </c>
      <c r="C88" s="5" t="str">
        <f>IF(A88="","",IFERROR(INDEX('جدول الجرد'!$E$2:$E$29,MATCH(A88,'جدول الجرد'!$B$2:$B$29,0)),""))</f>
        <v/>
      </c>
      <c r="D88" s="4" t="n"/>
      <c r="E88" s="4" t="n"/>
      <c r="F88" s="4" t="n"/>
      <c r="G88" s="4" t="n"/>
      <c r="H88" s="5" t="str">
        <f>IF(E88="","",IF(AND(F88="نعم",G88="نعم"),"جرد + مراجعة",IF(F88="نعم","جرد فقط",IF(G88="نعم","مراجعة فقط",""))))</f>
        <v/>
      </c>
      <c r="I88" s="9">
        <f>IF(H88="جرد + مراجعة",الإعدادات!$B$2,IF(H88="مراجعة فقط",الإعدادات!$B$3,IF(H88="جرد فقط",الإعدادات!$B$4,0)))</f>
        <v>0</v>
      </c>
    </row>
    <row r="89">
      <c r="A89" s="4" t="n"/>
      <c r="B89" s="5" t="str">
        <f>IF(A89="","",IFERROR(INDEX('جدول الجرد'!$A$2:$A$29,MATCH(A89,'جدول الجرد'!$B$2:$B$29,0)),""))</f>
        <v/>
      </c>
      <c r="C89" s="5" t="str">
        <f>IF(A89="","",IFERROR(INDEX('جدول الجرد'!$E$2:$E$29,MATCH(A89,'جدول الجرد'!$B$2:$B$29,0)),""))</f>
        <v/>
      </c>
      <c r="D89" s="4" t="n"/>
      <c r="E89" s="4" t="n"/>
      <c r="F89" s="4" t="n"/>
      <c r="G89" s="4" t="n"/>
      <c r="H89" s="5" t="str">
        <f>IF(E89="","",IF(AND(F89="نعم",G89="نعم"),"جرد + مراجعة",IF(F89="نعم","جرد فقط",IF(G89="نعم","مراجعة فقط",""))))</f>
        <v/>
      </c>
      <c r="I89" s="9">
        <f>IF(H89="جرد + مراجعة",الإعدادات!$B$2,IF(H89="مراجعة فقط",الإعدادات!$B$3,IF(H89="جرد فقط",الإعدادات!$B$4,0)))</f>
        <v>0</v>
      </c>
    </row>
    <row r="90">
      <c r="A90" s="4" t="n"/>
      <c r="B90" s="5" t="str">
        <f>IF(A90="","",IFERROR(INDEX('جدول الجرد'!$A$2:$A$29,MATCH(A90,'جدول الجرد'!$B$2:$B$29,0)),""))</f>
        <v/>
      </c>
      <c r="C90" s="5" t="str">
        <f>IF(A90="","",IFERROR(INDEX('جدول الجرد'!$E$2:$E$29,MATCH(A90,'جدول الجرد'!$B$2:$B$29,0)),""))</f>
        <v/>
      </c>
      <c r="D90" s="4" t="n"/>
      <c r="E90" s="4" t="n"/>
      <c r="F90" s="4" t="n"/>
      <c r="G90" s="4" t="n"/>
      <c r="H90" s="5" t="str">
        <f>IF(E90="","",IF(AND(F90="نعم",G90="نعم"),"جرد + مراجعة",IF(F90="نعم","جرد فقط",IF(G90="نعم","مراجعة فقط",""))))</f>
        <v/>
      </c>
      <c r="I90" s="9">
        <f>IF(H90="جرد + مراجعة",الإعدادات!$B$2,IF(H90="مراجعة فقط",الإعدادات!$B$3,IF(H90="جرد فقط",الإعدادات!$B$4,0)))</f>
        <v>0</v>
      </c>
    </row>
    <row r="91">
      <c r="A91" s="4" t="n"/>
      <c r="B91" s="5" t="str">
        <f>IF(A91="","",IFERROR(INDEX('جدول الجرد'!$A$2:$A$29,MATCH(A91,'جدول الجرد'!$B$2:$B$29,0)),""))</f>
        <v/>
      </c>
      <c r="C91" s="5" t="str">
        <f>IF(A91="","",IFERROR(INDEX('جدول الجرد'!$E$2:$E$29,MATCH(A91,'جدول الجرد'!$B$2:$B$29,0)),""))</f>
        <v/>
      </c>
      <c r="D91" s="4" t="n"/>
      <c r="E91" s="4" t="n"/>
      <c r="F91" s="4" t="n"/>
      <c r="G91" s="4" t="n"/>
      <c r="H91" s="5" t="str">
        <f>IF(E91="","",IF(AND(F91="نعم",G91="نعم"),"جرد + مراجعة",IF(F91="نعم","جرد فقط",IF(G91="نعم","مراجعة فقط",""))))</f>
        <v/>
      </c>
      <c r="I91" s="9">
        <f>IF(H91="جرد + مراجعة",الإعدادات!$B$2,IF(H91="مراجعة فقط",الإعدادات!$B$3,IF(H91="جرد فقط",الإعدادات!$B$4,0)))</f>
        <v>0</v>
      </c>
    </row>
    <row r="92">
      <c r="A92" s="4" t="n"/>
      <c r="B92" s="5" t="str">
        <f>IF(A92="","",IFERROR(INDEX('جدول الجرد'!$A$2:$A$29,MATCH(A92,'جدول الجرد'!$B$2:$B$29,0)),""))</f>
        <v/>
      </c>
      <c r="C92" s="5" t="str">
        <f>IF(A92="","",IFERROR(INDEX('جدول الجرد'!$E$2:$E$29,MATCH(A92,'جدول الجرد'!$B$2:$B$29,0)),""))</f>
        <v/>
      </c>
      <c r="D92" s="4" t="n"/>
      <c r="E92" s="4" t="n"/>
      <c r="F92" s="4" t="n"/>
      <c r="G92" s="4" t="n"/>
      <c r="H92" s="5" t="str">
        <f>IF(E92="","",IF(AND(F92="نعم",G92="نعم"),"جرد + مراجعة",IF(F92="نعم","جرد فقط",IF(G92="نعم","مراجعة فقط",""))))</f>
        <v/>
      </c>
      <c r="I92" s="9">
        <f>IF(H92="جرد + مراجعة",الإعدادات!$B$2,IF(H92="مراجعة فقط",الإعدادات!$B$3,IF(H92="جرد فقط",الإعدادات!$B$4,0)))</f>
        <v>0</v>
      </c>
    </row>
    <row r="93">
      <c r="A93" s="4" t="n"/>
      <c r="B93" s="5" t="str">
        <f>IF(A93="","",IFERROR(INDEX('جدول الجرد'!$A$2:$A$29,MATCH(A93,'جدول الجرد'!$B$2:$B$29,0)),""))</f>
        <v/>
      </c>
      <c r="C93" s="5" t="str">
        <f>IF(A93="","",IFERROR(INDEX('جدول الجرد'!$E$2:$E$29,MATCH(A93,'جدول الجرد'!$B$2:$B$29,0)),""))</f>
        <v/>
      </c>
      <c r="D93" s="4" t="n"/>
      <c r="E93" s="4" t="n"/>
      <c r="F93" s="4" t="n"/>
      <c r="G93" s="4" t="n"/>
      <c r="H93" s="5" t="str">
        <f>IF(E93="","",IF(AND(F93="نعم",G93="نعم"),"جرد + مراجعة",IF(F93="نعم","جرد فقط",IF(G93="نعم","مراجعة فقط",""))))</f>
        <v/>
      </c>
      <c r="I93" s="9">
        <f>IF(H93="جرد + مراجعة",الإعدادات!$B$2,IF(H93="مراجعة فقط",الإعدادات!$B$3,IF(H93="جرد فقط",الإعدادات!$B$4,0)))</f>
        <v>0</v>
      </c>
    </row>
    <row r="94">
      <c r="A94" s="4" t="n"/>
      <c r="B94" s="5" t="str">
        <f>IF(A94="","",IFERROR(INDEX('جدول الجرد'!$A$2:$A$29,MATCH(A94,'جدول الجرد'!$B$2:$B$29,0)),""))</f>
        <v/>
      </c>
      <c r="C94" s="5" t="str">
        <f>IF(A94="","",IFERROR(INDEX('جدول الجرد'!$E$2:$E$29,MATCH(A94,'جدول الجرد'!$B$2:$B$29,0)),""))</f>
        <v/>
      </c>
      <c r="D94" s="4" t="n"/>
      <c r="E94" s="4" t="n"/>
      <c r="F94" s="4" t="n"/>
      <c r="G94" s="4" t="n"/>
      <c r="H94" s="5" t="str">
        <f>IF(E94="","",IF(AND(F94="نعم",G94="نعم"),"جرد + مراجعة",IF(F94="نعم","جرد فقط",IF(G94="نعم","مراجعة فقط",""))))</f>
        <v/>
      </c>
      <c r="I94" s="9">
        <f>IF(H94="جرد + مراجعة",الإعدادات!$B$2,IF(H94="مراجعة فقط",الإعدادات!$B$3,IF(H94="جرد فقط",الإعدادات!$B$4,0)))</f>
        <v>0</v>
      </c>
    </row>
    <row r="95">
      <c r="A95" s="4" t="n"/>
      <c r="B95" s="5" t="str">
        <f>IF(A95="","",IFERROR(INDEX('جدول الجرد'!$A$2:$A$29,MATCH(A95,'جدول الجرد'!$B$2:$B$29,0)),""))</f>
        <v/>
      </c>
      <c r="C95" s="5" t="str">
        <f>IF(A95="","",IFERROR(INDEX('جدول الجرد'!$E$2:$E$29,MATCH(A95,'جدول الجرد'!$B$2:$B$29,0)),""))</f>
        <v/>
      </c>
      <c r="D95" s="4" t="n"/>
      <c r="E95" s="4" t="n"/>
      <c r="F95" s="4" t="n"/>
      <c r="G95" s="4" t="n"/>
      <c r="H95" s="5" t="str">
        <f>IF(E95="","",IF(AND(F95="نعم",G95="نعم"),"جرد + مراجعة",IF(F95="نعم","جرد فقط",IF(G95="نعم","مراجعة فقط",""))))</f>
        <v/>
      </c>
      <c r="I95" s="9">
        <f>IF(H95="جرد + مراجعة",الإعدادات!$B$2,IF(H95="مراجعة فقط",الإعدادات!$B$3,IF(H95="جرد فقط",الإعدادات!$B$4,0)))</f>
        <v>0</v>
      </c>
    </row>
    <row r="96">
      <c r="A96" s="4" t="n"/>
      <c r="B96" s="5" t="str">
        <f>IF(A96="","",IFERROR(INDEX('جدول الجرد'!$A$2:$A$29,MATCH(A96,'جدول الجرد'!$B$2:$B$29,0)),""))</f>
        <v/>
      </c>
      <c r="C96" s="5" t="str">
        <f>IF(A96="","",IFERROR(INDEX('جدول الجرد'!$E$2:$E$29,MATCH(A96,'جدول الجرد'!$B$2:$B$29,0)),""))</f>
        <v/>
      </c>
      <c r="D96" s="4" t="n"/>
      <c r="E96" s="4" t="n"/>
      <c r="F96" s="4" t="n"/>
      <c r="G96" s="4" t="n"/>
      <c r="H96" s="5" t="str">
        <f>IF(E96="","",IF(AND(F96="نعم",G96="نعم"),"جرد + مراجعة",IF(F96="نعم","جرد فقط",IF(G96="نعم","مراجعة فقط",""))))</f>
        <v/>
      </c>
      <c r="I96" s="9">
        <f>IF(H96="جرد + مراجعة",الإعدادات!$B$2,IF(H96="مراجعة فقط",الإعدادات!$B$3,IF(H96="جرد فقط",الإعدادات!$B$4,0)))</f>
        <v>0</v>
      </c>
    </row>
    <row r="97">
      <c r="A97" s="4" t="n"/>
      <c r="B97" s="5" t="str">
        <f>IF(A97="","",IFERROR(INDEX('جدول الجرد'!$A$2:$A$29,MATCH(A97,'جدول الجرد'!$B$2:$B$29,0)),""))</f>
        <v/>
      </c>
      <c r="C97" s="5" t="str">
        <f>IF(A97="","",IFERROR(INDEX('جدول الجرد'!$E$2:$E$29,MATCH(A97,'جدول الجرد'!$B$2:$B$29,0)),""))</f>
        <v/>
      </c>
      <c r="D97" s="4" t="n"/>
      <c r="E97" s="4" t="n"/>
      <c r="F97" s="4" t="n"/>
      <c r="G97" s="4" t="n"/>
      <c r="H97" s="5" t="str">
        <f>IF(E97="","",IF(AND(F97="نعم",G97="نعم"),"جرد + مراجعة",IF(F97="نعم","جرد فقط",IF(G97="نعم","مراجعة فقط",""))))</f>
        <v/>
      </c>
      <c r="I97" s="9">
        <f>IF(H97="جرد + مراجعة",الإعدادات!$B$2,IF(H97="مراجعة فقط",الإعدادات!$B$3,IF(H97="جرد فقط",الإعدادات!$B$4,0)))</f>
        <v>0</v>
      </c>
    </row>
    <row r="98">
      <c r="A98" s="4" t="n"/>
      <c r="B98" s="5" t="str">
        <f>IF(A98="","",IFERROR(INDEX('جدول الجرد'!$A$2:$A$29,MATCH(A98,'جدول الجرد'!$B$2:$B$29,0)),""))</f>
        <v/>
      </c>
      <c r="C98" s="5" t="str">
        <f>IF(A98="","",IFERROR(INDEX('جدول الجرد'!$E$2:$E$29,MATCH(A98,'جدول الجرد'!$B$2:$B$29,0)),""))</f>
        <v/>
      </c>
      <c r="D98" s="4" t="n"/>
      <c r="E98" s="4" t="n"/>
      <c r="F98" s="4" t="n"/>
      <c r="G98" s="4" t="n"/>
      <c r="H98" s="5" t="str">
        <f>IF(E98="","",IF(AND(F98="نعم",G98="نعم"),"جرد + مراجعة",IF(F98="نعم","جرد فقط",IF(G98="نعم","مراجعة فقط",""))))</f>
        <v/>
      </c>
      <c r="I98" s="9">
        <f>IF(H98="جرد + مراجعة",الإعدادات!$B$2,IF(H98="مراجعة فقط",الإعدادات!$B$3,IF(H98="جرد فقط",الإعدادات!$B$4,0)))</f>
        <v>0</v>
      </c>
    </row>
    <row r="99">
      <c r="A99" s="4" t="n"/>
      <c r="B99" s="5" t="str">
        <f>IF(A99="","",IFERROR(INDEX('جدول الجرد'!$A$2:$A$29,MATCH(A99,'جدول الجرد'!$B$2:$B$29,0)),""))</f>
        <v/>
      </c>
      <c r="C99" s="5" t="str">
        <f>IF(A99="","",IFERROR(INDEX('جدول الجرد'!$E$2:$E$29,MATCH(A99,'جدول الجرد'!$B$2:$B$29,0)),""))</f>
        <v/>
      </c>
      <c r="D99" s="4" t="n"/>
      <c r="E99" s="4" t="n"/>
      <c r="F99" s="4" t="n"/>
      <c r="G99" s="4" t="n"/>
      <c r="H99" s="5" t="str">
        <f>IF(E99="","",IF(AND(F99="نعم",G99="نعم"),"جرد + مراجعة",IF(F99="نعم","جرد فقط",IF(G99="نعم","مراجعة فقط",""))))</f>
        <v/>
      </c>
      <c r="I99" s="9">
        <f>IF(H99="جرد + مراجعة",الإعدادات!$B$2,IF(H99="مراجعة فقط",الإعدادات!$B$3,IF(H99="جرد فقط",الإعدادات!$B$4,0)))</f>
        <v>0</v>
      </c>
    </row>
    <row r="100">
      <c r="A100" s="4" t="n"/>
      <c r="B100" s="5" t="str">
        <f>IF(A100="","",IFERROR(INDEX('جدول الجرد'!$A$2:$A$29,MATCH(A100,'جدول الجرد'!$B$2:$B$29,0)),""))</f>
        <v/>
      </c>
      <c r="C100" s="5" t="str">
        <f>IF(A100="","",IFERROR(INDEX('جدول الجرد'!$E$2:$E$29,MATCH(A100,'جدول الجرد'!$B$2:$B$29,0)),""))</f>
        <v/>
      </c>
      <c r="D100" s="4" t="n"/>
      <c r="E100" s="4" t="n"/>
      <c r="F100" s="4" t="n"/>
      <c r="G100" s="4" t="n"/>
      <c r="H100" s="5" t="str">
        <f>IF(E100="","",IF(AND(F100="نعم",G100="نعم"),"جرد + مراجعة",IF(F100="نعم","جرد فقط",IF(G100="نعم","مراجعة فقط",""))))</f>
        <v/>
      </c>
      <c r="I100" s="9">
        <f>IF(H100="جرد + مراجعة",الإعدادات!$B$2,IF(H100="مراجعة فقط",الإعدادات!$B$3,IF(H100="جرد فقط",الإعدادات!$B$4,0)))</f>
        <v>0</v>
      </c>
    </row>
    <row r="101">
      <c r="A101" s="4" t="n"/>
      <c r="B101" s="5" t="str">
        <f>IF(A101="","",IFERROR(INDEX('جدول الجرد'!$A$2:$A$29,MATCH(A101,'جدول الجرد'!$B$2:$B$29,0)),""))</f>
        <v/>
      </c>
      <c r="C101" s="5" t="str">
        <f>IF(A101="","",IFERROR(INDEX('جدول الجرد'!$E$2:$E$29,MATCH(A101,'جدول الجرد'!$B$2:$B$29,0)),""))</f>
        <v/>
      </c>
      <c r="D101" s="4" t="n"/>
      <c r="E101" s="4" t="n"/>
      <c r="F101" s="4" t="n"/>
      <c r="G101" s="4" t="n"/>
      <c r="H101" s="5" t="str">
        <f>IF(E101="","",IF(AND(F101="نعم",G101="نعم"),"جرد + مراجعة",IF(F101="نعم","جرد فقط",IF(G101="نعم","مراجعة فقط",""))))</f>
        <v/>
      </c>
      <c r="I101" s="9">
        <f>IF(H101="جرد + مراجعة",الإعدادات!$B$2,IF(H101="مراجعة فقط",الإعدادات!$B$3,IF(H101="جرد فقط",الإعدادات!$B$4,0)))</f>
        <v>0</v>
      </c>
    </row>
    <row r="102">
      <c r="A102" s="4" t="n"/>
      <c r="B102" s="5" t="str">
        <f>IF(A102="","",IFERROR(INDEX('جدول الجرد'!$A$2:$A$29,MATCH(A102,'جدول الجرد'!$B$2:$B$29,0)),""))</f>
        <v/>
      </c>
      <c r="C102" s="5" t="str">
        <f>IF(A102="","",IFERROR(INDEX('جدول الجرد'!$E$2:$E$29,MATCH(A102,'جدول الجرد'!$B$2:$B$29,0)),""))</f>
        <v/>
      </c>
      <c r="D102" s="4" t="n"/>
      <c r="E102" s="4" t="n"/>
      <c r="F102" s="4" t="n"/>
      <c r="G102" s="4" t="n"/>
      <c r="H102" s="5" t="str">
        <f>IF(E102="","",IF(AND(F102="نعم",G102="نعم"),"جرد + مراجعة",IF(F102="نعم","جرد فقط",IF(G102="نعم","مراجعة فقط",""))))</f>
        <v/>
      </c>
      <c r="I102" s="9">
        <f>IF(H102="جرد + مراجعة",الإعدادات!$B$2,IF(H102="مراجعة فقط",الإعدادات!$B$3,IF(H102="جرد فقط",الإعدادات!$B$4,0)))</f>
        <v>0</v>
      </c>
    </row>
    <row r="103">
      <c r="A103" s="4" t="n"/>
      <c r="B103" s="5" t="str">
        <f>IF(A103="","",IFERROR(INDEX('جدول الجرد'!$A$2:$A$29,MATCH(A103,'جدول الجرد'!$B$2:$B$29,0)),""))</f>
        <v/>
      </c>
      <c r="C103" s="5" t="str">
        <f>IF(A103="","",IFERROR(INDEX('جدول الجرد'!$E$2:$E$29,MATCH(A103,'جدول الجرد'!$B$2:$B$29,0)),""))</f>
        <v/>
      </c>
      <c r="D103" s="4" t="n"/>
      <c r="E103" s="4" t="n"/>
      <c r="F103" s="4" t="n"/>
      <c r="G103" s="4" t="n"/>
      <c r="H103" s="5" t="str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>0</v>
      </c>
    </row>
    <row r="104">
      <c r="A104" s="4" t="n"/>
      <c r="B104" s="5" t="str">
        <f>IF(A104="","",IFERROR(INDEX('جدول الجرد'!$A$2:$A$29,MATCH(A104,'جدول الجرد'!$B$2:$B$29,0)),""))</f>
        <v/>
      </c>
      <c r="C104" s="5" t="str">
        <f>IF(A104="","",IFERROR(INDEX('جدول الجرد'!$E$2:$E$29,MATCH(A104,'جدول الجرد'!$B$2:$B$29,0)),""))</f>
        <v/>
      </c>
      <c r="D104" s="4" t="n"/>
      <c r="E104" s="4" t="n"/>
      <c r="F104" s="4" t="n"/>
      <c r="G104" s="4" t="n"/>
      <c r="H104" s="5" t="str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>0</v>
      </c>
    </row>
    <row r="105">
      <c r="A105" s="4" t="n"/>
      <c r="B105" s="5" t="str">
        <f>IF(A105="","",IFERROR(INDEX('جدول الجرد'!$A$2:$A$29,MATCH(A105,'جدول الجرد'!$B$2:$B$29,0)),""))</f>
        <v/>
      </c>
      <c r="C105" s="5" t="str">
        <f>IF(A105="","",IFERROR(INDEX('جدول الجرد'!$E$2:$E$29,MATCH(A105,'جدول الجرد'!$B$2:$B$29,0)),""))</f>
        <v/>
      </c>
      <c r="D105" s="4" t="n"/>
      <c r="E105" s="4" t="n"/>
      <c r="F105" s="4" t="n"/>
      <c r="G105" s="4" t="n"/>
      <c r="H105" s="5" t="str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>0</v>
      </c>
    </row>
    <row r="106">
      <c r="A106" s="4" t="n"/>
      <c r="B106" s="5" t="str">
        <f>IF(A106="","",IFERROR(INDEX('جدول الجرد'!$A$2:$A$29,MATCH(A106,'جدول الجرد'!$B$2:$B$29,0)),""))</f>
        <v/>
      </c>
      <c r="C106" s="5" t="str">
        <f>IF(A106="","",IFERROR(INDEX('جدول الجرد'!$E$2:$E$29,MATCH(A106,'جدول الجرد'!$B$2:$B$29,0)),""))</f>
        <v/>
      </c>
      <c r="D106" s="4" t="n"/>
      <c r="E106" s="4" t="n"/>
      <c r="F106" s="4" t="n"/>
      <c r="G106" s="4" t="n"/>
      <c r="H106" s="5" t="str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>0</v>
      </c>
    </row>
    <row r="107">
      <c r="A107" s="4" t="n"/>
      <c r="B107" s="5" t="str">
        <f>IF(A107="","",IFERROR(INDEX('جدول الجرد'!$A$2:$A$29,MATCH(A107,'جدول الجرد'!$B$2:$B$29,0)),""))</f>
        <v/>
      </c>
      <c r="C107" s="5" t="str">
        <f>IF(A107="","",IFERROR(INDEX('جدول الجرد'!$E$2:$E$29,MATCH(A107,'جدول الجرد'!$B$2:$B$29,0)),""))</f>
        <v/>
      </c>
      <c r="D107" s="4" t="n"/>
      <c r="E107" s="4" t="n"/>
      <c r="F107" s="4" t="n"/>
      <c r="G107" s="4" t="n"/>
      <c r="H107" s="5" t="str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>0</v>
      </c>
    </row>
    <row r="108">
      <c r="A108" s="4" t="n"/>
      <c r="B108" s="5" t="str">
        <f>IF(A108="","",IFERROR(INDEX('جدول الجرد'!$A$2:$A$29,MATCH(A108,'جدول الجرد'!$B$2:$B$29,0)),""))</f>
        <v/>
      </c>
      <c r="C108" s="5" t="str">
        <f>IF(A108="","",IFERROR(INDEX('جدول الجرد'!$E$2:$E$29,MATCH(A108,'جدول الجرد'!$B$2:$B$29,0)),""))</f>
        <v/>
      </c>
      <c r="D108" s="4" t="n"/>
      <c r="E108" s="4" t="n"/>
      <c r="F108" s="4" t="n"/>
      <c r="G108" s="4" t="n"/>
      <c r="H108" s="5" t="str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>0</v>
      </c>
    </row>
    <row r="109">
      <c r="A109" s="4" t="n"/>
      <c r="B109" s="5" t="str">
        <f>IF(A109="","",IFERROR(INDEX('جدول الجرد'!$A$2:$A$29,MATCH(A109,'جدول الجرد'!$B$2:$B$29,0)),""))</f>
        <v/>
      </c>
      <c r="C109" s="5" t="str">
        <f>IF(A109="","",IFERROR(INDEX('جدول الجرد'!$E$2:$E$29,MATCH(A109,'جدول الجرد'!$B$2:$B$29,0)),""))</f>
        <v/>
      </c>
      <c r="D109" s="4" t="n"/>
      <c r="E109" s="4" t="n"/>
      <c r="F109" s="4" t="n"/>
      <c r="G109" s="4" t="n"/>
      <c r="H109" s="5" t="str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>0</v>
      </c>
    </row>
    <row r="110">
      <c r="A110" s="4" t="n"/>
      <c r="B110" s="5" t="str">
        <f>IF(A110="","",IFERROR(INDEX('جدول الجرد'!$A$2:$A$29,MATCH(A110,'جدول الجرد'!$B$2:$B$29,0)),""))</f>
        <v/>
      </c>
      <c r="C110" s="5" t="str">
        <f>IF(A110="","",IFERROR(INDEX('جدول الجرد'!$E$2:$E$29,MATCH(A110,'جدول الجرد'!$B$2:$B$29,0)),""))</f>
        <v/>
      </c>
      <c r="D110" s="4" t="n"/>
      <c r="E110" s="4" t="n"/>
      <c r="F110" s="4" t="n"/>
      <c r="G110" s="4" t="n"/>
      <c r="H110" s="5" t="str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>0</v>
      </c>
    </row>
    <row r="111">
      <c r="A111" s="4" t="n"/>
      <c r="B111" s="5" t="str">
        <f>IF(A111="","",IFERROR(INDEX('جدول الجرد'!$A$2:$A$29,MATCH(A111,'جدول الجرد'!$B$2:$B$29,0)),""))</f>
        <v/>
      </c>
      <c r="C111" s="5" t="str">
        <f>IF(A111="","",IFERROR(INDEX('جدول الجرد'!$E$2:$E$29,MATCH(A111,'جدول الجرد'!$B$2:$B$29,0)),""))</f>
        <v/>
      </c>
      <c r="D111" s="4" t="n"/>
      <c r="E111" s="4" t="n"/>
      <c r="F111" s="4" t="n"/>
      <c r="G111" s="4" t="n"/>
      <c r="H111" s="5" t="str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>0</v>
      </c>
    </row>
    <row r="112">
      <c r="A112" s="4" t="n"/>
      <c r="B112" s="5" t="str">
        <f>IF(A112="","",IFERROR(INDEX('جدول الجرد'!$A$2:$A$29,MATCH(A112,'جدول الجرد'!$B$2:$B$29,0)),""))</f>
        <v/>
      </c>
      <c r="C112" s="5" t="str">
        <f>IF(A112="","",IFERROR(INDEX('جدول الجرد'!$E$2:$E$29,MATCH(A112,'جدول الجرد'!$B$2:$B$29,0)),""))</f>
        <v/>
      </c>
      <c r="D112" s="4" t="n"/>
      <c r="E112" s="4" t="n"/>
      <c r="F112" s="4" t="n"/>
      <c r="G112" s="4" t="n"/>
      <c r="H112" s="5" t="str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>0</v>
      </c>
    </row>
    <row r="113">
      <c r="A113" s="4" t="n"/>
      <c r="B113" s="5" t="str">
        <f>IF(A113="","",IFERROR(INDEX('جدول الجرد'!$A$2:$A$29,MATCH(A113,'جدول الجرد'!$B$2:$B$29,0)),""))</f>
        <v/>
      </c>
      <c r="C113" s="5" t="str">
        <f>IF(A113="","",IFERROR(INDEX('جدول الجرد'!$E$2:$E$29,MATCH(A113,'جدول الجرد'!$B$2:$B$29,0)),""))</f>
        <v/>
      </c>
      <c r="D113" s="4" t="n"/>
      <c r="E113" s="4" t="n"/>
      <c r="F113" s="4" t="n"/>
      <c r="G113" s="4" t="n"/>
      <c r="H113" s="5" t="str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>0</v>
      </c>
    </row>
    <row r="114">
      <c r="A114" s="4" t="n"/>
      <c r="B114" s="5" t="str">
        <f>IF(A114="","",IFERROR(INDEX('جدول الجرد'!$A$2:$A$29,MATCH(A114,'جدول الجرد'!$B$2:$B$29,0)),""))</f>
        <v/>
      </c>
      <c r="C114" s="5" t="str">
        <f>IF(A114="","",IFERROR(INDEX('جدول الجرد'!$E$2:$E$29,MATCH(A114,'جدول الجرد'!$B$2:$B$29,0)),""))</f>
        <v/>
      </c>
      <c r="D114" s="4" t="n"/>
      <c r="E114" s="4" t="n"/>
      <c r="F114" s="4" t="n"/>
      <c r="G114" s="4" t="n"/>
      <c r="H114" s="5" t="str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>0</v>
      </c>
    </row>
    <row r="115">
      <c r="A115" s="4" t="n"/>
      <c r="B115" s="5" t="str">
        <f>IF(A115="","",IFERROR(INDEX('جدول الجرد'!$A$2:$A$29,MATCH(A115,'جدول الجرد'!$B$2:$B$29,0)),""))</f>
        <v/>
      </c>
      <c r="C115" s="5" t="str">
        <f>IF(A115="","",IFERROR(INDEX('جدول الجرد'!$E$2:$E$29,MATCH(A115,'جدول الجرد'!$B$2:$B$29,0)),""))</f>
        <v/>
      </c>
      <c r="D115" s="4" t="n"/>
      <c r="E115" s="4" t="n"/>
      <c r="F115" s="4" t="n"/>
      <c r="G115" s="4" t="n"/>
      <c r="H115" s="5" t="str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>0</v>
      </c>
    </row>
    <row r="116">
      <c r="A116" s="4" t="n"/>
      <c r="B116" s="5" t="str">
        <f>IF(A116="","",IFERROR(INDEX('جدول الجرد'!$A$2:$A$29,MATCH(A116,'جدول الجرد'!$B$2:$B$29,0)),""))</f>
        <v/>
      </c>
      <c r="C116" s="5" t="str">
        <f>IF(A116="","",IFERROR(INDEX('جدول الجرد'!$E$2:$E$29,MATCH(A116,'جدول الجرد'!$B$2:$B$29,0)),""))</f>
        <v/>
      </c>
      <c r="D116" s="4" t="n"/>
      <c r="E116" s="4" t="n"/>
      <c r="F116" s="4" t="n"/>
      <c r="G116" s="4" t="n"/>
      <c r="H116" s="5" t="str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>0</v>
      </c>
    </row>
    <row r="117">
      <c r="A117" s="4" t="n"/>
      <c r="B117" s="5" t="str">
        <f>IF(A117="","",IFERROR(INDEX('جدول الجرد'!$A$2:$A$29,MATCH(A117,'جدول الجرد'!$B$2:$B$29,0)),""))</f>
        <v/>
      </c>
      <c r="C117" s="5" t="str">
        <f>IF(A117="","",IFERROR(INDEX('جدول الجرد'!$E$2:$E$29,MATCH(A117,'جدول الجرد'!$B$2:$B$29,0)),""))</f>
        <v/>
      </c>
      <c r="D117" s="4" t="n"/>
      <c r="E117" s="4" t="n"/>
      <c r="F117" s="4" t="n"/>
      <c r="G117" s="4" t="n"/>
      <c r="H117" s="5" t="str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>0</v>
      </c>
    </row>
    <row r="118">
      <c r="A118" s="4" t="n"/>
      <c r="B118" s="5" t="str">
        <f>IF(A118="","",IFERROR(INDEX('جدول الجرد'!$A$2:$A$29,MATCH(A118,'جدول الجرد'!$B$2:$B$29,0)),""))</f>
        <v/>
      </c>
      <c r="C118" s="5" t="str">
        <f>IF(A118="","",IFERROR(INDEX('جدول الجرد'!$E$2:$E$29,MATCH(A118,'جدول الجرد'!$B$2:$B$29,0)),""))</f>
        <v/>
      </c>
      <c r="D118" s="4" t="n"/>
      <c r="E118" s="4" t="n"/>
      <c r="F118" s="4" t="n"/>
      <c r="G118" s="4" t="n"/>
      <c r="H118" s="5" t="str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>0</v>
      </c>
    </row>
    <row r="119">
      <c r="A119" s="4" t="n"/>
      <c r="B119" s="5" t="str">
        <f>IF(A119="","",IFERROR(INDEX('جدول الجرد'!$A$2:$A$29,MATCH(A119,'جدول الجرد'!$B$2:$B$29,0)),""))</f>
        <v/>
      </c>
      <c r="C119" s="5" t="str">
        <f>IF(A119="","",IFERROR(INDEX('جدول الجرد'!$E$2:$E$29,MATCH(A119,'جدول الجرد'!$B$2:$B$29,0)),""))</f>
        <v/>
      </c>
      <c r="D119" s="4" t="n"/>
      <c r="E119" s="4" t="n"/>
      <c r="F119" s="4" t="n"/>
      <c r="G119" s="4" t="n"/>
      <c r="H119" s="5" t="str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>0</v>
      </c>
    </row>
    <row r="120">
      <c r="A120" s="4" t="n"/>
      <c r="B120" s="5" t="str">
        <f>IF(A120="","",IFERROR(INDEX('جدول الجرد'!$A$2:$A$29,MATCH(A120,'جدول الجرد'!$B$2:$B$29,0)),""))</f>
        <v/>
      </c>
      <c r="C120" s="5" t="str">
        <f>IF(A120="","",IFERROR(INDEX('جدول الجرد'!$E$2:$E$29,MATCH(A120,'جدول الجرد'!$B$2:$B$29,0)),""))</f>
        <v/>
      </c>
      <c r="D120" s="4" t="n"/>
      <c r="E120" s="4" t="n"/>
      <c r="F120" s="4" t="n"/>
      <c r="G120" s="4" t="n"/>
      <c r="H120" s="5" t="str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>0</v>
      </c>
    </row>
    <row r="121">
      <c r="A121" s="4" t="n"/>
      <c r="B121" s="5" t="str">
        <f>IF(A121="","",IFERROR(INDEX('جدول الجرد'!$A$2:$A$29,MATCH(A121,'جدول الجرد'!$B$2:$B$29,0)),""))</f>
        <v/>
      </c>
      <c r="C121" s="5" t="str">
        <f>IF(A121="","",IFERROR(INDEX('جدول الجرد'!$E$2:$E$29,MATCH(A121,'جدول الجرد'!$B$2:$B$29,0)),""))</f>
        <v/>
      </c>
      <c r="D121" s="4" t="n"/>
      <c r="E121" s="4" t="n"/>
      <c r="F121" s="4" t="n"/>
      <c r="G121" s="4" t="n"/>
      <c r="H121" s="5" t="str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>0</v>
      </c>
    </row>
    <row r="122">
      <c r="A122" s="4" t="n"/>
      <c r="B122" s="5" t="str">
        <f>IF(A122="","",IFERROR(INDEX('جدول الجرد'!$A$2:$A$29,MATCH(A122,'جدول الجرد'!$B$2:$B$29,0)),""))</f>
        <v/>
      </c>
      <c r="C122" s="5" t="str">
        <f>IF(A122="","",IFERROR(INDEX('جدول الجرد'!$E$2:$E$29,MATCH(A122,'جدول الجرد'!$B$2:$B$29,0)),""))</f>
        <v/>
      </c>
      <c r="D122" s="4" t="n"/>
      <c r="E122" s="4" t="n"/>
      <c r="F122" s="4" t="n"/>
      <c r="G122" s="4" t="n"/>
      <c r="H122" s="5" t="str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>0</v>
      </c>
    </row>
    <row r="123">
      <c r="A123" s="4" t="n"/>
      <c r="B123" s="5" t="str">
        <f>IF(A123="","",IFERROR(INDEX('جدول الجرد'!$A$2:$A$29,MATCH(A123,'جدول الجرد'!$B$2:$B$29,0)),""))</f>
        <v/>
      </c>
      <c r="C123" s="5" t="str">
        <f>IF(A123="","",IFERROR(INDEX('جدول الجرد'!$E$2:$E$29,MATCH(A123,'جدول الجرد'!$B$2:$B$29,0)),""))</f>
        <v/>
      </c>
      <c r="D123" s="4" t="n"/>
      <c r="E123" s="4" t="n"/>
      <c r="F123" s="4" t="n"/>
      <c r="G123" s="4" t="n"/>
      <c r="H123" s="5" t="str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>0</v>
      </c>
    </row>
    <row r="124">
      <c r="A124" s="4" t="n"/>
      <c r="B124" s="5" t="str">
        <f>IF(A124="","",IFERROR(INDEX('جدول الجرد'!$A$2:$A$29,MATCH(A124,'جدول الجرد'!$B$2:$B$29,0)),""))</f>
        <v/>
      </c>
      <c r="C124" s="5" t="str">
        <f>IF(A124="","",IFERROR(INDEX('جدول الجرد'!$E$2:$E$29,MATCH(A124,'جدول الجرد'!$B$2:$B$29,0)),""))</f>
        <v/>
      </c>
      <c r="D124" s="4" t="n"/>
      <c r="E124" s="4" t="n"/>
      <c r="F124" s="4" t="n"/>
      <c r="G124" s="4" t="n"/>
      <c r="H124" s="5" t="str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>0</v>
      </c>
    </row>
    <row r="125">
      <c r="A125" s="4" t="n"/>
      <c r="B125" s="5" t="str">
        <f>IF(A125="","",IFERROR(INDEX('جدول الجرد'!$A$2:$A$29,MATCH(A125,'جدول الجرد'!$B$2:$B$29,0)),""))</f>
        <v/>
      </c>
      <c r="C125" s="5" t="str">
        <f>IF(A125="","",IFERROR(INDEX('جدول الجرد'!$E$2:$E$29,MATCH(A125,'جدول الجرد'!$B$2:$B$29,0)),""))</f>
        <v/>
      </c>
      <c r="D125" s="4" t="n"/>
      <c r="E125" s="4" t="n"/>
      <c r="F125" s="4" t="n"/>
      <c r="G125" s="4" t="n"/>
      <c r="H125" s="5" t="str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>0</v>
      </c>
    </row>
    <row r="126">
      <c r="A126" s="4" t="n"/>
      <c r="B126" s="5" t="str">
        <f>IF(A126="","",IFERROR(INDEX('جدول الجرد'!$A$2:$A$29,MATCH(A126,'جدول الجرد'!$B$2:$B$29,0)),""))</f>
        <v/>
      </c>
      <c r="C126" s="5" t="str">
        <f>IF(A126="","",IFERROR(INDEX('جدول الجرد'!$E$2:$E$29,MATCH(A126,'جدول الجرد'!$B$2:$B$29,0)),""))</f>
        <v/>
      </c>
      <c r="D126" s="4" t="n"/>
      <c r="E126" s="4" t="n"/>
      <c r="F126" s="4" t="n"/>
      <c r="G126" s="4" t="n"/>
      <c r="H126" s="5" t="str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>0</v>
      </c>
    </row>
    <row r="127">
      <c r="A127" s="4" t="n"/>
      <c r="B127" s="5" t="str">
        <f>IF(A127="","",IFERROR(INDEX('جدول الجرد'!$A$2:$A$29,MATCH(A127,'جدول الجرد'!$B$2:$B$29,0)),""))</f>
        <v/>
      </c>
      <c r="C127" s="5" t="str">
        <f>IF(A127="","",IFERROR(INDEX('جدول الجرد'!$E$2:$E$29,MATCH(A127,'جدول الجرد'!$B$2:$B$29,0)),""))</f>
        <v/>
      </c>
      <c r="D127" s="4" t="n"/>
      <c r="E127" s="4" t="n"/>
      <c r="F127" s="4" t="n"/>
      <c r="G127" s="4" t="n"/>
      <c r="H127" s="5" t="str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>0</v>
      </c>
    </row>
    <row r="128">
      <c r="A128" s="4" t="n"/>
      <c r="B128" s="5" t="str">
        <f>IF(A128="","",IFERROR(INDEX('جدول الجرد'!$A$2:$A$29,MATCH(A128,'جدول الجرد'!$B$2:$B$29,0)),""))</f>
        <v/>
      </c>
      <c r="C128" s="5" t="str">
        <f>IF(A128="","",IFERROR(INDEX('جدول الجرد'!$E$2:$E$29,MATCH(A128,'جدول الجرد'!$B$2:$B$29,0)),""))</f>
        <v/>
      </c>
      <c r="D128" s="4" t="n"/>
      <c r="E128" s="4" t="n"/>
      <c r="F128" s="4" t="n"/>
      <c r="G128" s="4" t="n"/>
      <c r="H128" s="5" t="str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>0</v>
      </c>
    </row>
    <row r="129">
      <c r="A129" s="4" t="n"/>
      <c r="B129" s="5" t="str">
        <f>IF(A129="","",IFERROR(INDEX('جدول الجرد'!$A$2:$A$29,MATCH(A129,'جدول الجرد'!$B$2:$B$29,0)),""))</f>
        <v/>
      </c>
      <c r="C129" s="5" t="str">
        <f>IF(A129="","",IFERROR(INDEX('جدول الجرد'!$E$2:$E$29,MATCH(A129,'جدول الجرد'!$B$2:$B$29,0)),""))</f>
        <v/>
      </c>
      <c r="D129" s="4" t="n"/>
      <c r="E129" s="4" t="n"/>
      <c r="F129" s="4" t="n"/>
      <c r="G129" s="4" t="n"/>
      <c r="H129" s="5" t="str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>0</v>
      </c>
    </row>
    <row r="130">
      <c r="A130" s="4" t="n"/>
      <c r="B130" s="5" t="str">
        <f>IF(A130="","",IFERROR(INDEX('جدول الجرد'!$A$2:$A$29,MATCH(A130,'جدول الجرد'!$B$2:$B$29,0)),""))</f>
        <v/>
      </c>
      <c r="C130" s="5" t="str">
        <f>IF(A130="","",IFERROR(INDEX('جدول الجرد'!$E$2:$E$29,MATCH(A130,'جدول الجرد'!$B$2:$B$29,0)),""))</f>
        <v/>
      </c>
      <c r="D130" s="4" t="n"/>
      <c r="E130" s="4" t="n"/>
      <c r="F130" s="4" t="n"/>
      <c r="G130" s="4" t="n"/>
      <c r="H130" s="5" t="str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>0</v>
      </c>
    </row>
    <row r="131">
      <c r="A131" s="4" t="n"/>
      <c r="B131" s="5" t="str">
        <f>IF(A131="","",IFERROR(INDEX('جدول الجرد'!$A$2:$A$29,MATCH(A131,'جدول الجرد'!$B$2:$B$29,0)),""))</f>
        <v/>
      </c>
      <c r="C131" s="5" t="str">
        <f>IF(A131="","",IFERROR(INDEX('جدول الجرد'!$E$2:$E$29,MATCH(A131,'جدول الجرد'!$B$2:$B$29,0)),""))</f>
        <v/>
      </c>
      <c r="D131" s="4" t="n"/>
      <c r="E131" s="4" t="n"/>
      <c r="F131" s="4" t="n"/>
      <c r="G131" s="4" t="n"/>
      <c r="H131" s="5" t="str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>0</v>
      </c>
    </row>
    <row r="132">
      <c r="A132" s="4" t="n"/>
      <c r="B132" s="5" t="str">
        <f>IF(A132="","",IFERROR(INDEX('جدول الجرد'!$A$2:$A$29,MATCH(A132,'جدول الجرد'!$B$2:$B$29,0)),""))</f>
        <v/>
      </c>
      <c r="C132" s="5" t="str">
        <f>IF(A132="","",IFERROR(INDEX('جدول الجرد'!$E$2:$E$29,MATCH(A132,'جدول الجرد'!$B$2:$B$29,0)),""))</f>
        <v/>
      </c>
      <c r="D132" s="4" t="n"/>
      <c r="E132" s="4" t="n"/>
      <c r="F132" s="4" t="n"/>
      <c r="G132" s="4" t="n"/>
      <c r="H132" s="5" t="str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>0</v>
      </c>
    </row>
    <row r="133">
      <c r="A133" s="4" t="n"/>
      <c r="B133" s="5" t="str">
        <f>IF(A133="","",IFERROR(INDEX('جدول الجرد'!$A$2:$A$29,MATCH(A133,'جدول الجرد'!$B$2:$B$29,0)),""))</f>
        <v/>
      </c>
      <c r="C133" s="5" t="str">
        <f>IF(A133="","",IFERROR(INDEX('جدول الجرد'!$E$2:$E$29,MATCH(A133,'جدول الجرد'!$B$2:$B$29,0)),""))</f>
        <v/>
      </c>
      <c r="D133" s="4" t="n"/>
      <c r="E133" s="4" t="n"/>
      <c r="F133" s="4" t="n"/>
      <c r="G133" s="4" t="n"/>
      <c r="H133" s="5" t="str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>0</v>
      </c>
    </row>
    <row r="134">
      <c r="A134" s="4" t="n"/>
      <c r="B134" s="5" t="str">
        <f>IF(A134="","",IFERROR(INDEX('جدول الجرد'!$A$2:$A$29,MATCH(A134,'جدول الجرد'!$B$2:$B$29,0)),""))</f>
        <v/>
      </c>
      <c r="C134" s="5" t="str">
        <f>IF(A134="","",IFERROR(INDEX('جدول الجرد'!$E$2:$E$29,MATCH(A134,'جدول الجرد'!$B$2:$B$29,0)),""))</f>
        <v/>
      </c>
      <c r="D134" s="4" t="n"/>
      <c r="E134" s="4" t="n"/>
      <c r="F134" s="4" t="n"/>
      <c r="G134" s="4" t="n"/>
      <c r="H134" s="5" t="str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>0</v>
      </c>
    </row>
    <row r="135">
      <c r="A135" s="4" t="n"/>
      <c r="B135" s="5" t="str">
        <f>IF(A135="","",IFERROR(INDEX('جدول الجرد'!$A$2:$A$29,MATCH(A135,'جدول الجرد'!$B$2:$B$29,0)),""))</f>
        <v/>
      </c>
      <c r="C135" s="5" t="str">
        <f>IF(A135="","",IFERROR(INDEX('جدول الجرد'!$E$2:$E$29,MATCH(A135,'جدول الجرد'!$B$2:$B$29,0)),""))</f>
        <v/>
      </c>
      <c r="D135" s="4" t="n"/>
      <c r="E135" s="4" t="n"/>
      <c r="F135" s="4" t="n"/>
      <c r="G135" s="4" t="n"/>
      <c r="H135" s="5" t="str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>0</v>
      </c>
    </row>
    <row r="136">
      <c r="A136" s="4" t="n"/>
      <c r="B136" s="5" t="str">
        <f>IF(A136="","",IFERROR(INDEX('جدول الجرد'!$A$2:$A$29,MATCH(A136,'جدول الجرد'!$B$2:$B$29,0)),""))</f>
        <v/>
      </c>
      <c r="C136" s="5" t="str">
        <f>IF(A136="","",IFERROR(INDEX('جدول الجرد'!$E$2:$E$29,MATCH(A136,'جدول الجرد'!$B$2:$B$29,0)),""))</f>
        <v/>
      </c>
      <c r="D136" s="4" t="n"/>
      <c r="E136" s="4" t="n"/>
      <c r="F136" s="4" t="n"/>
      <c r="G136" s="4" t="n"/>
      <c r="H136" s="5" t="str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>0</v>
      </c>
    </row>
    <row r="137">
      <c r="A137" s="4" t="n"/>
      <c r="B137" s="5" t="str">
        <f>IF(A137="","",IFERROR(INDEX('جدول الجرد'!$A$2:$A$29,MATCH(A137,'جدول الجرد'!$B$2:$B$29,0)),""))</f>
        <v/>
      </c>
      <c r="C137" s="5" t="str">
        <f>IF(A137="","",IFERROR(INDEX('جدول الجرد'!$E$2:$E$29,MATCH(A137,'جدول الجرد'!$B$2:$B$29,0)),""))</f>
        <v/>
      </c>
      <c r="D137" s="4" t="n"/>
      <c r="E137" s="4" t="n"/>
      <c r="F137" s="4" t="n"/>
      <c r="G137" s="4" t="n"/>
      <c r="H137" s="5" t="str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>0</v>
      </c>
    </row>
    <row r="138">
      <c r="A138" s="4" t="n"/>
      <c r="B138" s="5" t="str">
        <f>IF(A138="","",IFERROR(INDEX('جدول الجرد'!$A$2:$A$29,MATCH(A138,'جدول الجرد'!$B$2:$B$29,0)),""))</f>
        <v/>
      </c>
      <c r="C138" s="5" t="str">
        <f>IF(A138="","",IFERROR(INDEX('جدول الجرد'!$E$2:$E$29,MATCH(A138,'جدول الجرد'!$B$2:$B$29,0)),""))</f>
        <v/>
      </c>
      <c r="D138" s="4" t="n"/>
      <c r="E138" s="4" t="n"/>
      <c r="F138" s="4" t="n"/>
      <c r="G138" s="4" t="n"/>
      <c r="H138" s="5" t="str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>0</v>
      </c>
    </row>
    <row r="139">
      <c r="A139" s="4" t="n"/>
      <c r="B139" s="5" t="str">
        <f>IF(A139="","",IFERROR(INDEX('جدول الجرد'!$A$2:$A$29,MATCH(A139,'جدول الجرد'!$B$2:$B$29,0)),""))</f>
        <v/>
      </c>
      <c r="C139" s="5" t="str">
        <f>IF(A139="","",IFERROR(INDEX('جدول الجرد'!$E$2:$E$29,MATCH(A139,'جدول الجرد'!$B$2:$B$29,0)),""))</f>
        <v/>
      </c>
      <c r="D139" s="4" t="n"/>
      <c r="E139" s="4" t="n"/>
      <c r="F139" s="4" t="n"/>
      <c r="G139" s="4" t="n"/>
      <c r="H139" s="5" t="str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>0</v>
      </c>
    </row>
    <row r="140">
      <c r="A140" s="4" t="n"/>
      <c r="B140" s="5" t="str">
        <f>IF(A140="","",IFERROR(INDEX('جدول الجرد'!$A$2:$A$29,MATCH(A140,'جدول الجرد'!$B$2:$B$29,0)),""))</f>
        <v/>
      </c>
      <c r="C140" s="5" t="str">
        <f>IF(A140="","",IFERROR(INDEX('جدول الجرد'!$E$2:$E$29,MATCH(A140,'جدول الجرد'!$B$2:$B$29,0)),""))</f>
        <v/>
      </c>
      <c r="D140" s="4" t="n"/>
      <c r="E140" s="4" t="n"/>
      <c r="F140" s="4" t="n"/>
      <c r="G140" s="4" t="n"/>
      <c r="H140" s="5" t="str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>0</v>
      </c>
    </row>
    <row r="141">
      <c r="A141" s="4" t="n"/>
      <c r="B141" s="5" t="str">
        <f>IF(A141="","",IFERROR(INDEX('جدول الجرد'!$A$2:$A$29,MATCH(A141,'جدول الجرد'!$B$2:$B$29,0)),""))</f>
        <v/>
      </c>
      <c r="C141" s="5" t="str">
        <f>IF(A141="","",IFERROR(INDEX('جدول الجرد'!$E$2:$E$29,MATCH(A141,'جدول الجرد'!$B$2:$B$29,0)),""))</f>
        <v/>
      </c>
      <c r="D141" s="4" t="n"/>
      <c r="E141" s="4" t="n"/>
      <c r="F141" s="4" t="n"/>
      <c r="G141" s="4" t="n"/>
      <c r="H141" s="5" t="str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>0</v>
      </c>
    </row>
    <row r="142">
      <c r="A142" s="4" t="n"/>
      <c r="B142" s="5" t="str">
        <f>IF(A142="","",IFERROR(INDEX('جدول الجرد'!$A$2:$A$29,MATCH(A142,'جدول الجرد'!$B$2:$B$29,0)),""))</f>
        <v/>
      </c>
      <c r="C142" s="5" t="str">
        <f>IF(A142="","",IFERROR(INDEX('جدول الجرد'!$E$2:$E$29,MATCH(A142,'جدول الجرد'!$B$2:$B$29,0)),""))</f>
        <v/>
      </c>
      <c r="D142" s="4" t="n"/>
      <c r="E142" s="4" t="n"/>
      <c r="F142" s="4" t="n"/>
      <c r="G142" s="4" t="n"/>
      <c r="H142" s="5" t="str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>0</v>
      </c>
    </row>
    <row r="143">
      <c r="A143" s="4" t="n"/>
      <c r="B143" s="5" t="str">
        <f>IF(A143="","",IFERROR(INDEX('جدول الجرد'!$A$2:$A$29,MATCH(A143,'جدول الجرد'!$B$2:$B$29,0)),""))</f>
        <v/>
      </c>
      <c r="C143" s="5" t="str">
        <f>IF(A143="","",IFERROR(INDEX('جدول الجرد'!$E$2:$E$29,MATCH(A143,'جدول الجرد'!$B$2:$B$29,0)),""))</f>
        <v/>
      </c>
      <c r="D143" s="4" t="n"/>
      <c r="E143" s="4" t="n"/>
      <c r="F143" s="4" t="n"/>
      <c r="G143" s="4" t="n"/>
      <c r="H143" s="5" t="str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>0</v>
      </c>
    </row>
    <row r="144">
      <c r="A144" s="4" t="n"/>
      <c r="B144" s="5" t="str">
        <f>IF(A144="","",IFERROR(INDEX('جدول الجرد'!$A$2:$A$29,MATCH(A144,'جدول الجرد'!$B$2:$B$29,0)),""))</f>
        <v/>
      </c>
      <c r="C144" s="5" t="str">
        <f>IF(A144="","",IFERROR(INDEX('جدول الجرد'!$E$2:$E$29,MATCH(A144,'جدول الجرد'!$B$2:$B$29,0)),""))</f>
        <v/>
      </c>
      <c r="D144" s="4" t="n"/>
      <c r="E144" s="4" t="n"/>
      <c r="F144" s="4" t="n"/>
      <c r="G144" s="4" t="n"/>
      <c r="H144" s="5" t="str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>0</v>
      </c>
    </row>
    <row r="145">
      <c r="A145" s="4" t="n"/>
      <c r="B145" s="5" t="str">
        <f>IF(A145="","",IFERROR(INDEX('جدول الجرد'!$A$2:$A$29,MATCH(A145,'جدول الجرد'!$B$2:$B$29,0)),""))</f>
        <v/>
      </c>
      <c r="C145" s="5" t="str">
        <f>IF(A145="","",IFERROR(INDEX('جدول الجرد'!$E$2:$E$29,MATCH(A145,'جدول الجرد'!$B$2:$B$29,0)),""))</f>
        <v/>
      </c>
      <c r="D145" s="4" t="n"/>
      <c r="E145" s="4" t="n"/>
      <c r="F145" s="4" t="n"/>
      <c r="G145" s="4" t="n"/>
      <c r="H145" s="5" t="str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>0</v>
      </c>
    </row>
    <row r="146">
      <c r="A146" s="4" t="n"/>
      <c r="B146" s="5" t="str">
        <f>IF(A146="","",IFERROR(INDEX('جدول الجرد'!$A$2:$A$29,MATCH(A146,'جدول الجرد'!$B$2:$B$29,0)),""))</f>
        <v/>
      </c>
      <c r="C146" s="5" t="str">
        <f>IF(A146="","",IFERROR(INDEX('جدول الجرد'!$E$2:$E$29,MATCH(A146,'جدول الجرد'!$B$2:$B$29,0)),""))</f>
        <v/>
      </c>
      <c r="D146" s="4" t="n"/>
      <c r="E146" s="4" t="n"/>
      <c r="F146" s="4" t="n"/>
      <c r="G146" s="4" t="n"/>
      <c r="H146" s="5" t="str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>0</v>
      </c>
    </row>
    <row r="147">
      <c r="A147" s="4" t="n"/>
      <c r="B147" s="5" t="str">
        <f>IF(A147="","",IFERROR(INDEX('جدول الجرد'!$A$2:$A$29,MATCH(A147,'جدول الجرد'!$B$2:$B$29,0)),""))</f>
        <v/>
      </c>
      <c r="C147" s="5" t="str">
        <f>IF(A147="","",IFERROR(INDEX('جدول الجرد'!$E$2:$E$29,MATCH(A147,'جدول الجرد'!$B$2:$B$29,0)),""))</f>
        <v/>
      </c>
      <c r="D147" s="4" t="n"/>
      <c r="E147" s="4" t="n"/>
      <c r="F147" s="4" t="n"/>
      <c r="G147" s="4" t="n"/>
      <c r="H147" s="5" t="str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>0</v>
      </c>
    </row>
    <row r="148">
      <c r="A148" s="4" t="n"/>
      <c r="B148" s="5" t="str">
        <f>IF(A148="","",IFERROR(INDEX('جدول الجرد'!$A$2:$A$29,MATCH(A148,'جدول الجرد'!$B$2:$B$29,0)),""))</f>
        <v/>
      </c>
      <c r="C148" s="5" t="str">
        <f>IF(A148="","",IFERROR(INDEX('جدول الجرد'!$E$2:$E$29,MATCH(A148,'جدول الجرد'!$B$2:$B$29,0)),""))</f>
        <v/>
      </c>
      <c r="D148" s="4" t="n"/>
      <c r="E148" s="4" t="n"/>
      <c r="F148" s="4" t="n"/>
      <c r="G148" s="4" t="n"/>
      <c r="H148" s="5" t="str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>0</v>
      </c>
    </row>
    <row r="149">
      <c r="A149" s="4" t="n"/>
      <c r="B149" s="5" t="str">
        <f>IF(A149="","",IFERROR(INDEX('جدول الجرد'!$A$2:$A$29,MATCH(A149,'جدول الجرد'!$B$2:$B$29,0)),""))</f>
        <v/>
      </c>
      <c r="C149" s="5" t="str">
        <f>IF(A149="","",IFERROR(INDEX('جدول الجرد'!$E$2:$E$29,MATCH(A149,'جدول الجرد'!$B$2:$B$29,0)),""))</f>
        <v/>
      </c>
      <c r="D149" s="4" t="n"/>
      <c r="E149" s="4" t="n"/>
      <c r="F149" s="4" t="n"/>
      <c r="G149" s="4" t="n"/>
      <c r="H149" s="5" t="str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>0</v>
      </c>
    </row>
    <row r="150">
      <c r="A150" s="4" t="n"/>
      <c r="B150" s="5" t="str">
        <f>IF(A150="","",IFERROR(INDEX('جدول الجرد'!$A$2:$A$29,MATCH(A150,'جدول الجرد'!$B$2:$B$29,0)),""))</f>
        <v/>
      </c>
      <c r="C150" s="5" t="str">
        <f>IF(A150="","",IFERROR(INDEX('جدول الجرد'!$E$2:$E$29,MATCH(A150,'جدول الجرد'!$B$2:$B$29,0)),""))</f>
        <v/>
      </c>
      <c r="D150" s="4" t="n"/>
      <c r="E150" s="4" t="n"/>
      <c r="F150" s="4" t="n"/>
      <c r="G150" s="4" t="n"/>
      <c r="H150" s="5" t="str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>0</v>
      </c>
    </row>
    <row r="151">
      <c r="A151" s="4" t="n"/>
      <c r="B151" s="5" t="str">
        <f>IF(A151="","",IFERROR(INDEX('جدول الجرد'!$A$2:$A$29,MATCH(A151,'جدول الجرد'!$B$2:$B$29,0)),""))</f>
        <v/>
      </c>
      <c r="C151" s="5" t="str">
        <f>IF(A151="","",IFERROR(INDEX('جدول الجرد'!$E$2:$E$29,MATCH(A151,'جدول الجرد'!$B$2:$B$29,0)),""))</f>
        <v/>
      </c>
      <c r="D151" s="4" t="n"/>
      <c r="E151" s="4" t="n"/>
      <c r="F151" s="4" t="n"/>
      <c r="G151" s="4" t="n"/>
      <c r="H151" s="5" t="str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>0</v>
      </c>
    </row>
    <row r="152">
      <c r="A152" s="4" t="n"/>
      <c r="B152" s="5" t="str">
        <f>IF(A152="","",IFERROR(INDEX('جدول الجرد'!$A$2:$A$29,MATCH(A152,'جدول الجرد'!$B$2:$B$29,0)),""))</f>
        <v/>
      </c>
      <c r="C152" s="5" t="str">
        <f>IF(A152="","",IFERROR(INDEX('جدول الجرد'!$E$2:$E$29,MATCH(A152,'جدول الجرد'!$B$2:$B$29,0)),""))</f>
        <v/>
      </c>
      <c r="D152" s="4" t="n"/>
      <c r="E152" s="4" t="n"/>
      <c r="F152" s="4" t="n"/>
      <c r="G152" s="4" t="n"/>
      <c r="H152" s="5" t="str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>0</v>
      </c>
    </row>
    <row r="153">
      <c r="A153" s="4" t="n"/>
      <c r="B153" s="5" t="str">
        <f>IF(A153="","",IFERROR(INDEX('جدول الجرد'!$A$2:$A$29,MATCH(A153,'جدول الجرد'!$B$2:$B$29,0)),""))</f>
        <v/>
      </c>
      <c r="C153" s="5" t="str">
        <f>IF(A153="","",IFERROR(INDEX('جدول الجرد'!$E$2:$E$29,MATCH(A153,'جدول الجرد'!$B$2:$B$29,0)),""))</f>
        <v/>
      </c>
      <c r="D153" s="4" t="n"/>
      <c r="E153" s="4" t="n"/>
      <c r="F153" s="4" t="n"/>
      <c r="G153" s="4" t="n"/>
      <c r="H153" s="5" t="str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>0</v>
      </c>
    </row>
    <row r="154">
      <c r="A154" s="4" t="n"/>
      <c r="B154" s="5" t="str">
        <f>IF(A154="","",IFERROR(INDEX('جدول الجرد'!$A$2:$A$29,MATCH(A154,'جدول الجرد'!$B$2:$B$29,0)),""))</f>
        <v/>
      </c>
      <c r="C154" s="5" t="str">
        <f>IF(A154="","",IFERROR(INDEX('جدول الجرد'!$E$2:$E$29,MATCH(A154,'جدول الجرد'!$B$2:$B$29,0)),""))</f>
        <v/>
      </c>
      <c r="D154" s="4" t="n"/>
      <c r="E154" s="4" t="n"/>
      <c r="F154" s="4" t="n"/>
      <c r="G154" s="4" t="n"/>
      <c r="H154" s="5" t="str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>0</v>
      </c>
    </row>
    <row r="155">
      <c r="A155" s="4" t="n"/>
      <c r="B155" s="5" t="str">
        <f>IF(A155="","",IFERROR(INDEX('جدول الجرد'!$A$2:$A$29,MATCH(A155,'جدول الجرد'!$B$2:$B$29,0)),""))</f>
        <v/>
      </c>
      <c r="C155" s="5" t="str">
        <f>IF(A155="","",IFERROR(INDEX('جدول الجرد'!$E$2:$E$29,MATCH(A155,'جدول الجرد'!$B$2:$B$29,0)),""))</f>
        <v/>
      </c>
      <c r="D155" s="4" t="n"/>
      <c r="E155" s="4" t="n"/>
      <c r="F155" s="4" t="n"/>
      <c r="G155" s="4" t="n"/>
      <c r="H155" s="5" t="str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>0</v>
      </c>
    </row>
    <row r="156">
      <c r="A156" s="4" t="n"/>
      <c r="B156" s="5" t="str">
        <f>IF(A156="","",IFERROR(INDEX('جدول الجرد'!$A$2:$A$29,MATCH(A156,'جدول الجرد'!$B$2:$B$29,0)),""))</f>
        <v/>
      </c>
      <c r="C156" s="5" t="str">
        <f>IF(A156="","",IFERROR(INDEX('جدول الجرد'!$E$2:$E$29,MATCH(A156,'جدول الجرد'!$B$2:$B$29,0)),""))</f>
        <v/>
      </c>
      <c r="D156" s="4" t="n"/>
      <c r="E156" s="4" t="n"/>
      <c r="F156" s="4" t="n"/>
      <c r="G156" s="4" t="n"/>
      <c r="H156" s="5" t="str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>0</v>
      </c>
    </row>
    <row r="157">
      <c r="A157" s="4" t="n"/>
      <c r="B157" s="5" t="str">
        <f>IF(A157="","",IFERROR(INDEX('جدول الجرد'!$A$2:$A$29,MATCH(A157,'جدول الجرد'!$B$2:$B$29,0)),""))</f>
        <v/>
      </c>
      <c r="C157" s="5" t="str">
        <f>IF(A157="","",IFERROR(INDEX('جدول الجرد'!$E$2:$E$29,MATCH(A157,'جدول الجرد'!$B$2:$B$29,0)),""))</f>
        <v/>
      </c>
      <c r="D157" s="4" t="n"/>
      <c r="E157" s="4" t="n"/>
      <c r="F157" s="4" t="n"/>
      <c r="G157" s="4" t="n"/>
      <c r="H157" s="5" t="str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>0</v>
      </c>
    </row>
    <row r="158">
      <c r="A158" s="4" t="n"/>
      <c r="B158" s="5" t="str">
        <f>IF(A158="","",IFERROR(INDEX('جدول الجرد'!$A$2:$A$29,MATCH(A158,'جدول الجرد'!$B$2:$B$29,0)),""))</f>
        <v/>
      </c>
      <c r="C158" s="5" t="str">
        <f>IF(A158="","",IFERROR(INDEX('جدول الجرد'!$E$2:$E$29,MATCH(A158,'جدول الجرد'!$B$2:$B$29,0)),""))</f>
        <v/>
      </c>
      <c r="D158" s="4" t="n"/>
      <c r="E158" s="4" t="n"/>
      <c r="F158" s="4" t="n"/>
      <c r="G158" s="4" t="n"/>
      <c r="H158" s="5" t="str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>0</v>
      </c>
    </row>
    <row r="159">
      <c r="A159" s="4" t="n"/>
      <c r="B159" s="5" t="str">
        <f>IF(A159="","",IFERROR(INDEX('جدول الجرد'!$A$2:$A$29,MATCH(A159,'جدول الجرد'!$B$2:$B$29,0)),""))</f>
        <v/>
      </c>
      <c r="C159" s="5" t="str">
        <f>IF(A159="","",IFERROR(INDEX('جدول الجرد'!$E$2:$E$29,MATCH(A159,'جدول الجرد'!$B$2:$B$29,0)),""))</f>
        <v/>
      </c>
      <c r="D159" s="4" t="n"/>
      <c r="E159" s="4" t="n"/>
      <c r="F159" s="4" t="n"/>
      <c r="G159" s="4" t="n"/>
      <c r="H159" s="5" t="str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>0</v>
      </c>
    </row>
    <row r="160">
      <c r="A160" s="4" t="n"/>
      <c r="B160" s="5" t="str">
        <f>IF(A160="","",IFERROR(INDEX('جدول الجرد'!$A$2:$A$29,MATCH(A160,'جدول الجرد'!$B$2:$B$29,0)),""))</f>
        <v/>
      </c>
      <c r="C160" s="5" t="str">
        <f>IF(A160="","",IFERROR(INDEX('جدول الجرد'!$E$2:$E$29,MATCH(A160,'جدول الجرد'!$B$2:$B$29,0)),""))</f>
        <v/>
      </c>
      <c r="D160" s="4" t="n"/>
      <c r="E160" s="4" t="n"/>
      <c r="F160" s="4" t="n"/>
      <c r="G160" s="4" t="n"/>
      <c r="H160" s="5" t="str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>0</v>
      </c>
    </row>
    <row r="161">
      <c r="A161" s="4" t="n"/>
      <c r="B161" s="5" t="str">
        <f>IF(A161="","",IFERROR(INDEX('جدول الجرد'!$A$2:$A$29,MATCH(A161,'جدول الجرد'!$B$2:$B$29,0)),""))</f>
        <v/>
      </c>
      <c r="C161" s="5" t="str">
        <f>IF(A161="","",IFERROR(INDEX('جدول الجرد'!$E$2:$E$29,MATCH(A161,'جدول الجرد'!$B$2:$B$29,0)),""))</f>
        <v/>
      </c>
      <c r="D161" s="4" t="n"/>
      <c r="E161" s="4" t="n"/>
      <c r="F161" s="4" t="n"/>
      <c r="G161" s="4" t="n"/>
      <c r="H161" s="5" t="str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>0</v>
      </c>
    </row>
    <row r="162">
      <c r="A162" s="4" t="n"/>
      <c r="B162" s="5" t="str">
        <f>IF(A162="","",IFERROR(INDEX('جدول الجرد'!$A$2:$A$29,MATCH(A162,'جدول الجرد'!$B$2:$B$29,0)),""))</f>
        <v/>
      </c>
      <c r="C162" s="5" t="str">
        <f>IF(A162="","",IFERROR(INDEX('جدول الجرد'!$E$2:$E$29,MATCH(A162,'جدول الجرد'!$B$2:$B$29,0)),""))</f>
        <v/>
      </c>
      <c r="D162" s="4" t="n"/>
      <c r="E162" s="4" t="n"/>
      <c r="F162" s="4" t="n"/>
      <c r="G162" s="4" t="n"/>
      <c r="H162" s="5" t="str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>0</v>
      </c>
    </row>
    <row r="163">
      <c r="A163" s="4" t="n"/>
      <c r="B163" s="5" t="str">
        <f>IF(A163="","",IFERROR(INDEX('جدول الجرد'!$A$2:$A$29,MATCH(A163,'جدول الجرد'!$B$2:$B$29,0)),""))</f>
        <v/>
      </c>
      <c r="C163" s="5" t="str">
        <f>IF(A163="","",IFERROR(INDEX('جدول الجرد'!$E$2:$E$29,MATCH(A163,'جدول الجرد'!$B$2:$B$29,0)),""))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الجرد'!$A$2:$A$29,MATCH(A164,'جدول الجرد'!$B$2:$B$29,0)),""))</f>
        <v/>
      </c>
      <c r="C164" s="5" t="str">
        <f>IF(A164="","",IFERROR(INDEX('جدول الجرد'!$E$2:$E$29,MATCH(A164,'جدول الجرد'!$B$2:$B$29,0)),""))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الجرد'!$A$2:$A$29,MATCH(A165,'جدول الجرد'!$B$2:$B$29,0)),""))</f>
        <v/>
      </c>
      <c r="C165" s="5" t="str">
        <f>IF(A165="","",IFERROR(INDEX('جدول الجرد'!$E$2:$E$29,MATCH(A165,'جدول الجرد'!$B$2:$B$29,0)),""))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الجرد'!$A$2:$A$29,MATCH(A166,'جدول الجرد'!$B$2:$B$29,0)),""))</f>
        <v/>
      </c>
      <c r="C166" s="5" t="str">
        <f>IF(A166="","",IFERROR(INDEX('جدول الجرد'!$E$2:$E$29,MATCH(A166,'جدول الجرد'!$B$2:$B$29,0)),""))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الجرد'!$A$2:$A$29,MATCH(A167,'جدول الجرد'!$B$2:$B$29,0)),""))</f>
        <v/>
      </c>
      <c r="C167" s="5" t="str">
        <f>IF(A167="","",IFERROR(INDEX('جدول الجرد'!$E$2:$E$29,MATCH(A167,'جدول الجرد'!$B$2:$B$29,0)),""))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الجرد'!$A$2:$A$29,MATCH(A168,'جدول الجرد'!$B$2:$B$29,0)),""))</f>
        <v/>
      </c>
      <c r="C168" s="5" t="str">
        <f>IF(A168="","",IFERROR(INDEX('جدول الجرد'!$E$2:$E$29,MATCH(A168,'جدول الجرد'!$B$2:$B$29,0)),""))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الجرد'!$A$2:$A$29,MATCH(A169,'جدول الجرد'!$B$2:$B$29,0)),""))</f>
        <v/>
      </c>
      <c r="C169" s="5" t="str">
        <f>IF(A169="","",IFERROR(INDEX('جدول الجرد'!$E$2:$E$29,MATCH(A169,'جدول الجرد'!$B$2:$B$29,0)),""))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الجرد'!$A$2:$A$29,MATCH(A170,'جدول الجرد'!$B$2:$B$29,0)),""))</f>
        <v/>
      </c>
      <c r="C170" s="5" t="str">
        <f>IF(A170="","",IFERROR(INDEX('جدول الجرد'!$E$2:$E$29,MATCH(A170,'جدول الجرد'!$B$2:$B$29,0)),""))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الجرد'!$A$2:$A$29,MATCH(A171,'جدول الجرد'!$B$2:$B$29,0)),""))</f>
        <v/>
      </c>
      <c r="C171" s="5" t="str">
        <f>IF(A171="","",IFERROR(INDEX('جدول الجرد'!$E$2:$E$29,MATCH(A171,'جدول الجرد'!$B$2:$B$29,0)),""))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الجرد'!$A$2:$A$29,MATCH(A172,'جدول الجرد'!$B$2:$B$29,0)),""))</f>
        <v/>
      </c>
      <c r="C172" s="5" t="str">
        <f>IF(A172="","",IFERROR(INDEX('جدول الجرد'!$E$2:$E$29,MATCH(A172,'جدول الجرد'!$B$2:$B$29,0)),""))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الجرد'!$A$2:$A$29,MATCH(A173,'جدول الجرد'!$B$2:$B$29,0)),""))</f>
        <v/>
      </c>
      <c r="C173" s="5" t="str">
        <f>IF(A173="","",IFERROR(INDEX('جدول الجرد'!$E$2:$E$29,MATCH(A173,'جدول الجرد'!$B$2:$B$29,0)),""))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الجرد'!$A$2:$A$29,MATCH(A174,'جدول الجرد'!$B$2:$B$29,0)),""))</f>
        <v/>
      </c>
      <c r="C174" s="5" t="str">
        <f>IF(A174="","",IFERROR(INDEX('جدول الجرد'!$E$2:$E$29,MATCH(A174,'جدول الجرد'!$B$2:$B$29,0)),""))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الجرد'!$A$2:$A$29,MATCH(A175,'جدول الجرد'!$B$2:$B$29,0)),""))</f>
        <v/>
      </c>
      <c r="C175" s="5" t="str">
        <f>IF(A175="","",IFERROR(INDEX('جدول الجرد'!$E$2:$E$29,MATCH(A175,'جدول الجرد'!$B$2:$B$29,0)),""))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الجرد'!$A$2:$A$29,MATCH(A176,'جدول الجرد'!$B$2:$B$29,0)),""))</f>
        <v/>
      </c>
      <c r="C176" s="5" t="str">
        <f>IF(A176="","",IFERROR(INDEX('جدول الجرد'!$E$2:$E$29,MATCH(A176,'جدول الجرد'!$B$2:$B$29,0)),""))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2026-10-06T09:11:15Z</dcterms:created>
  <dcterms:modified xsi:type="dcterms:W3CDTF">2026-10-06T09:11:15Z</dcterms:modified>
</cp:coreProperties>
</file>