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17</v>
      </c>
      <c r="C4" s="5">
        <f>IF(A4="","",COUNTIFS(السجل!$E$2:$E$1000,A4,السجل!$H$2:$H$1000,"مراجعة فقط"))</f>
        <v>16</v>
      </c>
      <c r="D4" s="5">
        <f>IF(A4="","",COUNTIFS(السجل!$E$2:$E$1000,A4,السجل!$H$2:$H$1000,"جرد فقط"))</f>
        <v>0</v>
      </c>
      <c r="E4" s="5">
        <f>IF(A4="","",SUM(B4:D4))</f>
        <v>33</v>
      </c>
      <c r="F4" s="6">
        <f>IF(A4="","",SUMIFS(السجل!$I$2:$I$1000,السجل!$E$2:$E$1000,A4))</f>
        <v>5800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25</v>
      </c>
      <c r="D5" s="5">
        <f>IF(A5="","",COUNTIFS(السجل!$E$2:$E$1000,A5,السجل!$H$2:$H$1000,"جرد فقط"))</f>
        <v>0</v>
      </c>
      <c r="E5" s="5">
        <f>IF(A5="","",SUM(B5:D5))</f>
        <v>33</v>
      </c>
      <c r="F5" s="6">
        <f>IF(A5="","",SUMIFS(السجل!$I$2:$I$1000,السجل!$E$2:$E$1000,A5))</f>
        <v>5350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23</v>
      </c>
      <c r="D7" s="5">
        <f>IF(A7="","",COUNTIFS(السجل!$E$2:$E$1000,A7,السجل!$H$2:$H$1000,"جرد فقط"))</f>
        <v>0</v>
      </c>
      <c r="E7" s="5">
        <f>IF(A7="","",SUM(B7:D7))</f>
        <v>23</v>
      </c>
      <c r="F7" s="6">
        <f>IF(A7="","",SUMIFS(السجل!$I$2:$I$1000,السجل!$E$2:$E$1000,A7))</f>
        <v>3450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8</v>
      </c>
      <c r="C8" s="5">
        <f>IF(A8="","",COUNTIFS(السجل!$E$2:$E$1000,A8,السجل!$H$2:$H$1000,"مراجعة فقط"))</f>
        <v>7</v>
      </c>
      <c r="D8" s="5">
        <f>IF(A8="","",COUNTIFS(السجل!$E$2:$E$1000,A8,السجل!$H$2:$H$1000,"جرد فقط"))</f>
        <v>0</v>
      </c>
      <c r="E8" s="5">
        <f>IF(A8="","",SUM(B8:D8))</f>
        <v>15</v>
      </c>
      <c r="F8" s="6">
        <f>IF(A8="","",SUMIFS(السجل!$I$2:$I$1000,السجل!$E$2:$E$1000,A8))</f>
        <v>2650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33</v>
      </c>
      <c r="C19" s="7">
        <f>SUM(C4:C18)</f>
        <v>100</v>
      </c>
      <c r="D19" s="7">
        <f>SUM(D4:D18)</f>
        <v>0</v>
      </c>
      <c r="E19" s="7">
        <f>SUM(E4:E18)</f>
        <v>133</v>
      </c>
      <c r="F19" s="8">
        <f>SUM(F4:F18)</f>
        <v>21600</v>
      </c>
    </row>
    <row r="21">
      <c r="A21" s="5" t="inlineStr">
        <is>
          <t>للتحقق: إجمالي السجل</t>
        </is>
      </c>
      <c r="F21" s="9">
        <f>SUM(السجل!$I$2:$I$1000)</f>
        <v>21600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5" customWidth="1" min="20" max="20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الثلاثاء
2026-10-13</t>
        </is>
      </c>
      <c r="T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9">
        <f>SUMIFS(السجل!$I$2:$I$1000,السجل!$E$2:$E$1000,$A2,السجل!$A$2:$A$1000,S$1000)</f>
        <v>300</v>
      </c>
      <c r="T2" s="6">
        <f>SUM(B2:S2)</f>
        <v>5800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9">
        <f>SUMIFS(السجل!$I$2:$I$1000,السجل!$E$2:$E$1000,$A3,السجل!$A$2:$A$1000,S$1000)</f>
        <v>300</v>
      </c>
      <c r="T3" s="6">
        <f>SUM(B3:S3)</f>
        <v>5350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6">
        <f>SUM(B4:S4)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0</v>
      </c>
      <c r="T5" s="6">
        <f>SUM(B5:S5)</f>
        <v>3450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400</v>
      </c>
      <c r="T6" s="6">
        <f>SUM(B6:S6)</f>
        <v>2650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6">
        <f>SUM(B7:S7)</f>
        <v>2700</v>
      </c>
    </row>
    <row r="8">
      <c r="A8" s="7" t="inlineStr">
        <is>
          <t>الإجمالي</t>
        </is>
      </c>
      <c r="B8" s="8">
        <f>SUM(B2:B7)</f>
        <v>1150</v>
      </c>
      <c r="C8" s="8">
        <f>SUM(C2:C7)</f>
        <v>1000</v>
      </c>
      <c r="D8" s="8">
        <f>SUM(D2:D7)</f>
        <v>1150</v>
      </c>
      <c r="E8" s="8">
        <f>SUM(E2:E7)</f>
        <v>1150</v>
      </c>
      <c r="F8" s="8">
        <f>SUM(F2:F7)</f>
        <v>1600</v>
      </c>
      <c r="G8" s="8">
        <f>SUM(G2:G7)</f>
        <v>1450</v>
      </c>
      <c r="H8" s="8">
        <f>SUM(H2:H7)</f>
        <v>800</v>
      </c>
      <c r="I8" s="8">
        <f>SUM(I2:I7)</f>
        <v>800</v>
      </c>
      <c r="J8" s="8">
        <f>SUM(J2:J7)</f>
        <v>800</v>
      </c>
      <c r="K8" s="8">
        <f>SUM(K2:K7)</f>
        <v>1300</v>
      </c>
      <c r="L8" s="8">
        <f>SUM(L2:L7)</f>
        <v>1300</v>
      </c>
      <c r="M8" s="8">
        <f>SUM(M2:M7)</f>
        <v>1300</v>
      </c>
      <c r="N8" s="8">
        <f>SUM(N2:N7)</f>
        <v>1300</v>
      </c>
      <c r="O8" s="8">
        <f>SUM(O2:O7)</f>
        <v>1300</v>
      </c>
      <c r="P8" s="8">
        <f>SUM(P2:P7)</f>
        <v>1300</v>
      </c>
      <c r="Q8" s="8">
        <f>SUM(Q2:Q7)</f>
        <v>1300</v>
      </c>
      <c r="R8" s="8">
        <f>SUM(R2:R7)</f>
        <v>1300</v>
      </c>
      <c r="S8" s="8">
        <f>SUM(S2:S7)</f>
        <v>1300</v>
      </c>
      <c r="T8" s="8">
        <f>SUM(T2:T7)</f>
        <v>21600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  <c r="S1000" t="inlineStr">
        <is>
          <t>2026-10-13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الجرد'!$A$2:$A$29,MATCH(A119,'جدول الجرد'!$B$2:$B$29,0)),""))</f>
        <v>الأحد</v>
      </c>
      <c r="C119" s="5" t="str">
        <f>IF(A119="","",IFERROR(INDEX('جدول الجرد'!$E$2:$E$29,MATCH(A119,'جدول الجرد'!$B$2:$B$29,0)),""))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الجرد'!$A$2:$A$29,MATCH(A120,'جدول الجرد'!$B$2:$B$29,0)),""))</f>
        <v>الأحد</v>
      </c>
      <c r="C120" s="5" t="str">
        <f>IF(A120="","",IFERROR(INDEX('جدول الجرد'!$E$2:$E$29,MATCH(A120,'جدول الجرد'!$B$2:$B$29,0)),""))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الجرد'!$A$2:$A$29,MATCH(A121,'جدول الجرد'!$B$2:$B$29,0)),""))</f>
        <v>الأحد</v>
      </c>
      <c r="C121" s="5" t="str">
        <f>IF(A121="","",IFERROR(INDEX('جدول الجرد'!$E$2:$E$29,MATCH(A121,'جدول الجرد'!$B$2:$B$29,0)),""))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الجرد'!$A$2:$A$29,MATCH(A122,'جدول الجرد'!$B$2:$B$29,0)),""))</f>
        <v>الأحد</v>
      </c>
      <c r="C122" s="5" t="str">
        <f>IF(A122="","",IFERROR(INDEX('جدول الجرد'!$E$2:$E$29,MATCH(A122,'جدول الجرد'!$B$2:$B$29,0)),""))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الجرد'!$A$2:$A$29,MATCH(A123,'جدول الجرد'!$B$2:$B$29,0)),""))</f>
        <v>الأحد</v>
      </c>
      <c r="C123" s="5" t="str">
        <f>IF(A123="","",IFERROR(INDEX('جدول الجرد'!$E$2:$E$29,MATCH(A123,'جدول الجرد'!$B$2:$B$29,0)),""))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الجرد'!$A$2:$A$29,MATCH(A124,'جدول الجرد'!$B$2:$B$29,0)),""))</f>
        <v>الأحد</v>
      </c>
      <c r="C124" s="5" t="str">
        <f>IF(A124="","",IFERROR(INDEX('جدول الجرد'!$E$2:$E$29,MATCH(A124,'جدول الجرد'!$B$2:$B$29,0)),""))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الجرد'!$A$2:$A$29,MATCH(A125,'جدول الجرد'!$B$2:$B$29,0)),""))</f>
        <v>الأحد</v>
      </c>
      <c r="C125" s="5" t="str">
        <f>IF(A125="","",IFERROR(INDEX('جدول الجرد'!$E$2:$E$29,MATCH(A125,'جدول الجرد'!$B$2:$B$29,0)),""))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الجرد'!$A$2:$A$29,MATCH(A126,'جدول الجرد'!$B$2:$B$29,0)),""))</f>
        <v>الأحد</v>
      </c>
      <c r="C126" s="5" t="str">
        <f>IF(A126="","",IFERROR(INDEX('جدول الجرد'!$E$2:$E$29,MATCH(A126,'جدول الجرد'!$B$2:$B$29,0)),""))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الجرد'!$A$2:$A$29,MATCH(A127,'جدول الجرد'!$B$2:$B$29,0)),""))</f>
        <v>الثلاثاء</v>
      </c>
      <c r="C127" s="5" t="str">
        <f>IF(A127="","",IFERROR(INDEX('جدول الجرد'!$E$2:$E$29,MATCH(A127,'جدول الجرد'!$B$2:$B$29,0)),""))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الجرد'!$A$2:$A$29,MATCH(A128,'جدول الجرد'!$B$2:$B$29,0)),""))</f>
        <v>الثلاثاء</v>
      </c>
      <c r="C128" s="5" t="str">
        <f>IF(A128="","",IFERROR(INDEX('جدول الجرد'!$E$2:$E$29,MATCH(A128,'جدول الجرد'!$B$2:$B$29,0)),""))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الجرد'!$A$2:$A$29,MATCH(A129,'جدول الجرد'!$B$2:$B$29,0)),""))</f>
        <v>الثلاثاء</v>
      </c>
      <c r="C129" s="5" t="str">
        <f>IF(A129="","",IFERROR(INDEX('جدول الجرد'!$E$2:$E$29,MATCH(A129,'جدول الجرد'!$B$2:$B$29,0)),""))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الجرد'!$A$2:$A$29,MATCH(A130,'جدول الجرد'!$B$2:$B$29,0)),""))</f>
        <v>الثلاثاء</v>
      </c>
      <c r="C130" s="5" t="str">
        <f>IF(A130="","",IFERROR(INDEX('جدول الجرد'!$E$2:$E$29,MATCH(A130,'جدول الجرد'!$B$2:$B$29,0)),""))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الجرد'!$A$2:$A$29,MATCH(A131,'جدول الجرد'!$B$2:$B$29,0)),""))</f>
        <v>الثلاثاء</v>
      </c>
      <c r="C131" s="5" t="str">
        <f>IF(A131="","",IFERROR(INDEX('جدول الجرد'!$E$2:$E$29,MATCH(A131,'جدول الجرد'!$B$2:$B$29,0)),""))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الجرد'!$A$2:$A$29,MATCH(A132,'جدول الجرد'!$B$2:$B$29,0)),""))</f>
        <v>الثلاثاء</v>
      </c>
      <c r="C132" s="5" t="str">
        <f>IF(A132="","",IFERROR(INDEX('جدول الجرد'!$E$2:$E$29,MATCH(A132,'جدول الجرد'!$B$2:$B$29,0)),""))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الجرد'!$A$2:$A$29,MATCH(A133,'جدول الجرد'!$B$2:$B$29,0)),""))</f>
        <v>الثلاثاء</v>
      </c>
      <c r="C133" s="5" t="str">
        <f>IF(A133="","",IFERROR(INDEX('جدول الجرد'!$E$2:$E$29,MATCH(A133,'جدول الجرد'!$B$2:$B$29,0)),""))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الجرد'!$A$2:$A$29,MATCH(A134,'جدول الجرد'!$B$2:$B$29,0)),""))</f>
        <v>الثلاثاء</v>
      </c>
      <c r="C134" s="5" t="str">
        <f>IF(A134="","",IFERROR(INDEX('جدول الجرد'!$E$2:$E$29,MATCH(A134,'جدول الجرد'!$B$2:$B$29,0)),""))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n"/>
      <c r="B135" s="5" t="str">
        <f>IF(A135="","",IFERROR(INDEX('جدول الجرد'!$A$2:$A$29,MATCH(A135,'جدول الجرد'!$B$2:$B$29,0)),""))</f>
        <v/>
      </c>
      <c r="C135" s="5" t="str">
        <f>IF(A135="","",IFERROR(INDEX('جدول الجرد'!$E$2:$E$29,MATCH(A135,'جدول الجرد'!$B$2:$B$29,0)),""))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الجرد'!$A$2:$A$29,MATCH(A136,'جدول الجرد'!$B$2:$B$29,0)),""))</f>
        <v/>
      </c>
      <c r="C136" s="5" t="str">
        <f>IF(A136="","",IFERROR(INDEX('جدول الجرد'!$E$2:$E$29,MATCH(A136,'جدول الجرد'!$B$2:$B$29,0)),""))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الجرد'!$A$2:$A$29,MATCH(A137,'جدول الجرد'!$B$2:$B$29,0)),""))</f>
        <v/>
      </c>
      <c r="C137" s="5" t="str">
        <f>IF(A137="","",IFERROR(INDEX('جدول الجرد'!$E$2:$E$29,MATCH(A137,'جدول الجرد'!$B$2:$B$29,0)),""))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الجرد'!$A$2:$A$29,MATCH(A138,'جدول الجرد'!$B$2:$B$29,0)),""))</f>
        <v/>
      </c>
      <c r="C138" s="5" t="str">
        <f>IF(A138="","",IFERROR(INDEX('جدول الجرد'!$E$2:$E$29,MATCH(A138,'جدول الجرد'!$B$2:$B$29,0)),""))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الجرد'!$A$2:$A$29,MATCH(A139,'جدول الجرد'!$B$2:$B$29,0)),""))</f>
        <v/>
      </c>
      <c r="C139" s="5" t="str">
        <f>IF(A139="","",IFERROR(INDEX('جدول الجرد'!$E$2:$E$29,MATCH(A139,'جدول الجرد'!$B$2:$B$29,0)),""))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الجرد'!$A$2:$A$29,MATCH(A140,'جدول الجرد'!$B$2:$B$29,0)),""))</f>
        <v/>
      </c>
      <c r="C140" s="5" t="str">
        <f>IF(A140="","",IFERROR(INDEX('جدول الجرد'!$E$2:$E$29,MATCH(A140,'جدول الجرد'!$B$2:$B$29,0)),""))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2026-10-13T17:11:57Z</dcterms:created>
  <dcterms:modified xsi:type="dcterms:W3CDTF">2026-10-13T17:11:57Z</dcterms:modified>
</cp:coreProperties>
</file>