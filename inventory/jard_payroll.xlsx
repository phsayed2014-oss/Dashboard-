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15</v>
      </c>
      <c r="C4" s="5">
        <f>IF(A4="","",COUNTIFS(السجل!$E$2:$E$1000,A4,السجل!$H$2:$H$1000,"مراجعة فقط"))</f>
        <v>10</v>
      </c>
      <c r="D4" s="5">
        <f>IF(A4="","",COUNTIFS(السجل!$E$2:$E$1000,A4,السجل!$H$2:$H$1000,"جرد فقط"))</f>
        <v>0</v>
      </c>
      <c r="E4" s="5">
        <f>IF(A4="","",SUM(B4:D4))</f>
        <v>25</v>
      </c>
      <c r="F4" s="6">
        <f>IF(A4="","",SUMIFS(السجل!$I$2:$I$1000,السجل!$E$2:$E$1000,A4))</f>
        <v>4500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4</v>
      </c>
      <c r="C5" s="5">
        <f>IF(A5="","",COUNTIFS(السجل!$E$2:$E$1000,A5,السجل!$H$2:$H$1000,"مراجعة فقط"))</f>
        <v>21</v>
      </c>
      <c r="D5" s="5">
        <f>IF(A5="","",COUNTIFS(السجل!$E$2:$E$1000,A5,السجل!$H$2:$H$1000,"جرد فقط"))</f>
        <v>0</v>
      </c>
      <c r="E5" s="5">
        <f>IF(A5="","",SUM(B5:D5))</f>
        <v>25</v>
      </c>
      <c r="F5" s="6">
        <f>IF(A5="","",SUMIFS(السجل!$I$2:$I$1000,السجل!$E$2:$E$1000,A5))</f>
        <v>3950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17</v>
      </c>
      <c r="D7" s="5">
        <f>IF(A7="","",COUNTIFS(السجل!$E$2:$E$1000,A7,السجل!$H$2:$H$1000,"جرد فقط"))</f>
        <v>0</v>
      </c>
      <c r="E7" s="5">
        <f>IF(A7="","",SUM(B7:D7))</f>
        <v>17</v>
      </c>
      <c r="F7" s="6">
        <f>IF(A7="","",SUMIFS(السجل!$I$2:$I$1000,السجل!$E$2:$E$1000,A7))</f>
        <v>2550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6</v>
      </c>
      <c r="C8" s="5">
        <f>IF(A8="","",COUNTIFS(السجل!$E$2:$E$1000,A8,السجل!$H$2:$H$1000,"مراجعة فقط"))</f>
        <v>7</v>
      </c>
      <c r="D8" s="5">
        <f>IF(A8="","",COUNTIFS(السجل!$E$2:$E$1000,A8,السجل!$H$2:$H$1000,"جرد فقط"))</f>
        <v>0</v>
      </c>
      <c r="E8" s="5">
        <f>IF(A8="","",SUM(B8:D8))</f>
        <v>13</v>
      </c>
      <c r="F8" s="6">
        <f>IF(A8="","",SUMIFS(السجل!$I$2:$I$1000,السجل!$E$2:$E$1000,A8))</f>
        <v>2250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10</v>
      </c>
      <c r="D9" s="5">
        <f>IF(A9="","",COUNTIFS(السجل!$E$2:$E$1000,A9,السجل!$H$2:$H$1000,"جرد فقط"))</f>
        <v>0</v>
      </c>
      <c r="E9" s="5">
        <f>IF(A9="","",SUM(B9:D9))</f>
        <v>10</v>
      </c>
      <c r="F9" s="6">
        <f>IF(A9="","",SUMIFS(السجل!$I$2:$I$1000,السجل!$E$2:$E$1000,A9))</f>
        <v>1500</v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25</v>
      </c>
      <c r="C19" s="7">
        <f>SUM(C4:C18)</f>
        <v>76</v>
      </c>
      <c r="D19" s="7">
        <f>SUM(D4:D18)</f>
        <v>0</v>
      </c>
      <c r="E19" s="7">
        <f>SUM(E4:E18)</f>
        <v>101</v>
      </c>
      <c r="F19" s="8">
        <f>SUM(F4:F18)</f>
        <v>16400</v>
      </c>
    </row>
    <row r="21">
      <c r="A21" s="5" t="inlineStr">
        <is>
          <t>للتحقق: إجمالي السجل</t>
        </is>
      </c>
      <c r="F21" s="9">
        <f>SUM(السجل!$I$2:$I$1000)</f>
        <v>16400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5" customWidth="1" min="16" max="16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6">
        <f>SUM(B2:O2)</f>
        <v>4500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6">
        <f>SUM(B3:O3)</f>
        <v>3950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6">
        <f>SUM(B4:O4)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6">
        <f>SUM(B5:O5)</f>
        <v>2550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6">
        <f>SUM(B6:O6)</f>
        <v>2250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6">
        <f>SUM(B7:O7)</f>
        <v>1500</v>
      </c>
    </row>
    <row r="8">
      <c r="A8" s="7" t="inlineStr">
        <is>
          <t>الإجمالي</t>
        </is>
      </c>
      <c r="B8" s="8">
        <f>SUM(B2:B7)</f>
        <v>1150</v>
      </c>
      <c r="C8" s="8">
        <f>SUM(C2:C7)</f>
        <v>1000</v>
      </c>
      <c r="D8" s="8">
        <f>SUM(D2:D7)</f>
        <v>1150</v>
      </c>
      <c r="E8" s="8">
        <f>SUM(E2:E7)</f>
        <v>1150</v>
      </c>
      <c r="F8" s="8">
        <f>SUM(F2:F7)</f>
        <v>1600</v>
      </c>
      <c r="G8" s="8">
        <f>SUM(G2:G7)</f>
        <v>1450</v>
      </c>
      <c r="H8" s="8">
        <f>SUM(H2:H7)</f>
        <v>800</v>
      </c>
      <c r="I8" s="8">
        <f>SUM(I2:I7)</f>
        <v>800</v>
      </c>
      <c r="J8" s="8">
        <f>SUM(J2:J7)</f>
        <v>800</v>
      </c>
      <c r="K8" s="8">
        <f>SUM(K2:K7)</f>
        <v>1300</v>
      </c>
      <c r="L8" s="8">
        <f>SUM(L2:L7)</f>
        <v>1300</v>
      </c>
      <c r="M8" s="8">
        <f>SUM(M2:M7)</f>
        <v>1300</v>
      </c>
      <c r="N8" s="8">
        <f>SUM(N2:N7)</f>
        <v>1300</v>
      </c>
      <c r="O8" s="8">
        <f>SUM(O2:O7)</f>
        <v>1300</v>
      </c>
      <c r="P8" s="8">
        <f>SUM(P2:P7)</f>
        <v>16400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n"/>
      <c r="B103" s="5" t="str">
        <f>IF(A103="","",IFERROR(INDEX('جدول الجرد'!$A$2:$A$29,MATCH(A103,'جدول الجرد'!$B$2:$B$29,0)),""))</f>
        <v/>
      </c>
      <c r="C103" s="5" t="str">
        <f>IF(A103="","",IFERROR(INDEX('جدول الجرد'!$E$2:$E$29,MATCH(A103,'جدول الجرد'!$B$2:$B$29,0)),""))</f>
        <v/>
      </c>
      <c r="D103" s="4" t="n"/>
      <c r="E103" s="4" t="n"/>
      <c r="F103" s="4" t="n"/>
      <c r="G103" s="4" t="n"/>
      <c r="H103" s="5" t="str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>0</v>
      </c>
    </row>
    <row r="104">
      <c r="A104" s="4" t="n"/>
      <c r="B104" s="5" t="str">
        <f>IF(A104="","",IFERROR(INDEX('جدول الجرد'!$A$2:$A$29,MATCH(A104,'جدول الجرد'!$B$2:$B$29,0)),""))</f>
        <v/>
      </c>
      <c r="C104" s="5" t="str">
        <f>IF(A104="","",IFERROR(INDEX('جدول الجرد'!$E$2:$E$29,MATCH(A104,'جدول الجرد'!$B$2:$B$29,0)),""))</f>
        <v/>
      </c>
      <c r="D104" s="4" t="n"/>
      <c r="E104" s="4" t="n"/>
      <c r="F104" s="4" t="n"/>
      <c r="G104" s="4" t="n"/>
      <c r="H104" s="5" t="str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>0</v>
      </c>
    </row>
    <row r="105">
      <c r="A105" s="4" t="n"/>
      <c r="B105" s="5" t="str">
        <f>IF(A105="","",IFERROR(INDEX('جدول الجرد'!$A$2:$A$29,MATCH(A105,'جدول الجرد'!$B$2:$B$29,0)),""))</f>
        <v/>
      </c>
      <c r="C105" s="5" t="str">
        <f>IF(A105="","",IFERROR(INDEX('جدول الجرد'!$E$2:$E$29,MATCH(A105,'جدول الجرد'!$B$2:$B$29,0)),""))</f>
        <v/>
      </c>
      <c r="D105" s="4" t="n"/>
      <c r="E105" s="4" t="n"/>
      <c r="F105" s="4" t="n"/>
      <c r="G105" s="4" t="n"/>
      <c r="H105" s="5" t="str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>0</v>
      </c>
    </row>
    <row r="106">
      <c r="A106" s="4" t="n"/>
      <c r="B106" s="5" t="str">
        <f>IF(A106="","",IFERROR(INDEX('جدول الجرد'!$A$2:$A$29,MATCH(A106,'جدول الجرد'!$B$2:$B$29,0)),""))</f>
        <v/>
      </c>
      <c r="C106" s="5" t="str">
        <f>IF(A106="","",IFERROR(INDEX('جدول الجرد'!$E$2:$E$29,MATCH(A106,'جدول الجرد'!$B$2:$B$29,0)),""))</f>
        <v/>
      </c>
      <c r="D106" s="4" t="n"/>
      <c r="E106" s="4" t="n"/>
      <c r="F106" s="4" t="n"/>
      <c r="G106" s="4" t="n"/>
      <c r="H106" s="5" t="str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>0</v>
      </c>
    </row>
    <row r="107">
      <c r="A107" s="4" t="n"/>
      <c r="B107" s="5" t="str">
        <f>IF(A107="","",IFERROR(INDEX('جدول الجرد'!$A$2:$A$29,MATCH(A107,'جدول الجرد'!$B$2:$B$29,0)),""))</f>
        <v/>
      </c>
      <c r="C107" s="5" t="str">
        <f>IF(A107="","",IFERROR(INDEX('جدول الجرد'!$E$2:$E$29,MATCH(A107,'جدول الجرد'!$B$2:$B$29,0)),""))</f>
        <v/>
      </c>
      <c r="D107" s="4" t="n"/>
      <c r="E107" s="4" t="n"/>
      <c r="F107" s="4" t="n"/>
      <c r="G107" s="4" t="n"/>
      <c r="H107" s="5" t="str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>0</v>
      </c>
    </row>
    <row r="108">
      <c r="A108" s="4" t="n"/>
      <c r="B108" s="5" t="str">
        <f>IF(A108="","",IFERROR(INDEX('جدول الجرد'!$A$2:$A$29,MATCH(A108,'جدول الجرد'!$B$2:$B$29,0)),""))</f>
        <v/>
      </c>
      <c r="C108" s="5" t="str">
        <f>IF(A108="","",IFERROR(INDEX('جدول الجرد'!$E$2:$E$29,MATCH(A108,'جدول الجرد'!$B$2:$B$29,0)),""))</f>
        <v/>
      </c>
      <c r="D108" s="4" t="n"/>
      <c r="E108" s="4" t="n"/>
      <c r="F108" s="4" t="n"/>
      <c r="G108" s="4" t="n"/>
      <c r="H108" s="5" t="str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>0</v>
      </c>
    </row>
    <row r="109">
      <c r="A109" s="4" t="n"/>
      <c r="B109" s="5" t="str">
        <f>IF(A109="","",IFERROR(INDEX('جدول الجرد'!$A$2:$A$29,MATCH(A109,'جدول الجرد'!$B$2:$B$29,0)),""))</f>
        <v/>
      </c>
      <c r="C109" s="5" t="str">
        <f>IF(A109="","",IFERROR(INDEX('جدول الجرد'!$E$2:$E$29,MATCH(A109,'جدول الجرد'!$B$2:$B$29,0)),""))</f>
        <v/>
      </c>
      <c r="D109" s="4" t="n"/>
      <c r="E109" s="4" t="n"/>
      <c r="F109" s="4" t="n"/>
      <c r="G109" s="4" t="n"/>
      <c r="H109" s="5" t="str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>0</v>
      </c>
    </row>
    <row r="110">
      <c r="A110" s="4" t="n"/>
      <c r="B110" s="5" t="str">
        <f>IF(A110="","",IFERROR(INDEX('جدول الجرد'!$A$2:$A$29,MATCH(A110,'جدول الجرد'!$B$2:$B$29,0)),""))</f>
        <v/>
      </c>
      <c r="C110" s="5" t="str">
        <f>IF(A110="","",IFERROR(INDEX('جدول الجرد'!$E$2:$E$29,MATCH(A110,'جدول الجرد'!$B$2:$B$29,0)),""))</f>
        <v/>
      </c>
      <c r="D110" s="4" t="n"/>
      <c r="E110" s="4" t="n"/>
      <c r="F110" s="4" t="n"/>
      <c r="G110" s="4" t="n"/>
      <c r="H110" s="5" t="str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>0</v>
      </c>
    </row>
    <row r="111">
      <c r="A111" s="4" t="n"/>
      <c r="B111" s="5" t="str">
        <f>IF(A111="","",IFERROR(INDEX('جدول الجرد'!$A$2:$A$29,MATCH(A111,'جدول الجرد'!$B$2:$B$29,0)),""))</f>
        <v/>
      </c>
      <c r="C111" s="5" t="str">
        <f>IF(A111="","",IFERROR(INDEX('جدول الجرد'!$E$2:$E$29,MATCH(A111,'جدول الجرد'!$B$2:$B$29,0)),""))</f>
        <v/>
      </c>
      <c r="D111" s="4" t="n"/>
      <c r="E111" s="4" t="n"/>
      <c r="F111" s="4" t="n"/>
      <c r="G111" s="4" t="n"/>
      <c r="H111" s="5" t="str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>0</v>
      </c>
    </row>
    <row r="112">
      <c r="A112" s="4" t="n"/>
      <c r="B112" s="5" t="str">
        <f>IF(A112="","",IFERROR(INDEX('جدول الجرد'!$A$2:$A$29,MATCH(A112,'جدول الجرد'!$B$2:$B$29,0)),""))</f>
        <v/>
      </c>
      <c r="C112" s="5" t="str">
        <f>IF(A112="","",IFERROR(INDEX('جدول الجرد'!$E$2:$E$29,MATCH(A112,'جدول الجرد'!$B$2:$B$29,0)),""))</f>
        <v/>
      </c>
      <c r="D112" s="4" t="n"/>
      <c r="E112" s="4" t="n"/>
      <c r="F112" s="4" t="n"/>
      <c r="G112" s="4" t="n"/>
      <c r="H112" s="5" t="str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>0</v>
      </c>
    </row>
    <row r="113">
      <c r="A113" s="4" t="n"/>
      <c r="B113" s="5" t="str">
        <f>IF(A113="","",IFERROR(INDEX('جدول الجرد'!$A$2:$A$29,MATCH(A113,'جدول الجرد'!$B$2:$B$29,0)),""))</f>
        <v/>
      </c>
      <c r="C113" s="5" t="str">
        <f>IF(A113="","",IFERROR(INDEX('جدول الجرد'!$E$2:$E$29,MATCH(A113,'جدول الجرد'!$B$2:$B$29,0)),""))</f>
        <v/>
      </c>
      <c r="D113" s="4" t="n"/>
      <c r="E113" s="4" t="n"/>
      <c r="F113" s="4" t="n"/>
      <c r="G113" s="4" t="n"/>
      <c r="H113" s="5" t="str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>0</v>
      </c>
    </row>
    <row r="114">
      <c r="A114" s="4" t="n"/>
      <c r="B114" s="5" t="str">
        <f>IF(A114="","",IFERROR(INDEX('جدول الجرد'!$A$2:$A$29,MATCH(A114,'جدول الجرد'!$B$2:$B$29,0)),""))</f>
        <v/>
      </c>
      <c r="C114" s="5" t="str">
        <f>IF(A114="","",IFERROR(INDEX('جدول الجرد'!$E$2:$E$29,MATCH(A114,'جدول الجرد'!$B$2:$B$29,0)),""))</f>
        <v/>
      </c>
      <c r="D114" s="4" t="n"/>
      <c r="E114" s="4" t="n"/>
      <c r="F114" s="4" t="n"/>
      <c r="G114" s="4" t="n"/>
      <c r="H114" s="5" t="str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>0</v>
      </c>
    </row>
    <row r="115">
      <c r="A115" s="4" t="n"/>
      <c r="B115" s="5" t="str">
        <f>IF(A115="","",IFERROR(INDEX('جدول الجرد'!$A$2:$A$29,MATCH(A115,'جدول الجرد'!$B$2:$B$29,0)),""))</f>
        <v/>
      </c>
      <c r="C115" s="5" t="str">
        <f>IF(A115="","",IFERROR(INDEX('جدول الجرد'!$E$2:$E$29,MATCH(A115,'جدول الجرد'!$B$2:$B$29,0)),""))</f>
        <v/>
      </c>
      <c r="D115" s="4" t="n"/>
      <c r="E115" s="4" t="n"/>
      <c r="F115" s="4" t="n"/>
      <c r="G115" s="4" t="n"/>
      <c r="H115" s="5" t="str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>0</v>
      </c>
    </row>
    <row r="116">
      <c r="A116" s="4" t="n"/>
      <c r="B116" s="5" t="str">
        <f>IF(A116="","",IFERROR(INDEX('جدول الجرد'!$A$2:$A$29,MATCH(A116,'جدول الجرد'!$B$2:$B$29,0)),""))</f>
        <v/>
      </c>
      <c r="C116" s="5" t="str">
        <f>IF(A116="","",IFERROR(INDEX('جدول الجرد'!$E$2:$E$29,MATCH(A116,'جدول الجرد'!$B$2:$B$29,0)),""))</f>
        <v/>
      </c>
      <c r="D116" s="4" t="n"/>
      <c r="E116" s="4" t="n"/>
      <c r="F116" s="4" t="n"/>
      <c r="G116" s="4" t="n"/>
      <c r="H116" s="5" t="str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>0</v>
      </c>
    </row>
    <row r="117">
      <c r="A117" s="4" t="n"/>
      <c r="B117" s="5" t="str">
        <f>IF(A117="","",IFERROR(INDEX('جدول الجرد'!$A$2:$A$29,MATCH(A117,'جدول الجرد'!$B$2:$B$29,0)),""))</f>
        <v/>
      </c>
      <c r="C117" s="5" t="str">
        <f>IF(A117="","",IFERROR(INDEX('جدول الجرد'!$E$2:$E$29,MATCH(A117,'جدول الجرد'!$B$2:$B$29,0)),""))</f>
        <v/>
      </c>
      <c r="D117" s="4" t="n"/>
      <c r="E117" s="4" t="n"/>
      <c r="F117" s="4" t="n"/>
      <c r="G117" s="4" t="n"/>
      <c r="H117" s="5" t="str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>0</v>
      </c>
    </row>
    <row r="118">
      <c r="A118" s="4" t="n"/>
      <c r="B118" s="5" t="str">
        <f>IF(A118="","",IFERROR(INDEX('جدول الجرد'!$A$2:$A$29,MATCH(A118,'جدول الجرد'!$B$2:$B$29,0)),""))</f>
        <v/>
      </c>
      <c r="C118" s="5" t="str">
        <f>IF(A118="","",IFERROR(INDEX('جدول الجرد'!$E$2:$E$29,MATCH(A118,'جدول الجرد'!$B$2:$B$29,0)),""))</f>
        <v/>
      </c>
      <c r="D118" s="4" t="n"/>
      <c r="E118" s="4" t="n"/>
      <c r="F118" s="4" t="n"/>
      <c r="G118" s="4" t="n"/>
      <c r="H118" s="5" t="str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>0</v>
      </c>
    </row>
    <row r="119">
      <c r="A119" s="4" t="n"/>
      <c r="B119" s="5" t="str">
        <f>IF(A119="","",IFERROR(INDEX('جدول الجرد'!$A$2:$A$29,MATCH(A119,'جدول الجرد'!$B$2:$B$29,0)),""))</f>
        <v/>
      </c>
      <c r="C119" s="5" t="str">
        <f>IF(A119="","",IFERROR(INDEX('جدول الجرد'!$E$2:$E$29,MATCH(A119,'جدول الجرد'!$B$2:$B$29,0)),""))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الجرد'!$A$2:$A$29,MATCH(A120,'جدول الجرد'!$B$2:$B$29,0)),""))</f>
        <v/>
      </c>
      <c r="C120" s="5" t="str">
        <f>IF(A120="","",IFERROR(INDEX('جدول الجرد'!$E$2:$E$29,MATCH(A120,'جدول الجرد'!$B$2:$B$29,0)),""))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الجرد'!$A$2:$A$29,MATCH(A121,'جدول الجرد'!$B$2:$B$29,0)),""))</f>
        <v/>
      </c>
      <c r="C121" s="5" t="str">
        <f>IF(A121="","",IFERROR(INDEX('جدول الجرد'!$E$2:$E$29,MATCH(A121,'جدول الجرد'!$B$2:$B$29,0)),""))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الجرد'!$A$2:$A$29,MATCH(A122,'جدول الجرد'!$B$2:$B$29,0)),""))</f>
        <v/>
      </c>
      <c r="C122" s="5" t="str">
        <f>IF(A122="","",IFERROR(INDEX('جدول الجرد'!$E$2:$E$29,MATCH(A122,'جدول الجرد'!$B$2:$B$29,0)),""))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الجرد'!$A$2:$A$29,MATCH(A123,'جدول الجرد'!$B$2:$B$29,0)),""))</f>
        <v/>
      </c>
      <c r="C123" s="5" t="str">
        <f>IF(A123="","",IFERROR(INDEX('جدول الجرد'!$E$2:$E$29,MATCH(A123,'جدول الجرد'!$B$2:$B$29,0)),""))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الجرد'!$A$2:$A$29,MATCH(A124,'جدول الجرد'!$B$2:$B$29,0)),""))</f>
        <v/>
      </c>
      <c r="C124" s="5" t="str">
        <f>IF(A124="","",IFERROR(INDEX('جدول الجرد'!$E$2:$E$29,MATCH(A124,'جدول الجرد'!$B$2:$B$29,0)),""))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الجرد'!$A$2:$A$29,MATCH(A125,'جدول الجرد'!$B$2:$B$29,0)),""))</f>
        <v/>
      </c>
      <c r="C125" s="5" t="str">
        <f>IF(A125="","",IFERROR(INDEX('جدول الجرد'!$E$2:$E$29,MATCH(A125,'جدول الجرد'!$B$2:$B$29,0)),""))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الجرد'!$A$2:$A$29,MATCH(A126,'جدول الجرد'!$B$2:$B$29,0)),""))</f>
        <v/>
      </c>
      <c r="C126" s="5" t="str">
        <f>IF(A126="","",IFERROR(INDEX('جدول الجرد'!$E$2:$E$29,MATCH(A126,'جدول الجرد'!$B$2:$B$29,0)),""))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الجرد'!$A$2:$A$29,MATCH(A127,'جدول الجرد'!$B$2:$B$29,0)),""))</f>
        <v/>
      </c>
      <c r="C127" s="5" t="str">
        <f>IF(A127="","",IFERROR(INDEX('جدول الجرد'!$E$2:$E$29,MATCH(A127,'جدول الجرد'!$B$2:$B$29,0)),""))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الجرد'!$A$2:$A$29,MATCH(A128,'جدول الجرد'!$B$2:$B$29,0)),""))</f>
        <v/>
      </c>
      <c r="C128" s="5" t="str">
        <f>IF(A128="","",IFERROR(INDEX('جدول الجرد'!$E$2:$E$29,MATCH(A128,'جدول الجرد'!$B$2:$B$29,0)),""))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الجرد'!$A$2:$A$29,MATCH(A129,'جدول الجرد'!$B$2:$B$29,0)),""))</f>
        <v/>
      </c>
      <c r="C129" s="5" t="str">
        <f>IF(A129="","",IFERROR(INDEX('جدول الجرد'!$E$2:$E$29,MATCH(A129,'جدول الجرد'!$B$2:$B$29,0)),""))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الجرد'!$A$2:$A$29,MATCH(A130,'جدول الجرد'!$B$2:$B$29,0)),""))</f>
        <v/>
      </c>
      <c r="C130" s="5" t="str">
        <f>IF(A130="","",IFERROR(INDEX('جدول الجرد'!$E$2:$E$29,MATCH(A130,'جدول الجرد'!$B$2:$B$29,0)),""))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الجرد'!$A$2:$A$29,MATCH(A131,'جدول الجرد'!$B$2:$B$29,0)),""))</f>
        <v/>
      </c>
      <c r="C131" s="5" t="str">
        <f>IF(A131="","",IFERROR(INDEX('جدول الجرد'!$E$2:$E$29,MATCH(A131,'جدول الجرد'!$B$2:$B$29,0)),""))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الجرد'!$A$2:$A$29,MATCH(A132,'جدول الجرد'!$B$2:$B$29,0)),""))</f>
        <v/>
      </c>
      <c r="C132" s="5" t="str">
        <f>IF(A132="","",IFERROR(INDEX('جدول الجرد'!$E$2:$E$29,MATCH(A132,'جدول الجرد'!$B$2:$B$29,0)),""))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الجرد'!$A$2:$A$29,MATCH(A133,'جدول الجرد'!$B$2:$B$29,0)),""))</f>
        <v/>
      </c>
      <c r="C133" s="5" t="str">
        <f>IF(A133="","",IFERROR(INDEX('جدول الجرد'!$E$2:$E$29,MATCH(A133,'جدول الجرد'!$B$2:$B$29,0)),""))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الجرد'!$A$2:$A$29,MATCH(A134,'جدول الجرد'!$B$2:$B$29,0)),""))</f>
        <v/>
      </c>
      <c r="C134" s="5" t="str">
        <f>IF(A134="","",IFERROR(INDEX('جدول الجرد'!$E$2:$E$29,MATCH(A134,'جدول الجرد'!$B$2:$B$29,0)),""))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الجرد'!$A$2:$A$29,MATCH(A135,'جدول الجرد'!$B$2:$B$29,0)),""))</f>
        <v/>
      </c>
      <c r="C135" s="5" t="str">
        <f>IF(A135="","",IFERROR(INDEX('جدول الجرد'!$E$2:$E$29,MATCH(A135,'جدول الجرد'!$B$2:$B$29,0)),""))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الجرد'!$A$2:$A$29,MATCH(A136,'جدول الجرد'!$B$2:$B$29,0)),""))</f>
        <v/>
      </c>
      <c r="C136" s="5" t="str">
        <f>IF(A136="","",IFERROR(INDEX('جدول الجرد'!$E$2:$E$29,MATCH(A136,'جدول الجرد'!$B$2:$B$29,0)),""))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الجرد'!$A$2:$A$29,MATCH(A137,'جدول الجرد'!$B$2:$B$29,0)),""))</f>
        <v/>
      </c>
      <c r="C137" s="5" t="str">
        <f>IF(A137="","",IFERROR(INDEX('جدول الجرد'!$E$2:$E$29,MATCH(A137,'جدول الجرد'!$B$2:$B$29,0)),""))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الجرد'!$A$2:$A$29,MATCH(A138,'جدول الجرد'!$B$2:$B$29,0)),""))</f>
        <v/>
      </c>
      <c r="C138" s="5" t="str">
        <f>IF(A138="","",IFERROR(INDEX('جدول الجرد'!$E$2:$E$29,MATCH(A138,'جدول الجرد'!$B$2:$B$29,0)),""))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الجرد'!$A$2:$A$29,MATCH(A139,'جدول الجرد'!$B$2:$B$29,0)),""))</f>
        <v/>
      </c>
      <c r="C139" s="5" t="str">
        <f>IF(A139="","",IFERROR(INDEX('جدول الجرد'!$E$2:$E$29,MATCH(A139,'جدول الجرد'!$B$2:$B$29,0)),""))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الجرد'!$A$2:$A$29,MATCH(A140,'جدول الجرد'!$B$2:$B$29,0)),""))</f>
        <v/>
      </c>
      <c r="C140" s="5" t="str">
        <f>IF(A140="","",IFERROR(INDEX('جدول الجرد'!$E$2:$E$29,MATCH(A140,'جدول الجرد'!$B$2:$B$29,0)),""))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2026-10-08T16:35:50Z</dcterms:created>
  <dcterms:modified xsi:type="dcterms:W3CDTF">2026-10-08T16:35:50Z</dcterms:modified>
</cp:coreProperties>
</file>