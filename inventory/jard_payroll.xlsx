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25</v>
      </c>
      <c r="C4" s="5">
        <f>IF(A4="","",COUNTIFS(السجل!$E$2:$E$1000,A4,السجل!$H$2:$H$1000,"مراجعة فقط"))</f>
        <v>23</v>
      </c>
      <c r="D4" s="5">
        <f>IF(A4="","",COUNTIFS(السجل!$E$2:$E$1000,A4,السجل!$H$2:$H$1000,"جرد فقط"))</f>
        <v>0</v>
      </c>
      <c r="E4" s="5">
        <f>IF(A4="","",SUM(B4:D4))</f>
        <v>48</v>
      </c>
      <c r="F4" s="6">
        <f>IF(A4="","",SUMIFS(السجل!$I$2:$I$1000,السجل!$E$2:$E$1000,A4))</f>
        <v>8450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8</v>
      </c>
      <c r="C5" s="5">
        <f>IF(A5="","",COUNTIFS(السجل!$E$2:$E$1000,A5,السجل!$H$2:$H$1000,"مراجعة فقط"))</f>
        <v>38</v>
      </c>
      <c r="D5" s="5">
        <f>IF(A5="","",COUNTIFS(السجل!$E$2:$E$1000,A5,السجل!$H$2:$H$1000,"جرد فقط"))</f>
        <v>0</v>
      </c>
      <c r="E5" s="5">
        <f>IF(A5="","",SUM(B5:D5))</f>
        <v>46</v>
      </c>
      <c r="F5" s="6">
        <f>IF(A5="","",SUMIFS(السجل!$I$2:$I$1000,السجل!$E$2:$E$1000,A5))</f>
        <v>7300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11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1650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24</v>
      </c>
      <c r="D7" s="5">
        <f>IF(A7="","",COUNTIFS(السجل!$E$2:$E$1000,A7,السجل!$H$2:$H$1000,"جرد فقط"))</f>
        <v>0</v>
      </c>
      <c r="E7" s="5">
        <f>IF(A7="","",SUM(B7:D7))</f>
        <v>24</v>
      </c>
      <c r="F7" s="6">
        <f>IF(A7="","",SUMIFS(السجل!$I$2:$I$1000,السجل!$E$2:$E$1000,A7))</f>
        <v>3600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15</v>
      </c>
      <c r="C8" s="5">
        <f>IF(A8="","",COUNTIFS(السجل!$E$2:$E$1000,A8,السجل!$H$2:$H$1000,"مراجعة فقط"))</f>
        <v>13</v>
      </c>
      <c r="D8" s="5">
        <f>IF(A8="","",COUNTIFS(السجل!$E$2:$E$1000,A8,السجل!$H$2:$H$1000,"جرد فقط"))</f>
        <v>0</v>
      </c>
      <c r="E8" s="5">
        <f>IF(A8="","",SUM(B8:D8))</f>
        <v>28</v>
      </c>
      <c r="F8" s="6">
        <f>IF(A8="","",SUMIFS(السجل!$I$2:$I$1000,السجل!$E$2:$E$1000,A8))</f>
        <v>4950</v>
      </c>
    </row>
    <row r="9">
      <c r="A9" s="4" t="inlineStr">
        <is>
          <t>د. محمد جمال</t>
        </is>
      </c>
      <c r="B9" s="5">
        <f>IF(A9="","",COUNTIFS(السجل!$E$2:$E$1000,A9,السجل!$H$2:$H$1000,"جرد + مراجعة"))</f>
        <v>0</v>
      </c>
      <c r="C9" s="5">
        <f>IF(A9="","",COUNTIFS(السجل!$E$2:$E$1000,A9,السجل!$H$2:$H$1000,"مراجعة فقط"))</f>
        <v>18</v>
      </c>
      <c r="D9" s="5">
        <f>IF(A9="","",COUNTIFS(السجل!$E$2:$E$1000,A9,السجل!$H$2:$H$1000,"جرد فقط"))</f>
        <v>0</v>
      </c>
      <c r="E9" s="5">
        <f>IF(A9="","",SUM(B9:D9))</f>
        <v>18</v>
      </c>
      <c r="F9" s="6">
        <f>IF(A9="","",SUMIFS(السجل!$I$2:$I$1000,السجل!$E$2:$E$1000,A9))</f>
        <v>2700</v>
      </c>
    </row>
    <row r="10">
      <c r="A10" s="4" t="inlineStr">
        <is>
          <t>د. محمد فؤاد</t>
        </is>
      </c>
      <c r="B10" s="5">
        <f>IF(A10="","",COUNTIFS(السجل!$E$2:$E$1000,A10,السجل!$H$2:$H$1000,"جرد + مراجعة"))</f>
        <v>0</v>
      </c>
      <c r="C10" s="5">
        <f>IF(A10="","",COUNTIFS(السجل!$E$2:$E$1000,A10,السجل!$H$2:$H$1000,"مراجعة فقط"))</f>
        <v>1</v>
      </c>
      <c r="D10" s="5">
        <f>IF(A10="","",COUNTIFS(السجل!$E$2:$E$1000,A10,السجل!$H$2:$H$1000,"جرد فقط"))</f>
        <v>0</v>
      </c>
      <c r="E10" s="5">
        <f>IF(A10="","",SUM(B10:D10))</f>
        <v>1</v>
      </c>
      <c r="F10" s="6">
        <f>IF(A10="","",SUMIFS(السجل!$I$2:$I$1000,السجل!$E$2:$E$1000,A10))</f>
        <v>150</v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48</v>
      </c>
      <c r="C19" s="7">
        <f>SUM(C4:C18)</f>
        <v>128</v>
      </c>
      <c r="D19" s="7">
        <f>SUM(D4:D18)</f>
        <v>0</v>
      </c>
      <c r="E19" s="7">
        <f>SUM(E4:E18)</f>
        <v>176</v>
      </c>
      <c r="F19" s="8">
        <f>SUM(F4:F18)</f>
        <v>28800</v>
      </c>
    </row>
    <row r="21">
      <c r="A21" s="5" t="inlineStr">
        <is>
          <t>للتحقق: إجمالي السجل</t>
        </is>
      </c>
      <c r="F21" s="9">
        <f>SUM(السجل!$I$2:$I$1000)</f>
        <v>28800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5" customWidth="1" min="30" max="30"/>
  </cols>
  <sheetData>
    <row r="1" ht="32" customHeight="1">
      <c r="A1" s="3" t="inlineStr">
        <is>
          <t>الاسم</t>
        </is>
      </c>
      <c r="B1" s="3" t="inlineStr">
        <is>
          <t>الأحد
2026-09-13</t>
        </is>
      </c>
      <c r="C1" s="3" t="inlineStr">
        <is>
          <t>الاثنين
2026-09-14</t>
        </is>
      </c>
      <c r="D1" s="3" t="inlineStr">
        <is>
          <t>السبت
2026-09-26</t>
        </is>
      </c>
      <c r="E1" s="3" t="inlineStr">
        <is>
          <t>الأحد
2026-09-27</t>
        </is>
      </c>
      <c r="F1" s="3" t="inlineStr">
        <is>
          <t>الاثنين
2026-09-28</t>
        </is>
      </c>
      <c r="G1" s="3" t="inlineStr">
        <is>
          <t>الثلاثاء
2026-09-29</t>
        </is>
      </c>
      <c r="H1" s="3" t="inlineStr">
        <is>
          <t>الأربعاء
2026-09-30</t>
        </is>
      </c>
      <c r="I1" s="3" t="inlineStr">
        <is>
          <t>الخميس
2026-10-01</t>
        </is>
      </c>
      <c r="J1" s="3" t="inlineStr">
        <is>
          <t>الجمعة
2026-10-02</t>
        </is>
      </c>
      <c r="K1" s="3" t="inlineStr">
        <is>
          <t>السبت
2026-10-03</t>
        </is>
      </c>
      <c r="L1" s="3" t="inlineStr">
        <is>
          <t>الأحد
2026-10-04</t>
        </is>
      </c>
      <c r="M1" s="3" t="inlineStr">
        <is>
          <t>الاثنين
2026-10-05</t>
        </is>
      </c>
      <c r="N1" s="3" t="inlineStr">
        <is>
          <t>الثلاثاء
2026-10-06</t>
        </is>
      </c>
      <c r="O1" s="3" t="inlineStr">
        <is>
          <t>الأربعاء
2026-10-07</t>
        </is>
      </c>
      <c r="P1" s="3" t="inlineStr">
        <is>
          <t>الخميس
2026-10-08</t>
        </is>
      </c>
      <c r="Q1" s="3" t="inlineStr">
        <is>
          <t>الجمعة
2026-10-09</t>
        </is>
      </c>
      <c r="R1" s="3" t="inlineStr">
        <is>
          <t>السبت
2026-10-10</t>
        </is>
      </c>
      <c r="S1" s="3" t="inlineStr">
        <is>
          <t>الأحد
2026-10-11</t>
        </is>
      </c>
      <c r="T1" s="3" t="inlineStr">
        <is>
          <t>الثلاثاء
2026-10-13</t>
        </is>
      </c>
      <c r="U1" s="3" t="inlineStr">
        <is>
          <t>الأربعاء
2026-10-14</t>
        </is>
      </c>
      <c r="V1" s="3" t="inlineStr">
        <is>
          <t>الخميس
2026-10-15</t>
        </is>
      </c>
      <c r="W1" s="3" t="inlineStr">
        <is>
          <t>الجمعة
2026-10-16</t>
        </is>
      </c>
      <c r="X1" s="3" t="inlineStr">
        <is>
          <t>السبت
2026-10-17</t>
        </is>
      </c>
      <c r="Y1" s="3" t="inlineStr">
        <is>
          <t>الأحد
2026-10-18</t>
        </is>
      </c>
      <c r="Z1" s="3" t="inlineStr">
        <is>
          <t>الاثنين
2026-10-19</t>
        </is>
      </c>
      <c r="AA1" s="3" t="inlineStr">
        <is>
          <t>الثلاثاء
2026-10-20</t>
        </is>
      </c>
      <c r="AB1" s="3" t="inlineStr">
        <is>
          <t>الأربعاء
2026-10-21</t>
        </is>
      </c>
      <c r="AC1" s="3" t="inlineStr">
        <is>
          <t>الخميس
2026-10-22</t>
        </is>
      </c>
      <c r="AD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200</v>
      </c>
      <c r="C2" s="9">
        <f>SUMIFS(السجل!$I$2:$I$1000,السجل!$E$2:$E$1000,$A2,السجل!$A$2:$A$1000,C$1000)</f>
        <v>200</v>
      </c>
      <c r="D2" s="9">
        <f>SUMIFS(السجل!$I$2:$I$1000,السجل!$E$2:$E$1000,$A2,السجل!$A$2:$A$1000,D$1000)</f>
        <v>400</v>
      </c>
      <c r="E2" s="9">
        <f>SUMIFS(السجل!$I$2:$I$1000,السجل!$E$2:$E$1000,$A2,السجل!$A$2:$A$1000,E$1000)</f>
        <v>300</v>
      </c>
      <c r="F2" s="9">
        <f>SUMIFS(السجل!$I$2:$I$1000,السجل!$E$2:$E$1000,$A2,السجل!$A$2:$A$1000,F$1000)</f>
        <v>400</v>
      </c>
      <c r="G2" s="9">
        <f>SUMIFS(السجل!$I$2:$I$1000,السجل!$E$2:$E$1000,$A2,السجل!$A$2:$A$1000,G$1000)</f>
        <v>300</v>
      </c>
      <c r="H2" s="9">
        <f>SUMIFS(السجل!$I$2:$I$1000,السجل!$E$2:$E$1000,$A2,السجل!$A$2:$A$1000,H$1000)</f>
        <v>400</v>
      </c>
      <c r="I2" s="9">
        <f>SUMIFS(السجل!$I$2:$I$1000,السجل!$E$2:$E$1000,$A2,السجل!$A$2:$A$1000,I$1000)</f>
        <v>150</v>
      </c>
      <c r="J2" s="9">
        <f>SUMIFS(السجل!$I$2:$I$1000,السجل!$E$2:$E$1000,$A2,السجل!$A$2:$A$1000,J$1000)</f>
        <v>200</v>
      </c>
      <c r="K2" s="9">
        <f>SUMIFS(السجل!$I$2:$I$1000,السجل!$E$2:$E$1000,$A2,السجل!$A$2:$A$1000,K$1000)</f>
        <v>150</v>
      </c>
      <c r="L2" s="9">
        <f>SUMIFS(السجل!$I$2:$I$1000,السجل!$E$2:$E$1000,$A2,السجل!$A$2:$A$1000,L$1000)</f>
        <v>400</v>
      </c>
      <c r="M2" s="9">
        <f>SUMIFS(السجل!$I$2:$I$1000,السجل!$E$2:$E$1000,$A2,السجل!$A$2:$A$1000,M$1000)</f>
        <v>300</v>
      </c>
      <c r="N2" s="9">
        <f>SUMIFS(السجل!$I$2:$I$1000,السجل!$E$2:$E$1000,$A2,السجل!$A$2:$A$1000,N$1000)</f>
        <v>400</v>
      </c>
      <c r="O2" s="9">
        <f>SUMIFS(السجل!$I$2:$I$1000,السجل!$E$2:$E$1000,$A2,السجل!$A$2:$A$1000,O$1000)</f>
        <v>300</v>
      </c>
      <c r="P2" s="9">
        <f>SUMIFS(السجل!$I$2:$I$1000,السجل!$E$2:$E$1000,$A2,السجل!$A$2:$A$1000,P$1000)</f>
        <v>400</v>
      </c>
      <c r="Q2" s="9">
        <f>SUMIFS(السجل!$I$2:$I$1000,السجل!$E$2:$E$1000,$A2,السجل!$A$2:$A$1000,Q$1000)</f>
        <v>300</v>
      </c>
      <c r="R2" s="9">
        <f>SUMIFS(السجل!$I$2:$I$1000,السجل!$E$2:$E$1000,$A2,السجل!$A$2:$A$1000,R$1000)</f>
        <v>400</v>
      </c>
      <c r="S2" s="9">
        <f>SUMIFS(السجل!$I$2:$I$1000,السجل!$E$2:$E$1000,$A2,السجل!$A$2:$A$1000,S$1000)</f>
        <v>300</v>
      </c>
      <c r="T2" s="9">
        <f>SUMIFS(السجل!$I$2:$I$1000,السجل!$E$2:$E$1000,$A2,السجل!$A$2:$A$1000,T$1000)</f>
        <v>300</v>
      </c>
      <c r="U2" s="9">
        <f>SUMIFS(السجل!$I$2:$I$1000,السجل!$E$2:$E$1000,$A2,السجل!$A$2:$A$1000,U$1000)</f>
        <v>400</v>
      </c>
      <c r="V2" s="9">
        <f>SUMIFS(السجل!$I$2:$I$1000,السجل!$E$2:$E$1000,$A2,السجل!$A$2:$A$1000,V$1000)</f>
        <v>300</v>
      </c>
      <c r="W2" s="9">
        <f>SUMIFS(السجل!$I$2:$I$1000,السجل!$E$2:$E$1000,$A2,السجل!$A$2:$A$1000,W$1000)</f>
        <v>200</v>
      </c>
      <c r="X2" s="9">
        <f>SUMIFS(السجل!$I$2:$I$1000,السجل!$E$2:$E$1000,$A2,السجل!$A$2:$A$1000,X$1000)</f>
        <v>150</v>
      </c>
      <c r="Y2" s="9">
        <f>SUMIFS(السجل!$I$2:$I$1000,السجل!$E$2:$E$1000,$A2,السجل!$A$2:$A$1000,Y$1000)</f>
        <v>200</v>
      </c>
      <c r="Z2" s="9">
        <f>SUMIFS(السجل!$I$2:$I$1000,السجل!$E$2:$E$1000,$A2,السجل!$A$2:$A$1000,Z$1000)</f>
        <v>300</v>
      </c>
      <c r="AA2" s="9">
        <f>SUMIFS(السجل!$I$2:$I$1000,السجل!$E$2:$E$1000,$A2,السجل!$A$2:$A$1000,AA$1000)</f>
        <v>400</v>
      </c>
      <c r="AB2" s="9">
        <f>SUMIFS(السجل!$I$2:$I$1000,السجل!$E$2:$E$1000,$A2,السجل!$A$2:$A$1000,AB$1000)</f>
        <v>300</v>
      </c>
      <c r="AC2" s="9">
        <f>SUMIFS(السجل!$I$2:$I$1000,السجل!$E$2:$E$1000,$A2,السجل!$A$2:$A$1000,AC$1000)</f>
        <v>400</v>
      </c>
      <c r="AD2" s="6">
        <f>SUM(B2:AC2)</f>
        <v>8450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150</v>
      </c>
      <c r="C3" s="9">
        <f>SUMIFS(السجل!$I$2:$I$1000,السجل!$E$2:$E$1000,$A3,السجل!$A$2:$A$1000,C$1000)</f>
        <v>150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300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9">
        <f>SUMIFS(السجل!$I$2:$I$1000,السجل!$E$2:$E$1000,$A3,السجل!$A$2:$A$1000,K$1000)</f>
        <v>150</v>
      </c>
      <c r="L3" s="9">
        <f>SUMIFS(السجل!$I$2:$I$1000,السجل!$E$2:$E$1000,$A3,السجل!$A$2:$A$1000,L$1000)</f>
        <v>300</v>
      </c>
      <c r="M3" s="9">
        <f>SUMIFS(السجل!$I$2:$I$1000,السجل!$E$2:$E$1000,$A3,السجل!$A$2:$A$1000,M$1000)</f>
        <v>400</v>
      </c>
      <c r="N3" s="9">
        <f>SUMIFS(السجل!$I$2:$I$1000,السجل!$E$2:$E$1000,$A3,السجل!$A$2:$A$1000,N$1000)</f>
        <v>300</v>
      </c>
      <c r="O3" s="9">
        <f>SUMIFS(السجل!$I$2:$I$1000,السجل!$E$2:$E$1000,$A3,السجل!$A$2:$A$1000,O$1000)</f>
        <v>400</v>
      </c>
      <c r="P3" s="9">
        <f>SUMIFS(السجل!$I$2:$I$1000,السجل!$E$2:$E$1000,$A3,السجل!$A$2:$A$1000,P$1000)</f>
        <v>300</v>
      </c>
      <c r="Q3" s="9">
        <f>SUMIFS(السجل!$I$2:$I$1000,السجل!$E$2:$E$1000,$A3,السجل!$A$2:$A$1000,Q$1000)</f>
        <v>400</v>
      </c>
      <c r="R3" s="9">
        <f>SUMIFS(السجل!$I$2:$I$1000,السجل!$E$2:$E$1000,$A3,السجل!$A$2:$A$1000,R$1000)</f>
        <v>300</v>
      </c>
      <c r="S3" s="9">
        <f>SUMIFS(السجل!$I$2:$I$1000,السجل!$E$2:$E$1000,$A3,السجل!$A$2:$A$1000,S$1000)</f>
        <v>400</v>
      </c>
      <c r="T3" s="9">
        <f>SUMIFS(السجل!$I$2:$I$1000,السجل!$E$2:$E$1000,$A3,السجل!$A$2:$A$1000,T$1000)</f>
        <v>300</v>
      </c>
      <c r="U3" s="9">
        <f>SUMIFS(السجل!$I$2:$I$1000,السجل!$E$2:$E$1000,$A3,السجل!$A$2:$A$1000,U$1000)</f>
        <v>300</v>
      </c>
      <c r="V3" s="9">
        <f>SUMIFS(السجل!$I$2:$I$1000,السجل!$E$2:$E$1000,$A3,السجل!$A$2:$A$1000,V$1000)</f>
        <v>300</v>
      </c>
      <c r="W3" s="9">
        <f>SUMIFS(السجل!$I$2:$I$1000,السجل!$E$2:$E$1000,$A3,السجل!$A$2:$A$1000,W$1000)</f>
        <v>0</v>
      </c>
      <c r="X3" s="9">
        <f>SUMIFS(السجل!$I$2:$I$1000,السجل!$E$2:$E$1000,$A3,السجل!$A$2:$A$1000,X$1000)</f>
        <v>150</v>
      </c>
      <c r="Y3" s="9">
        <f>SUMIFS(السجل!$I$2:$I$1000,السجل!$E$2:$E$1000,$A3,السجل!$A$2:$A$1000,Y$1000)</f>
        <v>150</v>
      </c>
      <c r="Z3" s="9">
        <f>SUMIFS(السجل!$I$2:$I$1000,السجل!$E$2:$E$1000,$A3,السجل!$A$2:$A$1000,Z$1000)</f>
        <v>300</v>
      </c>
      <c r="AA3" s="9">
        <f>SUMIFS(السجل!$I$2:$I$1000,السجل!$E$2:$E$1000,$A3,السجل!$A$2:$A$1000,AA$1000)</f>
        <v>300</v>
      </c>
      <c r="AB3" s="9">
        <f>SUMIFS(السجل!$I$2:$I$1000,السجل!$E$2:$E$1000,$A3,السجل!$A$2:$A$1000,AB$1000)</f>
        <v>300</v>
      </c>
      <c r="AC3" s="9">
        <f>SUMIFS(السجل!$I$2:$I$1000,السجل!$E$2:$E$1000,$A3,السجل!$A$2:$A$1000,AC$1000)</f>
        <v>150</v>
      </c>
      <c r="AD3" s="6">
        <f>SUM(B3:AC3)</f>
        <v>7300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150</v>
      </c>
      <c r="C4" s="9">
        <f>SUMIFS(السجل!$I$2:$I$1000,السجل!$E$2:$E$1000,$A4,السجل!$A$2:$A$1000,C$1000)</f>
        <v>150</v>
      </c>
      <c r="D4" s="9">
        <f>SUMIFS(السجل!$I$2:$I$1000,السجل!$E$2:$E$1000,$A4,السجل!$A$2:$A$1000,D$1000)</f>
        <v>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150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300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9">
        <f>SUMIFS(السجل!$I$2:$I$1000,السجل!$E$2:$E$1000,$A4,السجل!$A$2:$A$1000,K$1000)</f>
        <v>150</v>
      </c>
      <c r="L4" s="9">
        <f>SUMIFS(السجل!$I$2:$I$1000,السجل!$E$2:$E$1000,$A4,السجل!$A$2:$A$1000,L$1000)</f>
        <v>0</v>
      </c>
      <c r="M4" s="9">
        <f>SUMIFS(السجل!$I$2:$I$1000,السجل!$E$2:$E$1000,$A4,السجل!$A$2:$A$1000,M$1000)</f>
        <v>0</v>
      </c>
      <c r="N4" s="9">
        <f>SUMIFS(السجل!$I$2:$I$1000,السجل!$E$2:$E$1000,$A4,السجل!$A$2:$A$1000,N$1000)</f>
        <v>0</v>
      </c>
      <c r="O4" s="9">
        <f>SUMIFS(السجل!$I$2:$I$1000,السجل!$E$2:$E$1000,$A4,السجل!$A$2:$A$1000,O$1000)</f>
        <v>0</v>
      </c>
      <c r="P4" s="9">
        <f>SUMIFS(السجل!$I$2:$I$1000,السجل!$E$2:$E$1000,$A4,السجل!$A$2:$A$1000,P$1000)</f>
        <v>0</v>
      </c>
      <c r="Q4" s="9">
        <f>SUMIFS(السجل!$I$2:$I$1000,السجل!$E$2:$E$1000,$A4,السجل!$A$2:$A$1000,Q$1000)</f>
        <v>0</v>
      </c>
      <c r="R4" s="9">
        <f>SUMIFS(السجل!$I$2:$I$1000,السجل!$E$2:$E$1000,$A4,السجل!$A$2:$A$1000,R$1000)</f>
        <v>0</v>
      </c>
      <c r="S4" s="9">
        <f>SUMIFS(السجل!$I$2:$I$1000,السجل!$E$2:$E$1000,$A4,السجل!$A$2:$A$1000,S$1000)</f>
        <v>0</v>
      </c>
      <c r="T4" s="9">
        <f>SUMIFS(السجل!$I$2:$I$1000,السجل!$E$2:$E$1000,$A4,السجل!$A$2:$A$1000,T$1000)</f>
        <v>0</v>
      </c>
      <c r="U4" s="9">
        <f>SUMIFS(السجل!$I$2:$I$1000,السجل!$E$2:$E$1000,$A4,السجل!$A$2:$A$1000,U$1000)</f>
        <v>0</v>
      </c>
      <c r="V4" s="9">
        <f>SUMIFS(السجل!$I$2:$I$1000,السجل!$E$2:$E$1000,$A4,السجل!$A$2:$A$1000,V$1000)</f>
        <v>0</v>
      </c>
      <c r="W4" s="9">
        <f>SUMIFS(السجل!$I$2:$I$1000,السجل!$E$2:$E$1000,$A4,السجل!$A$2:$A$1000,W$1000)</f>
        <v>0</v>
      </c>
      <c r="X4" s="9">
        <f>SUMIFS(السجل!$I$2:$I$1000,السجل!$E$2:$E$1000,$A4,السجل!$A$2:$A$1000,X$1000)</f>
        <v>0</v>
      </c>
      <c r="Y4" s="9">
        <f>SUMIFS(السجل!$I$2:$I$1000,السجل!$E$2:$E$1000,$A4,السجل!$A$2:$A$1000,Y$1000)</f>
        <v>0</v>
      </c>
      <c r="Z4" s="9">
        <f>SUMIFS(السجل!$I$2:$I$1000,السجل!$E$2:$E$1000,$A4,السجل!$A$2:$A$1000,Z$1000)</f>
        <v>0</v>
      </c>
      <c r="AA4" s="9">
        <f>SUMIFS(السجل!$I$2:$I$1000,السجل!$E$2:$E$1000,$A4,السجل!$A$2:$A$1000,AA$1000)</f>
        <v>0</v>
      </c>
      <c r="AB4" s="9">
        <f>SUMIFS(السجل!$I$2:$I$1000,السجل!$E$2:$E$1000,$A4,السجل!$A$2:$A$1000,AB$1000)</f>
        <v>0</v>
      </c>
      <c r="AC4" s="9">
        <f>SUMIFS(السجل!$I$2:$I$1000,السجل!$E$2:$E$1000,$A4,السجل!$A$2:$A$1000,AC$1000)</f>
        <v>0</v>
      </c>
      <c r="AD4" s="6">
        <f>SUM(B4:AC4)</f>
        <v>1650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0</v>
      </c>
      <c r="C5" s="9">
        <f>SUMIFS(السجل!$I$2:$I$1000,السجل!$E$2:$E$1000,$A5,السجل!$A$2:$A$1000,C$1000)</f>
        <v>150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0</v>
      </c>
      <c r="G5" s="9">
        <f>SUMIFS(السجل!$I$2:$I$1000,السجل!$E$2:$E$1000,$A5,السجل!$A$2:$A$1000,G$1000)</f>
        <v>300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9">
        <f>SUMIFS(السجل!$I$2:$I$1000,السجل!$E$2:$E$1000,$A5,السجل!$A$2:$A$1000,K$1000)</f>
        <v>150</v>
      </c>
      <c r="L5" s="9">
        <f>SUMIFS(السجل!$I$2:$I$1000,السجل!$E$2:$E$1000,$A5,السجل!$A$2:$A$1000,L$1000)</f>
        <v>300</v>
      </c>
      <c r="M5" s="9">
        <f>SUMIFS(السجل!$I$2:$I$1000,السجل!$E$2:$E$1000,$A5,السجل!$A$2:$A$1000,M$1000)</f>
        <v>300</v>
      </c>
      <c r="N5" s="9">
        <f>SUMIFS(السجل!$I$2:$I$1000,السجل!$E$2:$E$1000,$A5,السجل!$A$2:$A$1000,N$1000)</f>
        <v>300</v>
      </c>
      <c r="O5" s="9">
        <f>SUMIFS(السجل!$I$2:$I$1000,السجل!$E$2:$E$1000,$A5,السجل!$A$2:$A$1000,O$1000)</f>
        <v>300</v>
      </c>
      <c r="P5" s="9">
        <f>SUMIFS(السجل!$I$2:$I$1000,السجل!$E$2:$E$1000,$A5,السجل!$A$2:$A$1000,P$1000)</f>
        <v>300</v>
      </c>
      <c r="Q5" s="9">
        <f>SUMIFS(السجل!$I$2:$I$1000,السجل!$E$2:$E$1000,$A5,السجل!$A$2:$A$1000,Q$1000)</f>
        <v>300</v>
      </c>
      <c r="R5" s="9">
        <f>SUMIFS(السجل!$I$2:$I$1000,السجل!$E$2:$E$1000,$A5,السجل!$A$2:$A$1000,R$1000)</f>
        <v>300</v>
      </c>
      <c r="S5" s="9">
        <f>SUMIFS(السجل!$I$2:$I$1000,السجل!$E$2:$E$1000,$A5,السجل!$A$2:$A$1000,S$1000)</f>
        <v>300</v>
      </c>
      <c r="T5" s="9">
        <f>SUMIFS(السجل!$I$2:$I$1000,السجل!$E$2:$E$1000,$A5,السجل!$A$2:$A$1000,T$1000)</f>
        <v>0</v>
      </c>
      <c r="U5" s="9">
        <f>SUMIFS(السجل!$I$2:$I$1000,السجل!$E$2:$E$1000,$A5,السجل!$A$2:$A$1000,U$1000)</f>
        <v>0</v>
      </c>
      <c r="V5" s="9">
        <f>SUMIFS(السجل!$I$2:$I$1000,السجل!$E$2:$E$1000,$A5,السجل!$A$2:$A$1000,V$1000)</f>
        <v>0</v>
      </c>
      <c r="W5" s="9">
        <f>SUMIFS(السجل!$I$2:$I$1000,السجل!$E$2:$E$1000,$A5,السجل!$A$2:$A$1000,W$1000)</f>
        <v>150</v>
      </c>
      <c r="X5" s="9">
        <f>SUMIFS(السجل!$I$2:$I$1000,السجل!$E$2:$E$1000,$A5,السجل!$A$2:$A$1000,X$1000)</f>
        <v>0</v>
      </c>
      <c r="Y5" s="9">
        <f>SUMIFS(السجل!$I$2:$I$1000,السجل!$E$2:$E$1000,$A5,السجل!$A$2:$A$1000,Y$1000)</f>
        <v>0</v>
      </c>
      <c r="Z5" s="9">
        <f>SUMIFS(السجل!$I$2:$I$1000,السجل!$E$2:$E$1000,$A5,السجل!$A$2:$A$1000,Z$1000)</f>
        <v>0</v>
      </c>
      <c r="AA5" s="9">
        <f>SUMIFS(السجل!$I$2:$I$1000,السجل!$E$2:$E$1000,$A5,السجل!$A$2:$A$1000,AA$1000)</f>
        <v>0</v>
      </c>
      <c r="AB5" s="9">
        <f>SUMIFS(السجل!$I$2:$I$1000,السجل!$E$2:$E$1000,$A5,السجل!$A$2:$A$1000,AB$1000)</f>
        <v>0</v>
      </c>
      <c r="AC5" s="9">
        <f>SUMIFS(السجل!$I$2:$I$1000,السجل!$E$2:$E$1000,$A5,السجل!$A$2:$A$1000,AC$1000)</f>
        <v>0</v>
      </c>
      <c r="AD5" s="6">
        <f>SUM(B5:AC5)</f>
        <v>3600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0</v>
      </c>
      <c r="D6" s="9">
        <f>SUMIFS(السجل!$I$2:$I$1000,السجل!$E$2:$E$1000,$A6,السجل!$A$2:$A$1000,D$1000)</f>
        <v>300</v>
      </c>
      <c r="E6" s="9">
        <f>SUMIFS(السجل!$I$2:$I$1000,السجل!$E$2:$E$1000,$A6,السجل!$A$2:$A$1000,E$1000)</f>
        <v>400</v>
      </c>
      <c r="F6" s="9">
        <f>SUMIFS(السجل!$I$2:$I$1000,السجل!$E$2:$E$1000,$A6,السجل!$A$2:$A$1000,F$1000)</f>
        <v>300</v>
      </c>
      <c r="G6" s="9">
        <f>SUMIFS(السجل!$I$2:$I$1000,السجل!$E$2:$E$1000,$A6,السجل!$A$2:$A$1000,G$1000)</f>
        <v>400</v>
      </c>
      <c r="H6" s="9">
        <f>SUMIFS(السجل!$I$2:$I$1000,السجل!$E$2:$E$1000,$A6,السجل!$A$2:$A$1000,H$1000)</f>
        <v>300</v>
      </c>
      <c r="I6" s="9">
        <f>SUMIFS(السجل!$I$2:$I$1000,السجل!$E$2:$E$1000,$A6,السجل!$A$2:$A$1000,I$1000)</f>
        <v>200</v>
      </c>
      <c r="J6" s="9">
        <f>SUMIFS(السجل!$I$2:$I$1000,السجل!$E$2:$E$1000,$A6,السجل!$A$2:$A$1000,J$1000)</f>
        <v>150</v>
      </c>
      <c r="K6" s="9">
        <f>SUMIFS(السجل!$I$2:$I$1000,السجل!$E$2:$E$1000,$A6,السجل!$A$2:$A$1000,K$1000)</f>
        <v>200</v>
      </c>
      <c r="L6" s="9">
        <f>SUMIFS(السجل!$I$2:$I$1000,السجل!$E$2:$E$1000,$A6,السجل!$A$2:$A$1000,L$1000)</f>
        <v>0</v>
      </c>
      <c r="M6" s="9">
        <f>SUMIFS(السجل!$I$2:$I$1000,السجل!$E$2:$E$1000,$A6,السجل!$A$2:$A$1000,M$1000)</f>
        <v>0</v>
      </c>
      <c r="N6" s="9">
        <f>SUMIFS(السجل!$I$2:$I$1000,السجل!$E$2:$E$1000,$A6,السجل!$A$2:$A$1000,N$1000)</f>
        <v>0</v>
      </c>
      <c r="O6" s="9">
        <f>SUMIFS(السجل!$I$2:$I$1000,السجل!$E$2:$E$1000,$A6,السجل!$A$2:$A$1000,O$1000)</f>
        <v>0</v>
      </c>
      <c r="P6" s="9">
        <f>SUMIFS(السجل!$I$2:$I$1000,السجل!$E$2:$E$1000,$A6,السجل!$A$2:$A$1000,P$1000)</f>
        <v>0</v>
      </c>
      <c r="Q6" s="9">
        <f>SUMIFS(السجل!$I$2:$I$1000,السجل!$E$2:$E$1000,$A6,السجل!$A$2:$A$1000,Q$1000)</f>
        <v>0</v>
      </c>
      <c r="R6" s="9">
        <f>SUMIFS(السجل!$I$2:$I$1000,السجل!$E$2:$E$1000,$A6,السجل!$A$2:$A$1000,R$1000)</f>
        <v>0</v>
      </c>
      <c r="S6" s="9">
        <f>SUMIFS(السجل!$I$2:$I$1000,السجل!$E$2:$E$1000,$A6,السجل!$A$2:$A$1000,S$1000)</f>
        <v>0</v>
      </c>
      <c r="T6" s="9">
        <f>SUMIFS(السجل!$I$2:$I$1000,السجل!$E$2:$E$1000,$A6,السجل!$A$2:$A$1000,T$1000)</f>
        <v>400</v>
      </c>
      <c r="U6" s="9">
        <f>SUMIFS(السجل!$I$2:$I$1000,السجل!$E$2:$E$1000,$A6,السجل!$A$2:$A$1000,U$1000)</f>
        <v>300</v>
      </c>
      <c r="V6" s="9">
        <f>SUMIFS(السجل!$I$2:$I$1000,السجل!$E$2:$E$1000,$A6,السجل!$A$2:$A$1000,V$1000)</f>
        <v>400</v>
      </c>
      <c r="W6" s="9">
        <f>SUMIFS(السجل!$I$2:$I$1000,السجل!$E$2:$E$1000,$A6,السجل!$A$2:$A$1000,W$1000)</f>
        <v>150</v>
      </c>
      <c r="X6" s="9">
        <f>SUMIFS(السجل!$I$2:$I$1000,السجل!$E$2:$E$1000,$A6,السجل!$A$2:$A$1000,X$1000)</f>
        <v>200</v>
      </c>
      <c r="Y6" s="9">
        <f>SUMIFS(السجل!$I$2:$I$1000,السجل!$E$2:$E$1000,$A6,السجل!$A$2:$A$1000,Y$1000)</f>
        <v>150</v>
      </c>
      <c r="Z6" s="9">
        <f>SUMIFS(السجل!$I$2:$I$1000,السجل!$E$2:$E$1000,$A6,السجل!$A$2:$A$1000,Z$1000)</f>
        <v>400</v>
      </c>
      <c r="AA6" s="9">
        <f>SUMIFS(السجل!$I$2:$I$1000,السجل!$E$2:$E$1000,$A6,السجل!$A$2:$A$1000,AA$1000)</f>
        <v>0</v>
      </c>
      <c r="AB6" s="9">
        <f>SUMIFS(السجل!$I$2:$I$1000,السجل!$E$2:$E$1000,$A6,السجل!$A$2:$A$1000,AB$1000)</f>
        <v>400</v>
      </c>
      <c r="AC6" s="9">
        <f>SUMIFS(السجل!$I$2:$I$1000,السجل!$E$2:$E$1000,$A6,السجل!$A$2:$A$1000,AC$1000)</f>
        <v>300</v>
      </c>
      <c r="AD6" s="6">
        <f>SUM(B6:AC6)</f>
        <v>4950</v>
      </c>
    </row>
    <row r="7">
      <c r="A7" s="10" t="str">
        <f>الملخص!A9</f>
        <v>د. محمد جمال</v>
      </c>
      <c r="B7" s="9">
        <f>SUMIFS(السجل!$I$2:$I$1000,السجل!$E$2:$E$1000,$A7,السجل!$A$2:$A$1000,B$1000)</f>
        <v>0</v>
      </c>
      <c r="C7" s="9">
        <f>SUMIFS(السجل!$I$2:$I$1000,السجل!$E$2:$E$1000,$A7,السجل!$A$2:$A$1000,C$1000)</f>
        <v>0</v>
      </c>
      <c r="D7" s="9">
        <f>SUMIFS(السجل!$I$2:$I$1000,السجل!$E$2:$E$1000,$A7,السجل!$A$2:$A$1000,D$1000)</f>
        <v>0</v>
      </c>
      <c r="E7" s="9">
        <f>SUMIFS(السجل!$I$2:$I$1000,السجل!$E$2:$E$1000,$A7,السجل!$A$2:$A$1000,E$1000)</f>
        <v>0</v>
      </c>
      <c r="F7" s="9">
        <f>SUMIFS(السجل!$I$2:$I$1000,السجل!$E$2:$E$1000,$A7,السجل!$A$2:$A$1000,F$1000)</f>
        <v>0</v>
      </c>
      <c r="G7" s="9">
        <f>SUMIFS(السجل!$I$2:$I$1000,السجل!$E$2:$E$1000,$A7,السجل!$A$2:$A$1000,G$1000)</f>
        <v>0</v>
      </c>
      <c r="H7" s="9">
        <f>SUMIFS(السجل!$I$2:$I$1000,السجل!$E$2:$E$1000,$A7,السجل!$A$2:$A$1000,H$1000)</f>
        <v>0</v>
      </c>
      <c r="I7" s="9">
        <f>SUMIFS(السجل!$I$2:$I$1000,السجل!$E$2:$E$1000,$A7,السجل!$A$2:$A$1000,I$1000)</f>
        <v>0</v>
      </c>
      <c r="J7" s="9">
        <f>SUMIFS(السجل!$I$2:$I$1000,السجل!$E$2:$E$1000,$A7,السجل!$A$2:$A$1000,J$1000)</f>
        <v>0</v>
      </c>
      <c r="K7" s="9">
        <f>SUMIFS(السجل!$I$2:$I$1000,السجل!$E$2:$E$1000,$A7,السجل!$A$2:$A$1000,K$1000)</f>
        <v>0</v>
      </c>
      <c r="L7" s="9">
        <f>SUMIFS(السجل!$I$2:$I$1000,السجل!$E$2:$E$1000,$A7,السجل!$A$2:$A$1000,L$1000)</f>
        <v>300</v>
      </c>
      <c r="M7" s="9">
        <f>SUMIFS(السجل!$I$2:$I$1000,السجل!$E$2:$E$1000,$A7,السجل!$A$2:$A$1000,M$1000)</f>
        <v>300</v>
      </c>
      <c r="N7" s="9">
        <f>SUMIFS(السجل!$I$2:$I$1000,السجل!$E$2:$E$1000,$A7,السجل!$A$2:$A$1000,N$1000)</f>
        <v>300</v>
      </c>
      <c r="O7" s="9">
        <f>SUMIFS(السجل!$I$2:$I$1000,السجل!$E$2:$E$1000,$A7,السجل!$A$2:$A$1000,O$1000)</f>
        <v>300</v>
      </c>
      <c r="P7" s="9">
        <f>SUMIFS(السجل!$I$2:$I$1000,السجل!$E$2:$E$1000,$A7,السجل!$A$2:$A$1000,P$1000)</f>
        <v>300</v>
      </c>
      <c r="Q7" s="9">
        <f>SUMIFS(السجل!$I$2:$I$1000,السجل!$E$2:$E$1000,$A7,السجل!$A$2:$A$1000,Q$1000)</f>
        <v>300</v>
      </c>
      <c r="R7" s="9">
        <f>SUMIFS(السجل!$I$2:$I$1000,السجل!$E$2:$E$1000,$A7,السجل!$A$2:$A$1000,R$1000)</f>
        <v>300</v>
      </c>
      <c r="S7" s="9">
        <f>SUMIFS(السجل!$I$2:$I$1000,السجل!$E$2:$E$1000,$A7,السجل!$A$2:$A$1000,S$1000)</f>
        <v>300</v>
      </c>
      <c r="T7" s="9">
        <f>SUMIFS(السجل!$I$2:$I$1000,السجل!$E$2:$E$1000,$A7,السجل!$A$2:$A$1000,T$1000)</f>
        <v>300</v>
      </c>
      <c r="U7" s="9">
        <f>SUMIFS(السجل!$I$2:$I$1000,السجل!$E$2:$E$1000,$A7,السجل!$A$2:$A$1000,U$1000)</f>
        <v>0</v>
      </c>
      <c r="V7" s="9">
        <f>SUMIFS(السجل!$I$2:$I$1000,السجل!$E$2:$E$1000,$A7,السجل!$A$2:$A$1000,V$1000)</f>
        <v>0</v>
      </c>
      <c r="W7" s="9">
        <f>SUMIFS(السجل!$I$2:$I$1000,السجل!$E$2:$E$1000,$A7,السجل!$A$2:$A$1000,W$1000)</f>
        <v>0</v>
      </c>
      <c r="X7" s="9">
        <f>SUMIFS(السجل!$I$2:$I$1000,السجل!$E$2:$E$1000,$A7,السجل!$A$2:$A$1000,X$1000)</f>
        <v>0</v>
      </c>
      <c r="Y7" s="9">
        <f>SUMIFS(السجل!$I$2:$I$1000,السجل!$E$2:$E$1000,$A7,السجل!$A$2:$A$1000,Y$1000)</f>
        <v>0</v>
      </c>
      <c r="Z7" s="9">
        <f>SUMIFS(السجل!$I$2:$I$1000,السجل!$E$2:$E$1000,$A7,السجل!$A$2:$A$1000,Z$1000)</f>
        <v>0</v>
      </c>
      <c r="AA7" s="9">
        <f>SUMIFS(السجل!$I$2:$I$1000,السجل!$E$2:$E$1000,$A7,السجل!$A$2:$A$1000,AA$1000)</f>
        <v>0</v>
      </c>
      <c r="AB7" s="9">
        <f>SUMIFS(السجل!$I$2:$I$1000,السجل!$E$2:$E$1000,$A7,السجل!$A$2:$A$1000,AB$1000)</f>
        <v>0</v>
      </c>
      <c r="AC7" s="9">
        <f>SUMIFS(السجل!$I$2:$I$1000,السجل!$E$2:$E$1000,$A7,السجل!$A$2:$A$1000,AC$1000)</f>
        <v>0</v>
      </c>
      <c r="AD7" s="6">
        <f>SUM(B7:AC7)</f>
        <v>2700</v>
      </c>
    </row>
    <row r="8">
      <c r="A8" s="10" t="str">
        <f>الملخص!A10</f>
        <v>د. محمد فؤاد</v>
      </c>
      <c r="B8" s="9">
        <f>SUMIFS(السجل!$I$2:$I$1000,السجل!$E$2:$E$1000,$A8,السجل!$A$2:$A$1000,B$1000)</f>
        <v>0</v>
      </c>
      <c r="C8" s="9">
        <f>SUMIFS(السجل!$I$2:$I$1000,السجل!$E$2:$E$1000,$A8,السجل!$A$2:$A$1000,C$1000)</f>
        <v>0</v>
      </c>
      <c r="D8" s="9">
        <f>SUMIFS(السجل!$I$2:$I$1000,السجل!$E$2:$E$1000,$A8,السجل!$A$2:$A$1000,D$1000)</f>
        <v>0</v>
      </c>
      <c r="E8" s="9">
        <f>SUMIFS(السجل!$I$2:$I$1000,السجل!$E$2:$E$1000,$A8,السجل!$A$2:$A$1000,E$1000)</f>
        <v>0</v>
      </c>
      <c r="F8" s="9">
        <f>SUMIFS(السجل!$I$2:$I$1000,السجل!$E$2:$E$1000,$A8,السجل!$A$2:$A$1000,F$1000)</f>
        <v>0</v>
      </c>
      <c r="G8" s="9">
        <f>SUMIFS(السجل!$I$2:$I$1000,السجل!$E$2:$E$1000,$A8,السجل!$A$2:$A$1000,G$1000)</f>
        <v>0</v>
      </c>
      <c r="H8" s="9">
        <f>SUMIFS(السجل!$I$2:$I$1000,السجل!$E$2:$E$1000,$A8,السجل!$A$2:$A$1000,H$1000)</f>
        <v>0</v>
      </c>
      <c r="I8" s="9">
        <f>SUMIFS(السجل!$I$2:$I$1000,السجل!$E$2:$E$1000,$A8,السجل!$A$2:$A$1000,I$1000)</f>
        <v>0</v>
      </c>
      <c r="J8" s="9">
        <f>SUMIFS(السجل!$I$2:$I$1000,السجل!$E$2:$E$1000,$A8,السجل!$A$2:$A$1000,J$1000)</f>
        <v>0</v>
      </c>
      <c r="K8" s="9">
        <f>SUMIFS(السجل!$I$2:$I$1000,السجل!$E$2:$E$1000,$A8,السجل!$A$2:$A$1000,K$1000)</f>
        <v>0</v>
      </c>
      <c r="L8" s="9">
        <f>SUMIFS(السجل!$I$2:$I$1000,السجل!$E$2:$E$1000,$A8,السجل!$A$2:$A$1000,L$1000)</f>
        <v>0</v>
      </c>
      <c r="M8" s="9">
        <f>SUMIFS(السجل!$I$2:$I$1000,السجل!$E$2:$E$1000,$A8,السجل!$A$2:$A$1000,M$1000)</f>
        <v>0</v>
      </c>
      <c r="N8" s="9">
        <f>SUMIFS(السجل!$I$2:$I$1000,السجل!$E$2:$E$1000,$A8,السجل!$A$2:$A$1000,N$1000)</f>
        <v>0</v>
      </c>
      <c r="O8" s="9">
        <f>SUMIFS(السجل!$I$2:$I$1000,السجل!$E$2:$E$1000,$A8,السجل!$A$2:$A$1000,O$1000)</f>
        <v>0</v>
      </c>
      <c r="P8" s="9">
        <f>SUMIFS(السجل!$I$2:$I$1000,السجل!$E$2:$E$1000,$A8,السجل!$A$2:$A$1000,P$1000)</f>
        <v>0</v>
      </c>
      <c r="Q8" s="9">
        <f>SUMIFS(السجل!$I$2:$I$1000,السجل!$E$2:$E$1000,$A8,السجل!$A$2:$A$1000,Q$1000)</f>
        <v>0</v>
      </c>
      <c r="R8" s="9">
        <f>SUMIFS(السجل!$I$2:$I$1000,السجل!$E$2:$E$1000,$A8,السجل!$A$2:$A$1000,R$1000)</f>
        <v>0</v>
      </c>
      <c r="S8" s="9">
        <f>SUMIFS(السجل!$I$2:$I$1000,السجل!$E$2:$E$1000,$A8,السجل!$A$2:$A$1000,S$1000)</f>
        <v>0</v>
      </c>
      <c r="T8" s="9">
        <f>SUMIFS(السجل!$I$2:$I$1000,السجل!$E$2:$E$1000,$A8,السجل!$A$2:$A$1000,T$1000)</f>
        <v>0</v>
      </c>
      <c r="U8" s="9">
        <f>SUMIFS(السجل!$I$2:$I$1000,السجل!$E$2:$E$1000,$A8,السجل!$A$2:$A$1000,U$1000)</f>
        <v>0</v>
      </c>
      <c r="V8" s="9">
        <f>SUMIFS(السجل!$I$2:$I$1000,السجل!$E$2:$E$1000,$A8,السجل!$A$2:$A$1000,V$1000)</f>
        <v>0</v>
      </c>
      <c r="W8" s="9">
        <f>SUMIFS(السجل!$I$2:$I$1000,السجل!$E$2:$E$1000,$A8,السجل!$A$2:$A$1000,W$1000)</f>
        <v>150</v>
      </c>
      <c r="X8" s="9">
        <f>SUMIFS(السجل!$I$2:$I$1000,السجل!$E$2:$E$1000,$A8,السجل!$A$2:$A$1000,X$1000)</f>
        <v>0</v>
      </c>
      <c r="Y8" s="9">
        <f>SUMIFS(السجل!$I$2:$I$1000,السجل!$E$2:$E$1000,$A8,السجل!$A$2:$A$1000,Y$1000)</f>
        <v>0</v>
      </c>
      <c r="Z8" s="9">
        <f>SUMIFS(السجل!$I$2:$I$1000,السجل!$E$2:$E$1000,$A8,السجل!$A$2:$A$1000,Z$1000)</f>
        <v>0</v>
      </c>
      <c r="AA8" s="9">
        <f>SUMIFS(السجل!$I$2:$I$1000,السجل!$E$2:$E$1000,$A8,السجل!$A$2:$A$1000,AA$1000)</f>
        <v>0</v>
      </c>
      <c r="AB8" s="9">
        <f>SUMIFS(السجل!$I$2:$I$1000,السجل!$E$2:$E$1000,$A8,السجل!$A$2:$A$1000,AB$1000)</f>
        <v>0</v>
      </c>
      <c r="AC8" s="9">
        <f>SUMIFS(السجل!$I$2:$I$1000,السجل!$E$2:$E$1000,$A8,السجل!$A$2:$A$1000,AC$1000)</f>
        <v>0</v>
      </c>
      <c r="AD8" s="6">
        <f>SUM(B8:AC8)</f>
        <v>150</v>
      </c>
    </row>
    <row r="9">
      <c r="A9" s="7" t="inlineStr">
        <is>
          <t>الإجمالي</t>
        </is>
      </c>
      <c r="B9" s="8">
        <f>SUM(B2:B8)</f>
        <v>500</v>
      </c>
      <c r="C9" s="8">
        <f>SUM(C2:C8)</f>
        <v>650</v>
      </c>
      <c r="D9" s="8">
        <f>SUM(D2:D8)</f>
        <v>1000</v>
      </c>
      <c r="E9" s="8">
        <f>SUM(E2:E8)</f>
        <v>1150</v>
      </c>
      <c r="F9" s="8">
        <f>SUM(F2:F8)</f>
        <v>1150</v>
      </c>
      <c r="G9" s="8">
        <f>SUM(G2:G8)</f>
        <v>1600</v>
      </c>
      <c r="H9" s="8">
        <f>SUM(H2:H8)</f>
        <v>1450</v>
      </c>
      <c r="I9" s="8">
        <f>SUM(I2:I8)</f>
        <v>800</v>
      </c>
      <c r="J9" s="8">
        <f>SUM(J2:J8)</f>
        <v>800</v>
      </c>
      <c r="K9" s="8">
        <f>SUM(K2:K8)</f>
        <v>800</v>
      </c>
      <c r="L9" s="8">
        <f>SUM(L2:L8)</f>
        <v>1300</v>
      </c>
      <c r="M9" s="8">
        <f>SUM(M2:M8)</f>
        <v>1300</v>
      </c>
      <c r="N9" s="8">
        <f>SUM(N2:N8)</f>
        <v>1300</v>
      </c>
      <c r="O9" s="8">
        <f>SUM(O2:O8)</f>
        <v>1300</v>
      </c>
      <c r="P9" s="8">
        <f>SUM(P2:P8)</f>
        <v>1300</v>
      </c>
      <c r="Q9" s="8">
        <f>SUM(Q2:Q8)</f>
        <v>1300</v>
      </c>
      <c r="R9" s="8">
        <f>SUM(R2:R8)</f>
        <v>1300</v>
      </c>
      <c r="S9" s="8">
        <f>SUM(S2:S8)</f>
        <v>1300</v>
      </c>
      <c r="T9" s="8">
        <f>SUM(T2:T8)</f>
        <v>1300</v>
      </c>
      <c r="U9" s="8">
        <f>SUM(U2:U8)</f>
        <v>1000</v>
      </c>
      <c r="V9" s="8">
        <f>SUM(V2:V8)</f>
        <v>1000</v>
      </c>
      <c r="W9" s="8">
        <f>SUM(W2:W8)</f>
        <v>650</v>
      </c>
      <c r="X9" s="8">
        <f>SUM(X2:X8)</f>
        <v>500</v>
      </c>
      <c r="Y9" s="8">
        <f>SUM(Y2:Y8)</f>
        <v>500</v>
      </c>
      <c r="Z9" s="8">
        <f>SUM(Z2:Z8)</f>
        <v>1000</v>
      </c>
      <c r="AA9" s="8">
        <f>SUM(AA2:AA8)</f>
        <v>700</v>
      </c>
      <c r="AB9" s="8">
        <f>SUM(AB2:AB8)</f>
        <v>1000</v>
      </c>
      <c r="AC9" s="8">
        <f>SUM(AC2:AC8)</f>
        <v>850</v>
      </c>
      <c r="AD9" s="8">
        <f>SUM(AD2:AD8)</f>
        <v>28800</v>
      </c>
    </row>
    <row r="1000" hidden="1">
      <c r="B1000" t="inlineStr">
        <is>
          <t>2026-09-13</t>
        </is>
      </c>
      <c r="C1000" t="inlineStr">
        <is>
          <t>2026-09-14</t>
        </is>
      </c>
      <c r="D1000" t="inlineStr">
        <is>
          <t>2026-09-26</t>
        </is>
      </c>
      <c r="E1000" t="inlineStr">
        <is>
          <t>2026-09-27</t>
        </is>
      </c>
      <c r="F1000" t="inlineStr">
        <is>
          <t>2026-09-28</t>
        </is>
      </c>
      <c r="G1000" t="inlineStr">
        <is>
          <t>2026-09-29</t>
        </is>
      </c>
      <c r="H1000" t="inlineStr">
        <is>
          <t>2026-09-30</t>
        </is>
      </c>
      <c r="I1000" t="inlineStr">
        <is>
          <t>2026-10-01</t>
        </is>
      </c>
      <c r="J1000" t="inlineStr">
        <is>
          <t>2026-10-02</t>
        </is>
      </c>
      <c r="K1000" t="inlineStr">
        <is>
          <t>2026-10-03</t>
        </is>
      </c>
      <c r="L1000" t="inlineStr">
        <is>
          <t>2026-10-04</t>
        </is>
      </c>
      <c r="M1000" t="inlineStr">
        <is>
          <t>2026-10-05</t>
        </is>
      </c>
      <c r="N1000" t="inlineStr">
        <is>
          <t>2026-10-06</t>
        </is>
      </c>
      <c r="O1000" t="inlineStr">
        <is>
          <t>2026-10-07</t>
        </is>
      </c>
      <c r="P1000" t="inlineStr">
        <is>
          <t>2026-10-08</t>
        </is>
      </c>
      <c r="Q1000" t="inlineStr">
        <is>
          <t>2026-10-09</t>
        </is>
      </c>
      <c r="R1000" t="inlineStr">
        <is>
          <t>2026-10-10</t>
        </is>
      </c>
      <c r="S1000" t="inlineStr">
        <is>
          <t>2026-10-11</t>
        </is>
      </c>
      <c r="T1000" t="inlineStr">
        <is>
          <t>2026-10-13</t>
        </is>
      </c>
      <c r="U1000" t="inlineStr">
        <is>
          <t>2026-10-14</t>
        </is>
      </c>
      <c r="V1000" t="inlineStr">
        <is>
          <t>2026-10-15</t>
        </is>
      </c>
      <c r="W1000" t="inlineStr">
        <is>
          <t>2026-10-16</t>
        </is>
      </c>
      <c r="X1000" t="inlineStr">
        <is>
          <t>2026-10-17</t>
        </is>
      </c>
      <c r="Y1000" t="inlineStr">
        <is>
          <t>2026-10-18</t>
        </is>
      </c>
      <c r="Z1000" t="inlineStr">
        <is>
          <t>2026-10-19</t>
        </is>
      </c>
      <c r="AA1000" t="inlineStr">
        <is>
          <t>2026-10-20</t>
        </is>
      </c>
      <c r="AB1000" t="inlineStr">
        <is>
          <t>2026-10-21</t>
        </is>
      </c>
      <c r="AC1000" t="inlineStr">
        <is>
          <t>2026-10-22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الأحد</t>
        </is>
      </c>
      <c r="B3" s="5" t="inlineStr">
        <is>
          <t>2026-09-13</t>
        </is>
      </c>
      <c r="C3" s="5" t="inlineStr">
        <is>
          <t>صيدلية رقم 15</t>
        </is>
      </c>
      <c r="D3" s="5" t="inlineStr">
        <is>
          <t>***</t>
        </is>
      </c>
      <c r="E3" s="5" t="inlineStr">
        <is>
          <t>الخرج</t>
        </is>
      </c>
    </row>
    <row r="4">
      <c r="A4" s="5" t="inlineStr">
        <is>
          <t>الاثنين</t>
        </is>
      </c>
      <c r="B4" s="5" t="inlineStr">
        <is>
          <t>2026-09-14</t>
        </is>
      </c>
      <c r="C4" s="5" t="inlineStr">
        <is>
          <t>صيدلية رقم 16</t>
        </is>
      </c>
      <c r="D4" s="5" t="inlineStr">
        <is>
          <t>***</t>
        </is>
      </c>
      <c r="E4" s="5" t="inlineStr">
        <is>
          <t>الخرج</t>
        </is>
      </c>
    </row>
    <row r="5">
      <c r="A5" s="5" t="inlineStr">
        <is>
          <t>السبت</t>
        </is>
      </c>
      <c r="B5" s="5" t="inlineStr">
        <is>
          <t>2026-09-26</t>
        </is>
      </c>
      <c r="C5" s="5" t="inlineStr">
        <is>
          <t>صيدلية رقم 4</t>
        </is>
      </c>
      <c r="D5" s="5" t="inlineStr">
        <is>
          <t>صيدلية رقم 5</t>
        </is>
      </c>
      <c r="E5" s="5" t="inlineStr">
        <is>
          <t>الخرج</t>
        </is>
      </c>
    </row>
    <row r="6">
      <c r="A6" s="5" t="inlineStr">
        <is>
          <t>الأحد</t>
        </is>
      </c>
      <c r="B6" s="5" t="inlineStr">
        <is>
          <t>2026-09-27</t>
        </is>
      </c>
      <c r="C6" s="5" t="inlineStr">
        <is>
          <t>صيدلية رقم 3</t>
        </is>
      </c>
      <c r="D6" s="5" t="inlineStr">
        <is>
          <t>صيدلية رقم 31</t>
        </is>
      </c>
      <c r="E6" s="5" t="inlineStr">
        <is>
          <t>الخرج</t>
        </is>
      </c>
    </row>
    <row r="7">
      <c r="A7" s="5" t="inlineStr">
        <is>
          <t>الاثنين</t>
        </is>
      </c>
      <c r="B7" s="5" t="inlineStr">
        <is>
          <t>2026-09-28</t>
        </is>
      </c>
      <c r="C7" s="5" t="inlineStr">
        <is>
          <t>صيدلية رقم 29</t>
        </is>
      </c>
      <c r="D7" s="5" t="inlineStr">
        <is>
          <t>صيدلية رقم 22</t>
        </is>
      </c>
      <c r="E7" s="5" t="inlineStr">
        <is>
          <t>الخرج</t>
        </is>
      </c>
    </row>
    <row r="8">
      <c r="A8" s="5" t="inlineStr">
        <is>
          <t>الثلاثاء</t>
        </is>
      </c>
      <c r="B8" s="5" t="inlineStr">
        <is>
          <t>2026-09-29</t>
        </is>
      </c>
      <c r="C8" s="5" t="inlineStr">
        <is>
          <t>صيدلية رقم 21</t>
        </is>
      </c>
      <c r="D8" s="5" t="inlineStr">
        <is>
          <t>صيدلية رقم 30</t>
        </is>
      </c>
      <c r="E8" s="5" t="inlineStr">
        <is>
          <t>الخرج</t>
        </is>
      </c>
    </row>
    <row r="9">
      <c r="A9" s="5" t="inlineStr">
        <is>
          <t>الأربعاء</t>
        </is>
      </c>
      <c r="B9" s="5" t="inlineStr">
        <is>
          <t>2026-09-30</t>
        </is>
      </c>
      <c r="C9" s="5" t="inlineStr">
        <is>
          <t>صيدلية رقم 10</t>
        </is>
      </c>
      <c r="D9" s="5" t="inlineStr">
        <is>
          <t>صيدلية رقم 17</t>
        </is>
      </c>
      <c r="E9" s="5" t="inlineStr">
        <is>
          <t>الخرج</t>
        </is>
      </c>
    </row>
    <row r="10">
      <c r="A10" s="5" t="inlineStr">
        <is>
          <t>الخميس</t>
        </is>
      </c>
      <c r="B10" s="5" t="inlineStr">
        <is>
          <t>2026-10-01</t>
        </is>
      </c>
      <c r="C10" s="5" t="inlineStr">
        <is>
          <t>صيدلية رقم 28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الجمعة</t>
        </is>
      </c>
      <c r="B11" s="5" t="inlineStr">
        <is>
          <t>2026-10-02</t>
        </is>
      </c>
      <c r="C11" s="5" t="inlineStr">
        <is>
          <t>صيدلية رقم 7</t>
        </is>
      </c>
      <c r="D11" s="5" t="inlineStr">
        <is>
          <t>***</t>
        </is>
      </c>
      <c r="E11" s="5" t="inlineStr">
        <is>
          <t>الدلم</t>
        </is>
      </c>
    </row>
    <row r="12">
      <c r="A12" s="5" t="inlineStr">
        <is>
          <t>السبت</t>
        </is>
      </c>
      <c r="B12" s="5" t="inlineStr">
        <is>
          <t>2026-10-03</t>
        </is>
      </c>
      <c r="C12" s="5" t="inlineStr">
        <is>
          <t>صيدلية رقم 9</t>
        </is>
      </c>
      <c r="D12" s="5" t="inlineStr">
        <is>
          <t>***</t>
        </is>
      </c>
      <c r="E12" s="5" t="inlineStr">
        <is>
          <t>الدلم</t>
        </is>
      </c>
    </row>
    <row r="13">
      <c r="A13" s="5" t="inlineStr">
        <is>
          <t>الأحد</t>
        </is>
      </c>
      <c r="B13" s="5" t="inlineStr">
        <is>
          <t>2026-10-04</t>
        </is>
      </c>
      <c r="C13" s="5" t="inlineStr">
        <is>
          <t>صيدلية رقم 32</t>
        </is>
      </c>
      <c r="D13" s="5" t="inlineStr">
        <is>
          <t>صيدلية رقم 39</t>
        </is>
      </c>
      <c r="E13" s="5" t="inlineStr">
        <is>
          <t>الحوطة</t>
        </is>
      </c>
    </row>
    <row r="14">
      <c r="A14" s="5" t="inlineStr">
        <is>
          <t>الاثنين</t>
        </is>
      </c>
      <c r="B14" s="5" t="inlineStr">
        <is>
          <t>2026-10-05</t>
        </is>
      </c>
      <c r="C14" s="5" t="inlineStr">
        <is>
          <t>صيدلية رقم 33</t>
        </is>
      </c>
      <c r="D14" s="5" t="inlineStr">
        <is>
          <t>صيدلية رقم 34</t>
        </is>
      </c>
      <c r="E14" s="5" t="inlineStr">
        <is>
          <t>الأفلاج</t>
        </is>
      </c>
    </row>
    <row r="15">
      <c r="A15" s="5" t="inlineStr">
        <is>
          <t>الثلاثاء</t>
        </is>
      </c>
      <c r="B15" s="5" t="inlineStr">
        <is>
          <t>2026-10-06</t>
        </is>
      </c>
      <c r="C15" s="5" t="inlineStr">
        <is>
          <t>صيدلية رقم 35</t>
        </is>
      </c>
      <c r="D15" s="5" t="inlineStr">
        <is>
          <t>صيدلية رقم 53</t>
        </is>
      </c>
      <c r="E15" s="5" t="inlineStr">
        <is>
          <t>السليل</t>
        </is>
      </c>
    </row>
    <row r="16">
      <c r="A16" s="5" t="inlineStr">
        <is>
          <t>الأربعاء</t>
        </is>
      </c>
      <c r="B16" s="5" t="inlineStr">
        <is>
          <t>2026-10-07</t>
        </is>
      </c>
      <c r="C16" s="5" t="inlineStr">
        <is>
          <t>صيدلية رقم 46</t>
        </is>
      </c>
      <c r="D16" s="5" t="inlineStr">
        <is>
          <t>صيدلية رقم 56</t>
        </is>
      </c>
      <c r="E16" s="5" t="inlineStr">
        <is>
          <t>تمرة - الدواسر</t>
        </is>
      </c>
    </row>
    <row r="17">
      <c r="A17" s="5" t="inlineStr">
        <is>
          <t>الخميس</t>
        </is>
      </c>
      <c r="B17" s="5" t="inlineStr">
        <is>
          <t>2026-10-08</t>
        </is>
      </c>
      <c r="C17" s="5" t="inlineStr">
        <is>
          <t>صيدلية رقم 47</t>
        </is>
      </c>
      <c r="D17" s="5" t="inlineStr">
        <is>
          <t>صيدلية رقم 37</t>
        </is>
      </c>
      <c r="E17" s="5" t="inlineStr">
        <is>
          <t>الدواسر</t>
        </is>
      </c>
    </row>
    <row r="18">
      <c r="A18" s="5" t="inlineStr">
        <is>
          <t>الجمعة</t>
        </is>
      </c>
      <c r="B18" s="5" t="inlineStr">
        <is>
          <t>2026-10-09</t>
        </is>
      </c>
      <c r="C18" s="5" t="inlineStr">
        <is>
          <t>صيدلية رقم 38</t>
        </is>
      </c>
      <c r="D18" s="5" t="inlineStr">
        <is>
          <t>صيدلية رقم 59</t>
        </is>
      </c>
      <c r="E18" s="5" t="inlineStr">
        <is>
          <t>الدواسر</t>
        </is>
      </c>
    </row>
    <row r="19">
      <c r="A19" s="5" t="inlineStr">
        <is>
          <t>السبت</t>
        </is>
      </c>
      <c r="B19" s="5" t="inlineStr">
        <is>
          <t>2026-10-10</t>
        </is>
      </c>
      <c r="C19" s="5" t="inlineStr">
        <is>
          <t>صيدلية رقم 36</t>
        </is>
      </c>
      <c r="D19" s="5" t="inlineStr">
        <is>
          <t>صيدلية رقم 57</t>
        </is>
      </c>
      <c r="E19" s="5" t="inlineStr">
        <is>
          <t>الدواسر</t>
        </is>
      </c>
    </row>
    <row r="20">
      <c r="A20" s="5" t="inlineStr">
        <is>
          <t>الأحد</t>
        </is>
      </c>
      <c r="B20" s="5" t="inlineStr">
        <is>
          <t>2026-10-11</t>
        </is>
      </c>
      <c r="C20" s="5" t="inlineStr">
        <is>
          <t>صيدلية رقم 48</t>
        </is>
      </c>
      <c r="D20" s="5" t="inlineStr">
        <is>
          <t>صيدلية رقم 49</t>
        </is>
      </c>
      <c r="E20" s="5" t="inlineStr">
        <is>
          <t>رنية</t>
        </is>
      </c>
    </row>
    <row r="21">
      <c r="A21" s="5" t="inlineStr">
        <is>
          <t>الثلاثاء</t>
        </is>
      </c>
      <c r="B21" s="5" t="inlineStr">
        <is>
          <t>2026-10-13</t>
        </is>
      </c>
      <c r="C21" s="5" t="inlineStr">
        <is>
          <t>صيدلية رقم 8</t>
        </is>
      </c>
      <c r="D21" s="5" t="inlineStr">
        <is>
          <t>صيدلية رقم 60</t>
        </is>
      </c>
      <c r="E21" s="5" t="inlineStr">
        <is>
          <t>الخرج</t>
        </is>
      </c>
    </row>
    <row r="22">
      <c r="A22" s="5" t="inlineStr">
        <is>
          <t>الأربعاء</t>
        </is>
      </c>
      <c r="B22" s="5" t="inlineStr">
        <is>
          <t>2026-10-14</t>
        </is>
      </c>
      <c r="C22" s="5" t="inlineStr">
        <is>
          <t>صيدلية رقم 24</t>
        </is>
      </c>
      <c r="D22" s="5" t="inlineStr">
        <is>
          <t>صيدلية رقم 27</t>
        </is>
      </c>
      <c r="E22" s="5" t="inlineStr">
        <is>
          <t>الخرج</t>
        </is>
      </c>
    </row>
    <row r="23">
      <c r="A23" s="5" t="inlineStr">
        <is>
          <t>الخميس</t>
        </is>
      </c>
      <c r="B23" s="5" t="inlineStr">
        <is>
          <t>2026-10-15</t>
        </is>
      </c>
      <c r="C23" s="5" t="inlineStr">
        <is>
          <t>صيدلية رقم 11</t>
        </is>
      </c>
      <c r="D23" s="5" t="inlineStr">
        <is>
          <t>صيدلية رقم 40</t>
        </is>
      </c>
      <c r="E23" s="5" t="inlineStr">
        <is>
          <t>الخرج</t>
        </is>
      </c>
    </row>
    <row r="24">
      <c r="A24" s="5" t="inlineStr">
        <is>
          <t>الجمعة</t>
        </is>
      </c>
      <c r="B24" s="5" t="inlineStr">
        <is>
          <t>2026-10-16</t>
        </is>
      </c>
      <c r="C24" s="5" t="inlineStr">
        <is>
          <t>صيدلية رقم 18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السبت</t>
        </is>
      </c>
      <c r="B25" s="5" t="inlineStr">
        <is>
          <t>2026-10-17</t>
        </is>
      </c>
      <c r="C25" s="5" t="inlineStr">
        <is>
          <t>صيدلية رقم 19</t>
        </is>
      </c>
      <c r="D25" s="5" t="inlineStr">
        <is>
          <t>***</t>
        </is>
      </c>
      <c r="E25" s="5" t="inlineStr">
        <is>
          <t>الخرج</t>
        </is>
      </c>
    </row>
    <row r="26">
      <c r="A26" s="5" t="inlineStr">
        <is>
          <t>الأحد</t>
        </is>
      </c>
      <c r="B26" s="5" t="inlineStr">
        <is>
          <t>2026-10-18</t>
        </is>
      </c>
      <c r="C26" s="5" t="inlineStr">
        <is>
          <t>صيدلية رقم 14</t>
        </is>
      </c>
      <c r="D26" s="5" t="inlineStr">
        <is>
          <t>***</t>
        </is>
      </c>
      <c r="E26" s="5" t="inlineStr">
        <is>
          <t>الخرج</t>
        </is>
      </c>
    </row>
    <row r="27">
      <c r="A27" s="5" t="inlineStr">
        <is>
          <t>الاثنين</t>
        </is>
      </c>
      <c r="B27" s="5" t="inlineStr">
        <is>
          <t>2026-10-19</t>
        </is>
      </c>
      <c r="C27" s="5" t="inlineStr">
        <is>
          <t>صيدلية رقم 42</t>
        </is>
      </c>
      <c r="D27" s="5" t="inlineStr">
        <is>
          <t>صيدلية رقم 44</t>
        </is>
      </c>
      <c r="E27" s="5" t="inlineStr">
        <is>
          <t>الرياض</t>
        </is>
      </c>
    </row>
    <row r="28">
      <c r="A28" s="5" t="inlineStr">
        <is>
          <t>الثلاثاء</t>
        </is>
      </c>
      <c r="B28" s="5" t="inlineStr">
        <is>
          <t>2026-10-20</t>
        </is>
      </c>
      <c r="C28" s="5" t="inlineStr">
        <is>
          <t>صيدلية رقم 43</t>
        </is>
      </c>
      <c r="D28" s="5" t="inlineStr">
        <is>
          <t>صيدلية رقم 45</t>
        </is>
      </c>
      <c r="E28" s="5" t="inlineStr">
        <is>
          <t>الرياض</t>
        </is>
      </c>
    </row>
    <row r="29">
      <c r="A29" s="5" t="inlineStr">
        <is>
          <t>الأربعاء</t>
        </is>
      </c>
      <c r="B29" s="5" t="inlineStr">
        <is>
          <t>2026-10-21</t>
        </is>
      </c>
      <c r="C29" s="5" t="inlineStr">
        <is>
          <t>صيدلية رقم 23</t>
        </is>
      </c>
      <c r="D29" s="5" t="inlineStr">
        <is>
          <t>صيدلية رقم 58</t>
        </is>
      </c>
      <c r="E29" s="5" t="inlineStr">
        <is>
          <t>الرياض</t>
        </is>
      </c>
    </row>
    <row r="30">
      <c r="A30" s="5" t="inlineStr">
        <is>
          <t>الخميس</t>
        </is>
      </c>
      <c r="B30" s="5" t="inlineStr">
        <is>
          <t>2026-10-22</t>
        </is>
      </c>
      <c r="C30" s="5" t="inlineStr">
        <is>
          <t>صيدلية رقم 6</t>
        </is>
      </c>
      <c r="D30" s="5" t="inlineStr">
        <is>
          <t>صيدلية رقم 13</t>
        </is>
      </c>
      <c r="E30" s="5" t="inlineStr">
        <is>
          <t>الخرج</t>
        </is>
      </c>
    </row>
    <row r="31">
      <c r="A31" s="5" t="inlineStr">
        <is>
          <t>الجمعة</t>
        </is>
      </c>
      <c r="B31" s="5" t="inlineStr">
        <is>
          <t>2026-10-23</t>
        </is>
      </c>
      <c r="C31" s="5" t="inlineStr">
        <is>
          <t>صيدلية رقم 1</t>
        </is>
      </c>
      <c r="D31" s="5" t="inlineStr">
        <is>
          <t>***</t>
        </is>
      </c>
      <c r="E31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2026-09-13</t>
        </is>
      </c>
      <c r="B2" s="5" t="str">
        <f>IF(A2="","",IFERROR(INDEX('جدول الجرد'!$A$2:$A$31,MATCH(A2,'جدول الجرد'!$B$2:$B$31,0)),""))</f>
        <v>الأحد</v>
      </c>
      <c r="C2" s="5" t="str">
        <f>IF(A2="","",IFERROR(INDEX('جدول الجرد'!$E$2:$E$31,MATCH(A2,'جدول الجرد'!$B$2:$B$31,0)),""))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2026-09-13</t>
        </is>
      </c>
      <c r="B3" s="5" t="str">
        <f>IF(A3="","",IFERROR(INDEX('جدول الجرد'!$A$2:$A$31,MATCH(A3,'جدول الجرد'!$B$2:$B$31,0)),""))</f>
        <v>الأحد</v>
      </c>
      <c r="C3" s="5" t="str">
        <f>IF(A3="","",IFERROR(INDEX('جدول الجرد'!$E$2:$E$31,MATCH(A3,'جدول الجرد'!$B$2:$B$31,0)),""))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2026-09-13</t>
        </is>
      </c>
      <c r="B4" s="5" t="str">
        <f>IF(A4="","",IFERROR(INDEX('جدول الجرد'!$A$2:$A$31,MATCH(A4,'جدول الجرد'!$B$2:$B$31,0)),""))</f>
        <v>الأحد</v>
      </c>
      <c r="C4" s="5" t="str">
        <f>IF(A4="","",IFERROR(INDEX('جدول الجرد'!$E$2:$E$31,MATCH(A4,'جدول الجرد'!$B$2:$B$31,0)),""))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2026-09-14</t>
        </is>
      </c>
      <c r="B5" s="5" t="str">
        <f>IF(A5="","",IFERROR(INDEX('جدول الجرد'!$A$2:$A$31,MATCH(A5,'جدول الجرد'!$B$2:$B$31,0)),""))</f>
        <v>الاثنين</v>
      </c>
      <c r="C5" s="5" t="str">
        <f>IF(A5="","",IFERROR(INDEX('جدول الجرد'!$E$2:$E$31,MATCH(A5,'جدول الجرد'!$B$2:$B$31,0)),""))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2026-09-14</t>
        </is>
      </c>
      <c r="B6" s="5" t="str">
        <f>IF(A6="","",IFERROR(INDEX('جدول الجرد'!$A$2:$A$31,MATCH(A6,'جدول الجرد'!$B$2:$B$31,0)),""))</f>
        <v>الاثنين</v>
      </c>
      <c r="C6" s="5" t="str">
        <f>IF(A6="","",IFERROR(INDEX('جدول الجرد'!$E$2:$E$31,MATCH(A6,'جدول الجرد'!$B$2:$B$31,0)),""))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2026-09-14</t>
        </is>
      </c>
      <c r="B7" s="5" t="str">
        <f>IF(A7="","",IFERROR(INDEX('جدول الجرد'!$A$2:$A$31,MATCH(A7,'جدول الجرد'!$B$2:$B$31,0)),""))</f>
        <v>الاثنين</v>
      </c>
      <c r="C7" s="5" t="str">
        <f>IF(A7="","",IFERROR(INDEX('جدول الجرد'!$E$2:$E$31,MATCH(A7,'جدول الجرد'!$B$2:$B$31,0)),""))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2026-09-14</t>
        </is>
      </c>
      <c r="B8" s="5" t="str">
        <f>IF(A8="","",IFERROR(INDEX('جدول الجرد'!$A$2:$A$31,MATCH(A8,'جدول الجرد'!$B$2:$B$31,0)),""))</f>
        <v>الاثنين</v>
      </c>
      <c r="C8" s="5" t="str">
        <f>IF(A8="","",IFERROR(INDEX('جدول الجرد'!$E$2:$E$31,MATCH(A8,'جدول الجرد'!$B$2:$B$31,0)),""))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الجرد'!$A$2:$A$31,MATCH(A9,'جدول الجرد'!$B$2:$B$31,0)),""))</f>
        <v>السبت</v>
      </c>
      <c r="C9" s="5" t="str">
        <f>IF(A9="","",IFERROR(INDEX('جدول الجرد'!$E$2:$E$31,MATCH(A9,'جدول الجرد'!$B$2:$B$31,0)),""))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الجرد'!$A$2:$A$31,MATCH(A10,'جدول الجرد'!$B$2:$B$31,0)),""))</f>
        <v>السبت</v>
      </c>
      <c r="C10" s="5" t="str">
        <f>IF(A10="","",IFERROR(INDEX('جدول الجرد'!$E$2:$E$31,MATCH(A10,'جدول الجرد'!$B$2:$B$31,0)),""))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الجرد'!$A$2:$A$31,MATCH(A11,'جدول الجرد'!$B$2:$B$31,0)),""))</f>
        <v>السبت</v>
      </c>
      <c r="C11" s="5" t="str">
        <f>IF(A11="","",IFERROR(INDEX('جدول الجرد'!$E$2:$E$31,MATCH(A11,'جدول الجرد'!$B$2:$B$31,0)),""))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الجرد'!$A$2:$A$31,MATCH(A12,'جدول الجرد'!$B$2:$B$31,0)),""))</f>
        <v>السبت</v>
      </c>
      <c r="C12" s="5" t="str">
        <f>IF(A12="","",IFERROR(INDEX('جدول الجرد'!$E$2:$E$31,MATCH(A12,'جدول الجرد'!$B$2:$B$31,0)),""))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الجرد'!$A$2:$A$31,MATCH(A13,'جدول الجرد'!$B$2:$B$31,0)),""))</f>
        <v>السبت</v>
      </c>
      <c r="C13" s="5" t="str">
        <f>IF(A13="","",IFERROR(INDEX('جدول الجرد'!$E$2:$E$31,MATCH(A13,'جدول الجرد'!$B$2:$B$31,0)),""))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الجرد'!$A$2:$A$31,MATCH(A14,'جدول الجرد'!$B$2:$B$31,0)),""))</f>
        <v>السبت</v>
      </c>
      <c r="C14" s="5" t="str">
        <f>IF(A14="","",IFERROR(INDEX('جدول الجرد'!$E$2:$E$31,MATCH(A14,'جدول الجرد'!$B$2:$B$31,0)),""))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الجرد'!$A$2:$A$31,MATCH(A15,'جدول الجرد'!$B$2:$B$31,0)),""))</f>
        <v>الأحد</v>
      </c>
      <c r="C15" s="5" t="str">
        <f>IF(A15="","",IFERROR(INDEX('جدول الجرد'!$E$2:$E$31,MATCH(A15,'جدول الجرد'!$B$2:$B$31,0)),""))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الجرد'!$A$2:$A$31,MATCH(A16,'جدول الجرد'!$B$2:$B$31,0)),""))</f>
        <v>الأحد</v>
      </c>
      <c r="C16" s="5" t="str">
        <f>IF(A16="","",IFERROR(INDEX('جدول الجرد'!$E$2:$E$31,MATCH(A16,'جدول الجرد'!$B$2:$B$31,0)),""))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الجرد'!$A$2:$A$31,MATCH(A17,'جدول الجرد'!$B$2:$B$31,0)),""))</f>
        <v>الأحد</v>
      </c>
      <c r="C17" s="5" t="str">
        <f>IF(A17="","",IFERROR(INDEX('جدول الجرد'!$E$2:$E$31,MATCH(A17,'جدول الجرد'!$B$2:$B$31,0)),""))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الجرد'!$A$2:$A$31,MATCH(A18,'جدول الجرد'!$B$2:$B$31,0)),""))</f>
        <v>الأحد</v>
      </c>
      <c r="C18" s="5" t="str">
        <f>IF(A18="","",IFERROR(INDEX('جدول الجرد'!$E$2:$E$31,MATCH(A18,'جدول الجرد'!$B$2:$B$31,0)),""))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الجرد'!$A$2:$A$31,MATCH(A19,'جدول الجرد'!$B$2:$B$31,0)),""))</f>
        <v>الأحد</v>
      </c>
      <c r="C19" s="5" t="str">
        <f>IF(A19="","",IFERROR(INDEX('جدول الجرد'!$E$2:$E$31,MATCH(A19,'جدول الجرد'!$B$2:$B$31,0)),""))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الجرد'!$A$2:$A$31,MATCH(A20,'جدول الجرد'!$B$2:$B$31,0)),""))</f>
        <v>الأحد</v>
      </c>
      <c r="C20" s="5" t="str">
        <f>IF(A20="","",IFERROR(INDEX('جدول الجرد'!$E$2:$E$31,MATCH(A20,'جدول الجرد'!$B$2:$B$31,0)),""))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الجرد'!$A$2:$A$31,MATCH(A21,'جدول الجرد'!$B$2:$B$31,0)),""))</f>
        <v>الأحد</v>
      </c>
      <c r="C21" s="5" t="str">
        <f>IF(A21="","",IFERROR(INDEX('جدول الجرد'!$E$2:$E$31,MATCH(A21,'جدول الجرد'!$B$2:$B$31,0)),""))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الجرد'!$A$2:$A$31,MATCH(A22,'جدول الجرد'!$B$2:$B$31,0)),""))</f>
        <v>الاثنين</v>
      </c>
      <c r="C22" s="5" t="str">
        <f>IF(A22="","",IFERROR(INDEX('جدول الجرد'!$E$2:$E$31,MATCH(A22,'جدول الجرد'!$B$2:$B$31,0)),""))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الجرد'!$A$2:$A$31,MATCH(A23,'جدول الجرد'!$B$2:$B$31,0)),""))</f>
        <v>الاثنين</v>
      </c>
      <c r="C23" s="5" t="str">
        <f>IF(A23="","",IFERROR(INDEX('جدول الجرد'!$E$2:$E$31,MATCH(A23,'جدول الجرد'!$B$2:$B$31,0)),""))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الجرد'!$A$2:$A$31,MATCH(A24,'جدول الجرد'!$B$2:$B$31,0)),""))</f>
        <v>الاثنين</v>
      </c>
      <c r="C24" s="5" t="str">
        <f>IF(A24="","",IFERROR(INDEX('جدول الجرد'!$E$2:$E$31,MATCH(A24,'جدول الجرد'!$B$2:$B$31,0)),""))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الجرد'!$A$2:$A$31,MATCH(A25,'جدول الجرد'!$B$2:$B$31,0)),""))</f>
        <v>الاثنين</v>
      </c>
      <c r="C25" s="5" t="str">
        <f>IF(A25="","",IFERROR(INDEX('جدول الجرد'!$E$2:$E$31,MATCH(A25,'جدول الجرد'!$B$2:$B$31,0)),""))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الجرد'!$A$2:$A$31,MATCH(A26,'جدول الجرد'!$B$2:$B$31,0)),""))</f>
        <v>الاثنين</v>
      </c>
      <c r="C26" s="5" t="str">
        <f>IF(A26="","",IFERROR(INDEX('جدول الجرد'!$E$2:$E$31,MATCH(A26,'جدول الجرد'!$B$2:$B$31,0)),""))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الجرد'!$A$2:$A$31,MATCH(A27,'جدول الجرد'!$B$2:$B$31,0)),""))</f>
        <v>الاثنين</v>
      </c>
      <c r="C27" s="5" t="str">
        <f>IF(A27="","",IFERROR(INDEX('جدول الجرد'!$E$2:$E$31,MATCH(A27,'جدول الجرد'!$B$2:$B$31,0)),""))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الجرد'!$A$2:$A$31,MATCH(A28,'جدول الجرد'!$B$2:$B$31,0)),""))</f>
        <v>الاثنين</v>
      </c>
      <c r="C28" s="5" t="str">
        <f>IF(A28="","",IFERROR(INDEX('جدول الجرد'!$E$2:$E$31,MATCH(A28,'جدول الجرد'!$B$2:$B$31,0)),""))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الجرد'!$A$2:$A$31,MATCH(A29,'جدول الجرد'!$B$2:$B$31,0)),""))</f>
        <v>الثلاثاء</v>
      </c>
      <c r="C29" s="5" t="str">
        <f>IF(A29="","",IFERROR(INDEX('جدول الجرد'!$E$2:$E$31,MATCH(A29,'جدول الجرد'!$B$2:$B$31,0)),""))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الجرد'!$A$2:$A$31,MATCH(A30,'جدول الجرد'!$B$2:$B$31,0)),""))</f>
        <v>الثلاثاء</v>
      </c>
      <c r="C30" s="5" t="str">
        <f>IF(A30="","",IFERROR(INDEX('جدول الجرد'!$E$2:$E$31,MATCH(A30,'جدول الجرد'!$B$2:$B$31,0)),""))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الجرد'!$A$2:$A$31,MATCH(A31,'جدول الجرد'!$B$2:$B$31,0)),""))</f>
        <v>الثلاثاء</v>
      </c>
      <c r="C31" s="5" t="str">
        <f>IF(A31="","",IFERROR(INDEX('جدول الجرد'!$E$2:$E$31,MATCH(A31,'جدول الجرد'!$B$2:$B$31,0)),""))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الجرد'!$A$2:$A$31,MATCH(A32,'جدول الجرد'!$B$2:$B$31,0)),""))</f>
        <v>الثلاثاء</v>
      </c>
      <c r="C32" s="5" t="str">
        <f>IF(A32="","",IFERROR(INDEX('جدول الجرد'!$E$2:$E$31,MATCH(A32,'جدول الجرد'!$B$2:$B$31,0)),""))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الجرد'!$A$2:$A$31,MATCH(A33,'جدول الجرد'!$B$2:$B$31,0)),""))</f>
        <v>الثلاثاء</v>
      </c>
      <c r="C33" s="5" t="str">
        <f>IF(A33="","",IFERROR(INDEX('جدول الجرد'!$E$2:$E$31,MATCH(A33,'جدول الجرد'!$B$2:$B$31,0)),""))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الجرد'!$A$2:$A$31,MATCH(A34,'جدول الجرد'!$B$2:$B$31,0)),""))</f>
        <v>الثلاثاء</v>
      </c>
      <c r="C34" s="5" t="str">
        <f>IF(A34="","",IFERROR(INDEX('جدول الجرد'!$E$2:$E$31,MATCH(A34,'جدول الجرد'!$B$2:$B$31,0)),""))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الجرد'!$A$2:$A$31,MATCH(A35,'جدول الجرد'!$B$2:$B$31,0)),""))</f>
        <v>الثلاثاء</v>
      </c>
      <c r="C35" s="5" t="str">
        <f>IF(A35="","",IFERROR(INDEX('جدول الجرد'!$E$2:$E$31,MATCH(A35,'جدول الجرد'!$B$2:$B$31,0)),""))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الجرد'!$A$2:$A$31,MATCH(A36,'جدول الجرد'!$B$2:$B$31,0)),""))</f>
        <v>الثلاثاء</v>
      </c>
      <c r="C36" s="5" t="str">
        <f>IF(A36="","",IFERROR(INDEX('جدول الجرد'!$E$2:$E$31,MATCH(A36,'جدول الجرد'!$B$2:$B$31,0)),""))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الجرد'!$A$2:$A$31,MATCH(A37,'جدول الجرد'!$B$2:$B$31,0)),""))</f>
        <v>الثلاثاء</v>
      </c>
      <c r="C37" s="5" t="str">
        <f>IF(A37="","",IFERROR(INDEX('جدول الجرد'!$E$2:$E$31,MATCH(A37,'جدول الجرد'!$B$2:$B$31,0)),""))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الجرد'!$A$2:$A$31,MATCH(A38,'جدول الجرد'!$B$2:$B$31,0)),""))</f>
        <v>الثلاثاء</v>
      </c>
      <c r="C38" s="5" t="str">
        <f>IF(A38="","",IFERROR(INDEX('جدول الجرد'!$E$2:$E$31,MATCH(A38,'جدول الجرد'!$B$2:$B$31,0)),""))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الجرد'!$A$2:$A$31,MATCH(A39,'جدول الجرد'!$B$2:$B$31,0)),""))</f>
        <v>الأربعاء</v>
      </c>
      <c r="C39" s="5" t="str">
        <f>IF(A39="","",IFERROR(INDEX('جدول الجرد'!$E$2:$E$31,MATCH(A39,'جدول الجرد'!$B$2:$B$31,0)),""))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الجرد'!$A$2:$A$31,MATCH(A40,'جدول الجرد'!$B$2:$B$31,0)),""))</f>
        <v>الأربعاء</v>
      </c>
      <c r="C40" s="5" t="str">
        <f>IF(A40="","",IFERROR(INDEX('جدول الجرد'!$E$2:$E$31,MATCH(A40,'جدول الجرد'!$B$2:$B$31,0)),""))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الجرد'!$A$2:$A$31,MATCH(A41,'جدول الجرد'!$B$2:$B$31,0)),""))</f>
        <v>الأربعاء</v>
      </c>
      <c r="C41" s="5" t="str">
        <f>IF(A41="","",IFERROR(INDEX('جدول الجرد'!$E$2:$E$31,MATCH(A41,'جدول الجرد'!$B$2:$B$31,0)),""))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الجرد'!$A$2:$A$31,MATCH(A42,'جدول الجرد'!$B$2:$B$31,0)),""))</f>
        <v>الأربعاء</v>
      </c>
      <c r="C42" s="5" t="str">
        <f>IF(A42="","",IFERROR(INDEX('جدول الجرد'!$E$2:$E$31,MATCH(A42,'جدول الجرد'!$B$2:$B$31,0)),""))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الجرد'!$A$2:$A$31,MATCH(A43,'جدول الجرد'!$B$2:$B$31,0)),""))</f>
        <v>الأربعاء</v>
      </c>
      <c r="C43" s="5" t="str">
        <f>IF(A43="","",IFERROR(INDEX('جدول الجرد'!$E$2:$E$31,MATCH(A43,'جدول الجرد'!$B$2:$B$31,0)),""))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الجرد'!$A$2:$A$31,MATCH(A44,'جدول الجرد'!$B$2:$B$31,0)),""))</f>
        <v>الأربعاء</v>
      </c>
      <c r="C44" s="5" t="str">
        <f>IF(A44="","",IFERROR(INDEX('جدول الجرد'!$E$2:$E$31,MATCH(A44,'جدول الجرد'!$B$2:$B$31,0)),""))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الجرد'!$A$2:$A$31,MATCH(A45,'جدول الجرد'!$B$2:$B$31,0)),""))</f>
        <v>الأربعاء</v>
      </c>
      <c r="C45" s="5" t="str">
        <f>IF(A45="","",IFERROR(INDEX('جدول الجرد'!$E$2:$E$31,MATCH(A45,'جدول الجرد'!$B$2:$B$31,0)),""))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الجرد'!$A$2:$A$31,MATCH(A46,'جدول الجرد'!$B$2:$B$31,0)),""))</f>
        <v>الأربعاء</v>
      </c>
      <c r="C46" s="5" t="str">
        <f>IF(A46="","",IFERROR(INDEX('جدول الجرد'!$E$2:$E$31,MATCH(A46,'جدول الجرد'!$B$2:$B$31,0)),""))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الجرد'!$A$2:$A$31,MATCH(A47,'جدول الجرد'!$B$2:$B$31,0)),""))</f>
        <v>الأربعاء</v>
      </c>
      <c r="C47" s="5" t="str">
        <f>IF(A47="","",IFERROR(INDEX('جدول الجرد'!$E$2:$E$31,MATCH(A47,'جدول الجرد'!$B$2:$B$31,0)),""))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الجرد'!$A$2:$A$31,MATCH(A48,'جدول الجرد'!$B$2:$B$31,0)),""))</f>
        <v>الخميس</v>
      </c>
      <c r="C48" s="5" t="str">
        <f>IF(A48="","",IFERROR(INDEX('جدول الجرد'!$E$2:$E$31,MATCH(A48,'جدول الجرد'!$B$2:$B$31,0)),""))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الجرد'!$A$2:$A$31,MATCH(A49,'جدول الجرد'!$B$2:$B$31,0)),""))</f>
        <v>الخميس</v>
      </c>
      <c r="C49" s="5" t="str">
        <f>IF(A49="","",IFERROR(INDEX('جدول الجرد'!$E$2:$E$31,MATCH(A49,'جدول الجرد'!$B$2:$B$31,0)),""))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الجرد'!$A$2:$A$31,MATCH(A50,'جدول الجرد'!$B$2:$B$31,0)),""))</f>
        <v>الخميس</v>
      </c>
      <c r="C50" s="5" t="str">
        <f>IF(A50="","",IFERROR(INDEX('جدول الجرد'!$E$2:$E$31,MATCH(A50,'جدول الجرد'!$B$2:$B$31,0)),""))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الجرد'!$A$2:$A$31,MATCH(A51,'جدول الجرد'!$B$2:$B$31,0)),""))</f>
        <v>الخميس</v>
      </c>
      <c r="C51" s="5" t="str">
        <f>IF(A51="","",IFERROR(INDEX('جدول الجرد'!$E$2:$E$31,MATCH(A51,'جدول الجرد'!$B$2:$B$31,0)),""))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الجرد'!$A$2:$A$31,MATCH(A52,'جدول الجرد'!$B$2:$B$31,0)),""))</f>
        <v>الخميس</v>
      </c>
      <c r="C52" s="5" t="str">
        <f>IF(A52="","",IFERROR(INDEX('جدول الجرد'!$E$2:$E$31,MATCH(A52,'جدول الجرد'!$B$2:$B$31,0)),""))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الجرد'!$A$2:$A$31,MATCH(A53,'جدول الجرد'!$B$2:$B$31,0)),""))</f>
        <v>الجمعة</v>
      </c>
      <c r="C53" s="5" t="str">
        <f>IF(A53="","",IFERROR(INDEX('جدول الجرد'!$E$2:$E$31,MATCH(A53,'جدول الجرد'!$B$2:$B$31,0)),""))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الجرد'!$A$2:$A$31,MATCH(A54,'جدول الجرد'!$B$2:$B$31,0)),""))</f>
        <v>الجمعة</v>
      </c>
      <c r="C54" s="5" t="str">
        <f>IF(A54="","",IFERROR(INDEX('جدول الجرد'!$E$2:$E$31,MATCH(A54,'جدول الجرد'!$B$2:$B$31,0)),""))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الجرد'!$A$2:$A$31,MATCH(A55,'جدول الجرد'!$B$2:$B$31,0)),""))</f>
        <v>الجمعة</v>
      </c>
      <c r="C55" s="5" t="str">
        <f>IF(A55="","",IFERROR(INDEX('جدول الجرد'!$E$2:$E$31,MATCH(A55,'جدول الجرد'!$B$2:$B$31,0)),""))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الجرد'!$A$2:$A$31,MATCH(A56,'جدول الجرد'!$B$2:$B$31,0)),""))</f>
        <v>الجمعة</v>
      </c>
      <c r="C56" s="5" t="str">
        <f>IF(A56="","",IFERROR(INDEX('جدول الجرد'!$E$2:$E$31,MATCH(A56,'جدول الجرد'!$B$2:$B$31,0)),""))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الجرد'!$A$2:$A$31,MATCH(A57,'جدول الجرد'!$B$2:$B$31,0)),""))</f>
        <v>الجمعة</v>
      </c>
      <c r="C57" s="5" t="str">
        <f>IF(A57="","",IFERROR(INDEX('جدول الجرد'!$E$2:$E$31,MATCH(A57,'جدول الجرد'!$B$2:$B$31,0)),""))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الجرد'!$A$2:$A$31,MATCH(A58,'جدول الجرد'!$B$2:$B$31,0)),""))</f>
        <v>السبت</v>
      </c>
      <c r="C58" s="5" t="str">
        <f>IF(A58="","",IFERROR(INDEX('جدول الجرد'!$E$2:$E$31,MATCH(A58,'جدول الجرد'!$B$2:$B$31,0)),""))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الجرد'!$A$2:$A$31,MATCH(A59,'جدول الجرد'!$B$2:$B$31,0)),""))</f>
        <v>السبت</v>
      </c>
      <c r="C59" s="5" t="str">
        <f>IF(A59="","",IFERROR(INDEX('جدول الجرد'!$E$2:$E$31,MATCH(A59,'جدول الجرد'!$B$2:$B$31,0)),""))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الجرد'!$A$2:$A$31,MATCH(A60,'جدول الجرد'!$B$2:$B$31,0)),""))</f>
        <v>السبت</v>
      </c>
      <c r="C60" s="5" t="str">
        <f>IF(A60="","",IFERROR(INDEX('جدول الجرد'!$E$2:$E$31,MATCH(A60,'جدول الجرد'!$B$2:$B$31,0)),""))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الجرد'!$A$2:$A$31,MATCH(A61,'جدول الجرد'!$B$2:$B$31,0)),""))</f>
        <v>السبت</v>
      </c>
      <c r="C61" s="5" t="str">
        <f>IF(A61="","",IFERROR(INDEX('جدول الجرد'!$E$2:$E$31,MATCH(A61,'جدول الجرد'!$B$2:$B$31,0)),""))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الجرد'!$A$2:$A$31,MATCH(A62,'جدول الجرد'!$B$2:$B$31,0)),""))</f>
        <v>السبت</v>
      </c>
      <c r="C62" s="5" t="str">
        <f>IF(A62="","",IFERROR(INDEX('جدول الجرد'!$E$2:$E$31,MATCH(A62,'جدول الجرد'!$B$2:$B$31,0)),""))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inlineStr">
        <is>
          <t>2026-10-04</t>
        </is>
      </c>
      <c r="B63" s="5" t="str">
        <f>IF(A63="","",IFERROR(INDEX('جدول الجرد'!$A$2:$A$31,MATCH(A63,'جدول الجرد'!$B$2:$B$31,0)),""))</f>
        <v>الأحد</v>
      </c>
      <c r="C63" s="5" t="str">
        <f>IF(A63="","",IFERROR(INDEX('جدول الجرد'!$E$2:$E$31,MATCH(A63,'جدول الجرد'!$B$2:$B$31,0)),""))</f>
        <v>الحوطة</v>
      </c>
      <c r="D63" s="4" t="n">
        <v>32</v>
      </c>
      <c r="E63" s="4" t="inlineStr">
        <is>
          <t>د. حسام شلش</t>
        </is>
      </c>
      <c r="F63" s="4" t="inlineStr">
        <is>
          <t>نعم</t>
        </is>
      </c>
      <c r="G63" s="4" t="inlineStr">
        <is>
          <t>نعم</t>
        </is>
      </c>
      <c r="H63" s="5" t="str">
        <f>IF(E63="","",IF(AND(F63="نعم",G63="نعم"),"جرد + مراجعة",IF(F63="نعم","جرد فقط",IF(G63="نعم","مراجعة فقط",""))))</f>
        <v>جرد + مراجعة</v>
      </c>
      <c r="I63" s="9">
        <f>IF(H63="جرد + مراجعة",الإعدادات!$B$2,IF(H63="مراجعة فقط",الإعدادات!$B$3,IF(H63="جرد فقط",الإعدادات!$B$4,0)))</f>
        <v>200</v>
      </c>
    </row>
    <row r="64">
      <c r="A64" s="4" t="inlineStr">
        <is>
          <t>2026-10-04</t>
        </is>
      </c>
      <c r="B64" s="5" t="str">
        <f>IF(A64="","",IFERROR(INDEX('جدول الجرد'!$A$2:$A$31,MATCH(A64,'جدول الجرد'!$B$2:$B$31,0)),""))</f>
        <v>الأحد</v>
      </c>
      <c r="C64" s="5" t="str">
        <f>IF(A64="","",IFERROR(INDEX('جدول الجرد'!$E$2:$E$31,MATCH(A64,'جدول الجرد'!$B$2:$B$31,0)),""))</f>
        <v>الحوطة</v>
      </c>
      <c r="D64" s="4" t="n">
        <v>32</v>
      </c>
      <c r="E64" s="4" t="inlineStr">
        <is>
          <t>د. السيد حسن</t>
        </is>
      </c>
      <c r="F64" s="4" t="inlineStr"/>
      <c r="G64" s="4" t="inlineStr">
        <is>
          <t>نعم</t>
        </is>
      </c>
      <c r="H64" s="5" t="str">
        <f>IF(E64="","",IF(AND(F64="نعم",G64="نعم"),"جرد + مراجعة",IF(F64="نعم","جرد فقط",IF(G64="نعم","مراجعة فقط",""))))</f>
        <v>مراجعة فقط</v>
      </c>
      <c r="I64" s="9">
        <f>IF(H64="جرد + مراجعة",الإعدادات!$B$2,IF(H64="مراجعة فقط",الإعدادات!$B$3,IF(H64="جرد فقط",الإعدادات!$B$4,0)))</f>
        <v>150</v>
      </c>
    </row>
    <row r="65">
      <c r="A65" s="4" t="inlineStr">
        <is>
          <t>2026-10-04</t>
        </is>
      </c>
      <c r="B65" s="5" t="str">
        <f>IF(A65="","",IFERROR(INDEX('جدول الجرد'!$A$2:$A$31,MATCH(A65,'جدول الجرد'!$B$2:$B$31,0)),""))</f>
        <v>الأحد</v>
      </c>
      <c r="C65" s="5" t="str">
        <f>IF(A65="","",IFERROR(INDEX('جدول الجرد'!$E$2:$E$31,MATCH(A65,'جدول الجرد'!$B$2:$B$31,0)),""))</f>
        <v>الحوطة</v>
      </c>
      <c r="D65" s="4" t="n">
        <v>32</v>
      </c>
      <c r="E65" s="4" t="inlineStr">
        <is>
          <t>د. الحسن الغنيمي</t>
        </is>
      </c>
      <c r="F65" s="4" t="inlineStr"/>
      <c r="G65" s="4" t="inlineStr">
        <is>
          <t>نعم</t>
        </is>
      </c>
      <c r="H65" s="5" t="str">
        <f>IF(E65="","",IF(AND(F65="نعم",G65="نعم"),"جرد + مراجعة",IF(F65="نعم","جرد فقط",IF(G65="نعم","مراجعة فقط",""))))</f>
        <v>مراجعة فقط</v>
      </c>
      <c r="I65" s="9">
        <f>IF(H65="جرد + مراجعة",الإعدادات!$B$2,IF(H65="مراجعة فقط",الإعدادات!$B$3,IF(H65="جرد فقط",الإعدادات!$B$4,0)))</f>
        <v>150</v>
      </c>
    </row>
    <row r="66">
      <c r="A66" s="4" t="inlineStr">
        <is>
          <t>2026-10-04</t>
        </is>
      </c>
      <c r="B66" s="5" t="str">
        <f>IF(A66="","",IFERROR(INDEX('جدول الجرد'!$A$2:$A$31,MATCH(A66,'جدول الجرد'!$B$2:$B$31,0)),""))</f>
        <v>الأحد</v>
      </c>
      <c r="C66" s="5" t="str">
        <f>IF(A66="","",IFERROR(INDEX('جدول الجرد'!$E$2:$E$31,MATCH(A66,'جدول الجرد'!$B$2:$B$31,0)),""))</f>
        <v>الحوطة</v>
      </c>
      <c r="D66" s="4" t="n">
        <v>32</v>
      </c>
      <c r="E66" s="4" t="inlineStr">
        <is>
          <t>د. محمد جمال</t>
        </is>
      </c>
      <c r="F66" s="4" t="inlineStr"/>
      <c r="G66" s="4" t="inlineStr">
        <is>
          <t>نعم</t>
        </is>
      </c>
      <c r="H66" s="5" t="str">
        <f>IF(E66="","",IF(AND(F66="نعم",G66="نعم"),"جرد + مراجعة",IF(F66="نعم","جرد فقط",IF(G66="نعم","مراجعة فقط",""))))</f>
        <v>مراجعة فقط</v>
      </c>
      <c r="I66" s="9">
        <f>IF(H66="جرد + مراجعة",الإعدادات!$B$2,IF(H66="مراجعة فقط",الإعدادات!$B$3,IF(H66="جرد فقط",الإعدادات!$B$4,0)))</f>
        <v>150</v>
      </c>
    </row>
    <row r="67">
      <c r="A67" s="4" t="inlineStr">
        <is>
          <t>2026-10-04</t>
        </is>
      </c>
      <c r="B67" s="5" t="str">
        <f>IF(A67="","",IFERROR(INDEX('جدول الجرد'!$A$2:$A$31,MATCH(A67,'جدول الجرد'!$B$2:$B$31,0)),""))</f>
        <v>الأحد</v>
      </c>
      <c r="C67" s="5" t="str">
        <f>IF(A67="","",IFERROR(INDEX('جدول الجرد'!$E$2:$E$31,MATCH(A67,'جدول الجرد'!$B$2:$B$31,0)),""))</f>
        <v>الحوطة</v>
      </c>
      <c r="D67" s="4" t="n">
        <v>39</v>
      </c>
      <c r="E67" s="4" t="inlineStr">
        <is>
          <t>د. حسام شلش</t>
        </is>
      </c>
      <c r="F67" s="4" t="inlineStr">
        <is>
          <t>نعم</t>
        </is>
      </c>
      <c r="G67" s="4" t="inlineStr">
        <is>
          <t>نعم</t>
        </is>
      </c>
      <c r="H67" s="5" t="str">
        <f>IF(E67="","",IF(AND(F67="نعم",G67="نعم"),"جرد + مراجعة",IF(F67="نعم","جرد فقط",IF(G67="نعم","مراجعة فقط",""))))</f>
        <v>جرد + مراجعة</v>
      </c>
      <c r="I67" s="9">
        <f>IF(H67="جرد + مراجعة",الإعدادات!$B$2,IF(H67="مراجعة فقط",الإعدادات!$B$3,IF(H67="جرد فقط",الإعدادات!$B$4,0)))</f>
        <v>200</v>
      </c>
    </row>
    <row r="68">
      <c r="A68" s="4" t="inlineStr">
        <is>
          <t>2026-10-04</t>
        </is>
      </c>
      <c r="B68" s="5" t="str">
        <f>IF(A68="","",IFERROR(INDEX('جدول الجرد'!$A$2:$A$31,MATCH(A68,'جدول الجرد'!$B$2:$B$31,0)),""))</f>
        <v>الأحد</v>
      </c>
      <c r="C68" s="5" t="str">
        <f>IF(A68="","",IFERROR(INDEX('جدول الجرد'!$E$2:$E$31,MATCH(A68,'جدول الجرد'!$B$2:$B$31,0)),""))</f>
        <v>الحوطة</v>
      </c>
      <c r="D68" s="4" t="n">
        <v>39</v>
      </c>
      <c r="E68" s="4" t="inlineStr">
        <is>
          <t>د. السيد حسن</t>
        </is>
      </c>
      <c r="F68" s="4" t="inlineStr"/>
      <c r="G68" s="4" t="inlineStr">
        <is>
          <t>نعم</t>
        </is>
      </c>
      <c r="H68" s="5" t="str">
        <f>IF(E68="","",IF(AND(F68="نعم",G68="نعم"),"جرد + مراجعة",IF(F68="نعم","جرد فقط",IF(G68="نعم","مراجعة فقط",""))))</f>
        <v>مراجعة فقط</v>
      </c>
      <c r="I68" s="9">
        <f>IF(H68="جرد + مراجعة",الإعدادات!$B$2,IF(H68="مراجعة فقط",الإعدادات!$B$3,IF(H68="جرد فقط",الإعدادات!$B$4,0)))</f>
        <v>150</v>
      </c>
    </row>
    <row r="69">
      <c r="A69" s="4" t="inlineStr">
        <is>
          <t>2026-10-04</t>
        </is>
      </c>
      <c r="B69" s="5" t="str">
        <f>IF(A69="","",IFERROR(INDEX('جدول الجرد'!$A$2:$A$31,MATCH(A69,'جدول الجرد'!$B$2:$B$31,0)),""))</f>
        <v>الأحد</v>
      </c>
      <c r="C69" s="5" t="str">
        <f>IF(A69="","",IFERROR(INDEX('جدول الجرد'!$E$2:$E$31,MATCH(A69,'جدول الجرد'!$B$2:$B$31,0)),""))</f>
        <v>الحوطة</v>
      </c>
      <c r="D69" s="4" t="n">
        <v>39</v>
      </c>
      <c r="E69" s="4" t="inlineStr">
        <is>
          <t>د. الحسن الغنيمي</t>
        </is>
      </c>
      <c r="F69" s="4" t="inlineStr"/>
      <c r="G69" s="4" t="inlineStr">
        <is>
          <t>نعم</t>
        </is>
      </c>
      <c r="H69" s="5" t="str">
        <f>IF(E69="","",IF(AND(F69="نعم",G69="نعم"),"جرد + مراجعة",IF(F69="نعم","جرد فقط",IF(G69="نعم","مراجعة فقط",""))))</f>
        <v>مراجعة فقط</v>
      </c>
      <c r="I69" s="9">
        <f>IF(H69="جرد + مراجعة",الإعدادات!$B$2,IF(H69="مراجعة فقط",الإعدادات!$B$3,IF(H69="جرد فقط",الإعدادات!$B$4,0)))</f>
        <v>150</v>
      </c>
    </row>
    <row r="70">
      <c r="A70" s="4" t="inlineStr">
        <is>
          <t>2026-10-04</t>
        </is>
      </c>
      <c r="B70" s="5" t="str">
        <f>IF(A70="","",IFERROR(INDEX('جدول الجرد'!$A$2:$A$31,MATCH(A70,'جدول الجرد'!$B$2:$B$31,0)),""))</f>
        <v>الأحد</v>
      </c>
      <c r="C70" s="5" t="str">
        <f>IF(A70="","",IFERROR(INDEX('جدول الجرد'!$E$2:$E$31,MATCH(A70,'جدول الجرد'!$B$2:$B$31,0)),""))</f>
        <v>الحوطة</v>
      </c>
      <c r="D70" s="4" t="n">
        <v>39</v>
      </c>
      <c r="E70" s="4" t="inlineStr">
        <is>
          <t>د. محمد جمال</t>
        </is>
      </c>
      <c r="F70" s="4" t="inlineStr"/>
      <c r="G70" s="4" t="inlineStr">
        <is>
          <t>نعم</t>
        </is>
      </c>
      <c r="H70" s="5" t="str">
        <f>IF(E70="","",IF(AND(F70="نعم",G70="نعم"),"جرد + مراجعة",IF(F70="نعم","جرد فقط",IF(G70="نعم","مراجعة فقط",""))))</f>
        <v>مراجعة فقط</v>
      </c>
      <c r="I70" s="9">
        <f>IF(H70="جرد + مراجعة",الإعدادات!$B$2,IF(H70="مراجعة فقط",الإعدادات!$B$3,IF(H70="جرد فقط",الإعدادات!$B$4,0)))</f>
        <v>150</v>
      </c>
    </row>
    <row r="71">
      <c r="A71" s="4" t="inlineStr">
        <is>
          <t>2026-10-05</t>
        </is>
      </c>
      <c r="B71" s="5" t="str">
        <f>IF(A71="","",IFERROR(INDEX('جدول الجرد'!$A$2:$A$31,MATCH(A71,'جدول الجرد'!$B$2:$B$31,0)),""))</f>
        <v>الاثنين</v>
      </c>
      <c r="C71" s="5" t="str">
        <f>IF(A71="","",IFERROR(INDEX('جدول الجرد'!$E$2:$E$31,MATCH(A71,'جدول الجرد'!$B$2:$B$31,0)),""))</f>
        <v>الأفلاج</v>
      </c>
      <c r="D71" s="4" t="n">
        <v>33</v>
      </c>
      <c r="E71" s="4" t="inlineStr">
        <is>
          <t>د. السيد حسن</t>
        </is>
      </c>
      <c r="F71" s="4" t="inlineStr">
        <is>
          <t>نعم</t>
        </is>
      </c>
      <c r="G71" s="4" t="inlineStr">
        <is>
          <t>نعم</t>
        </is>
      </c>
      <c r="H71" s="5" t="str">
        <f>IF(E71="","",IF(AND(F71="نعم",G71="نعم"),"جرد + مراجعة",IF(F71="نعم","جرد فقط",IF(G71="نعم","مراجعة فقط",""))))</f>
        <v>جرد + مراجعة</v>
      </c>
      <c r="I71" s="9">
        <f>IF(H71="جرد + مراجعة",الإعدادات!$B$2,IF(H71="مراجعة فقط",الإعدادات!$B$3,IF(H71="جرد فقط",الإعدادات!$B$4,0)))</f>
        <v>200</v>
      </c>
    </row>
    <row r="72">
      <c r="A72" s="4" t="inlineStr">
        <is>
          <t>2026-10-05</t>
        </is>
      </c>
      <c r="B72" s="5" t="str">
        <f>IF(A72="","",IFERROR(INDEX('جدول الجرد'!$A$2:$A$31,MATCH(A72,'جدول الجرد'!$B$2:$B$31,0)),""))</f>
        <v>الاثنين</v>
      </c>
      <c r="C72" s="5" t="str">
        <f>IF(A72="","",IFERROR(INDEX('جدول الجرد'!$E$2:$E$31,MATCH(A72,'جدول الجرد'!$B$2:$B$31,0)),""))</f>
        <v>الأفلاج</v>
      </c>
      <c r="D72" s="4" t="n">
        <v>33</v>
      </c>
      <c r="E72" s="4" t="inlineStr">
        <is>
          <t>د. حسام شلش</t>
        </is>
      </c>
      <c r="F72" s="4" t="inlineStr"/>
      <c r="G72" s="4" t="inlineStr">
        <is>
          <t>نعم</t>
        </is>
      </c>
      <c r="H72" s="5" t="str">
        <f>IF(E72="","",IF(AND(F72="نعم",G72="نعم"),"جرد + مراجعة",IF(F72="نعم","جرد فقط",IF(G72="نعم","مراجعة فقط",""))))</f>
        <v>مراجعة فقط</v>
      </c>
      <c r="I72" s="9">
        <f>IF(H72="جرد + مراجعة",الإعدادات!$B$2,IF(H72="مراجعة فقط",الإعدادات!$B$3,IF(H72="جرد فقط",الإعدادات!$B$4,0)))</f>
        <v>150</v>
      </c>
    </row>
    <row r="73">
      <c r="A73" s="4" t="inlineStr">
        <is>
          <t>2026-10-05</t>
        </is>
      </c>
      <c r="B73" s="5" t="str">
        <f>IF(A73="","",IFERROR(INDEX('جدول الجرد'!$A$2:$A$31,MATCH(A73,'جدول الجرد'!$B$2:$B$31,0)),""))</f>
        <v>الاثنين</v>
      </c>
      <c r="C73" s="5" t="str">
        <f>IF(A73="","",IFERROR(INDEX('جدول الجرد'!$E$2:$E$31,MATCH(A73,'جدول الجرد'!$B$2:$B$31,0)),""))</f>
        <v>الأفلاج</v>
      </c>
      <c r="D73" s="4" t="n">
        <v>33</v>
      </c>
      <c r="E73" s="4" t="inlineStr">
        <is>
          <t>د. الحسن الغنيمي</t>
        </is>
      </c>
      <c r="F73" s="4" t="inlineStr"/>
      <c r="G73" s="4" t="inlineStr">
        <is>
          <t>نعم</t>
        </is>
      </c>
      <c r="H73" s="5" t="str">
        <f>IF(E73="","",IF(AND(F73="نعم",G73="نعم"),"جرد + مراجعة",IF(F73="نعم","جرد فقط",IF(G73="نعم","مراجعة فقط",""))))</f>
        <v>مراجعة فقط</v>
      </c>
      <c r="I73" s="9">
        <f>IF(H73="جرد + مراجعة",الإعدادات!$B$2,IF(H73="مراجعة فقط",الإعدادات!$B$3,IF(H73="جرد فقط",الإعدادات!$B$4,0)))</f>
        <v>150</v>
      </c>
    </row>
    <row r="74">
      <c r="A74" s="4" t="inlineStr">
        <is>
          <t>2026-10-05</t>
        </is>
      </c>
      <c r="B74" s="5" t="str">
        <f>IF(A74="","",IFERROR(INDEX('جدول الجرد'!$A$2:$A$31,MATCH(A74,'جدول الجرد'!$B$2:$B$31,0)),""))</f>
        <v>الاثنين</v>
      </c>
      <c r="C74" s="5" t="str">
        <f>IF(A74="","",IFERROR(INDEX('جدول الجرد'!$E$2:$E$31,MATCH(A74,'جدول الجرد'!$B$2:$B$31,0)),""))</f>
        <v>الأفلاج</v>
      </c>
      <c r="D74" s="4" t="n">
        <v>33</v>
      </c>
      <c r="E74" s="4" t="inlineStr">
        <is>
          <t>د. محمد جمال</t>
        </is>
      </c>
      <c r="F74" s="4" t="inlineStr"/>
      <c r="G74" s="4" t="inlineStr">
        <is>
          <t>نعم</t>
        </is>
      </c>
      <c r="H74" s="5" t="str">
        <f>IF(E74="","",IF(AND(F74="نعم",G74="نعم"),"جرد + مراجعة",IF(F74="نعم","جرد فقط",IF(G74="نعم","مراجعة فقط",""))))</f>
        <v>مراجعة فقط</v>
      </c>
      <c r="I74" s="9">
        <f>IF(H74="جرد + مراجعة",الإعدادات!$B$2,IF(H74="مراجعة فقط",الإعدادات!$B$3,IF(H74="جرد فقط",الإعدادات!$B$4,0)))</f>
        <v>150</v>
      </c>
    </row>
    <row r="75">
      <c r="A75" s="4" t="inlineStr">
        <is>
          <t>2026-10-05</t>
        </is>
      </c>
      <c r="B75" s="5" t="str">
        <f>IF(A75="","",IFERROR(INDEX('جدول الجرد'!$A$2:$A$31,MATCH(A75,'جدول الجرد'!$B$2:$B$31,0)),""))</f>
        <v>الاثنين</v>
      </c>
      <c r="C75" s="5" t="str">
        <f>IF(A75="","",IFERROR(INDEX('جدول الجرد'!$E$2:$E$31,MATCH(A75,'جدول الجرد'!$B$2:$B$31,0)),""))</f>
        <v>الأفلاج</v>
      </c>
      <c r="D75" s="4" t="n">
        <v>34</v>
      </c>
      <c r="E75" s="4" t="inlineStr">
        <is>
          <t>د. السيد حسن</t>
        </is>
      </c>
      <c r="F75" s="4" t="inlineStr">
        <is>
          <t>نعم</t>
        </is>
      </c>
      <c r="G75" s="4" t="inlineStr">
        <is>
          <t>نعم</t>
        </is>
      </c>
      <c r="H75" s="5" t="str">
        <f>IF(E75="","",IF(AND(F75="نعم",G75="نعم"),"جرد + مراجعة",IF(F75="نعم","جرد فقط",IF(G75="نعم","مراجعة فقط",""))))</f>
        <v>جرد + مراجعة</v>
      </c>
      <c r="I75" s="9">
        <f>IF(H75="جرد + مراجعة",الإعدادات!$B$2,IF(H75="مراجعة فقط",الإعدادات!$B$3,IF(H75="جرد فقط",الإعدادات!$B$4,0)))</f>
        <v>200</v>
      </c>
    </row>
    <row r="76">
      <c r="A76" s="4" t="inlineStr">
        <is>
          <t>2026-10-05</t>
        </is>
      </c>
      <c r="B76" s="5" t="str">
        <f>IF(A76="","",IFERROR(INDEX('جدول الجرد'!$A$2:$A$31,MATCH(A76,'جدول الجرد'!$B$2:$B$31,0)),""))</f>
        <v>الاثنين</v>
      </c>
      <c r="C76" s="5" t="str">
        <f>IF(A76="","",IFERROR(INDEX('جدول الجرد'!$E$2:$E$31,MATCH(A76,'جدول الجرد'!$B$2:$B$31,0)),""))</f>
        <v>الأفلاج</v>
      </c>
      <c r="D76" s="4" t="n">
        <v>34</v>
      </c>
      <c r="E76" s="4" t="inlineStr">
        <is>
          <t>د. حسام شلش</t>
        </is>
      </c>
      <c r="F76" s="4" t="inlineStr"/>
      <c r="G76" s="4" t="inlineStr">
        <is>
          <t>نعم</t>
        </is>
      </c>
      <c r="H76" s="5" t="str">
        <f>IF(E76="","",IF(AND(F76="نعم",G76="نعم"),"جرد + مراجعة",IF(F76="نعم","جرد فقط",IF(G76="نعم","مراجعة فقط",""))))</f>
        <v>مراجعة فقط</v>
      </c>
      <c r="I76" s="9">
        <f>IF(H76="جرد + مراجعة",الإعدادات!$B$2,IF(H76="مراجعة فقط",الإعدادات!$B$3,IF(H76="جرد فقط",الإعدادات!$B$4,0)))</f>
        <v>150</v>
      </c>
    </row>
    <row r="77">
      <c r="A77" s="4" t="inlineStr">
        <is>
          <t>2026-10-05</t>
        </is>
      </c>
      <c r="B77" s="5" t="str">
        <f>IF(A77="","",IFERROR(INDEX('جدول الجرد'!$A$2:$A$31,MATCH(A77,'جدول الجرد'!$B$2:$B$31,0)),""))</f>
        <v>الاثنين</v>
      </c>
      <c r="C77" s="5" t="str">
        <f>IF(A77="","",IFERROR(INDEX('جدول الجرد'!$E$2:$E$31,MATCH(A77,'جدول الجرد'!$B$2:$B$31,0)),""))</f>
        <v>الأفلاج</v>
      </c>
      <c r="D77" s="4" t="n">
        <v>34</v>
      </c>
      <c r="E77" s="4" t="inlineStr">
        <is>
          <t>د. الحسن الغنيمي</t>
        </is>
      </c>
      <c r="F77" s="4" t="inlineStr"/>
      <c r="G77" s="4" t="inlineStr">
        <is>
          <t>نعم</t>
        </is>
      </c>
      <c r="H77" s="5" t="str">
        <f>IF(E77="","",IF(AND(F77="نعم",G77="نعم"),"جرد + مراجعة",IF(F77="نعم","جرد فقط",IF(G77="نعم","مراجعة فقط",""))))</f>
        <v>مراجعة فقط</v>
      </c>
      <c r="I77" s="9">
        <f>IF(H77="جرد + مراجعة",الإعدادات!$B$2,IF(H77="مراجعة فقط",الإعدادات!$B$3,IF(H77="جرد فقط",الإعدادات!$B$4,0)))</f>
        <v>150</v>
      </c>
    </row>
    <row r="78">
      <c r="A78" s="4" t="inlineStr">
        <is>
          <t>2026-10-05</t>
        </is>
      </c>
      <c r="B78" s="5" t="str">
        <f>IF(A78="","",IFERROR(INDEX('جدول الجرد'!$A$2:$A$31,MATCH(A78,'جدول الجرد'!$B$2:$B$31,0)),""))</f>
        <v>الاثنين</v>
      </c>
      <c r="C78" s="5" t="str">
        <f>IF(A78="","",IFERROR(INDEX('جدول الجرد'!$E$2:$E$31,MATCH(A78,'جدول الجرد'!$B$2:$B$31,0)),""))</f>
        <v>الأفلاج</v>
      </c>
      <c r="D78" s="4" t="n">
        <v>34</v>
      </c>
      <c r="E78" s="4" t="inlineStr">
        <is>
          <t>د. محمد جمال</t>
        </is>
      </c>
      <c r="F78" s="4" t="inlineStr"/>
      <c r="G78" s="4" t="inlineStr">
        <is>
          <t>نعم</t>
        </is>
      </c>
      <c r="H78" s="5" t="str">
        <f>IF(E78="","",IF(AND(F78="نعم",G78="نعم"),"جرد + مراجعة",IF(F78="نعم","جرد فقط",IF(G78="نعم","مراجعة فقط",""))))</f>
        <v>مراجعة فقط</v>
      </c>
      <c r="I78" s="9">
        <f>IF(H78="جرد + مراجعة",الإعدادات!$B$2,IF(H78="مراجعة فقط",الإعدادات!$B$3,IF(H78="جرد فقط",الإعدادات!$B$4,0)))</f>
        <v>150</v>
      </c>
    </row>
    <row r="79">
      <c r="A79" s="4" t="inlineStr">
        <is>
          <t>2026-10-06</t>
        </is>
      </c>
      <c r="B79" s="5" t="str">
        <f>IF(A79="","",IFERROR(INDEX('جدول الجرد'!$A$2:$A$31,MATCH(A79,'جدول الجرد'!$B$2:$B$31,0)),""))</f>
        <v>الثلاثاء</v>
      </c>
      <c r="C79" s="5" t="str">
        <f>IF(A79="","",IFERROR(INDEX('جدول الجرد'!$E$2:$E$31,MATCH(A79,'جدول الجرد'!$B$2:$B$31,0)),""))</f>
        <v>السليل</v>
      </c>
      <c r="D79" s="4" t="n">
        <v>35</v>
      </c>
      <c r="E79" s="4" t="inlineStr">
        <is>
          <t>د. حسام شلش</t>
        </is>
      </c>
      <c r="F79" s="4" t="inlineStr">
        <is>
          <t>نعم</t>
        </is>
      </c>
      <c r="G79" s="4" t="inlineStr">
        <is>
          <t>نعم</t>
        </is>
      </c>
      <c r="H79" s="5" t="str">
        <f>IF(E79="","",IF(AND(F79="نعم",G79="نعم"),"جرد + مراجعة",IF(F79="نعم","جرد فقط",IF(G79="نعم","مراجعة فقط",""))))</f>
        <v>جرد + مراجعة</v>
      </c>
      <c r="I79" s="9">
        <f>IF(H79="جرد + مراجعة",الإعدادات!$B$2,IF(H79="مراجعة فقط",الإعدادات!$B$3,IF(H79="جرد فقط",الإعدادات!$B$4,0)))</f>
        <v>200</v>
      </c>
    </row>
    <row r="80">
      <c r="A80" s="4" t="inlineStr">
        <is>
          <t>2026-10-06</t>
        </is>
      </c>
      <c r="B80" s="5" t="str">
        <f>IF(A80="","",IFERROR(INDEX('جدول الجرد'!$A$2:$A$31,MATCH(A80,'جدول الجرد'!$B$2:$B$31,0)),""))</f>
        <v>الثلاثاء</v>
      </c>
      <c r="C80" s="5" t="str">
        <f>IF(A80="","",IFERROR(INDEX('جدول الجرد'!$E$2:$E$31,MATCH(A80,'جدول الجرد'!$B$2:$B$31,0)),""))</f>
        <v>السليل</v>
      </c>
      <c r="D80" s="4" t="n">
        <v>35</v>
      </c>
      <c r="E80" s="4" t="inlineStr">
        <is>
          <t>د. السيد حسن</t>
        </is>
      </c>
      <c r="F80" s="4" t="inlineStr"/>
      <c r="G80" s="4" t="inlineStr">
        <is>
          <t>نعم</t>
        </is>
      </c>
      <c r="H80" s="5" t="str">
        <f>IF(E80="","",IF(AND(F80="نعم",G80="نعم"),"جرد + مراجعة",IF(F80="نعم","جرد فقط",IF(G80="نعم","مراجعة فقط",""))))</f>
        <v>مراجعة فقط</v>
      </c>
      <c r="I80" s="9">
        <f>IF(H80="جرد + مراجعة",الإعدادات!$B$2,IF(H80="مراجعة فقط",الإعدادات!$B$3,IF(H80="جرد فقط",الإعدادات!$B$4,0)))</f>
        <v>150</v>
      </c>
    </row>
    <row r="81">
      <c r="A81" s="4" t="inlineStr">
        <is>
          <t>2026-10-06</t>
        </is>
      </c>
      <c r="B81" s="5" t="str">
        <f>IF(A81="","",IFERROR(INDEX('جدول الجرد'!$A$2:$A$31,MATCH(A81,'جدول الجرد'!$B$2:$B$31,0)),""))</f>
        <v>الثلاثاء</v>
      </c>
      <c r="C81" s="5" t="str">
        <f>IF(A81="","",IFERROR(INDEX('جدول الجرد'!$E$2:$E$31,MATCH(A81,'جدول الجرد'!$B$2:$B$31,0)),""))</f>
        <v>السليل</v>
      </c>
      <c r="D81" s="4" t="n">
        <v>35</v>
      </c>
      <c r="E81" s="4" t="inlineStr">
        <is>
          <t>د. الحسن الغنيمي</t>
        </is>
      </c>
      <c r="F81" s="4" t="inlineStr"/>
      <c r="G81" s="4" t="inlineStr">
        <is>
          <t>نعم</t>
        </is>
      </c>
      <c r="H81" s="5" t="str">
        <f>IF(E81="","",IF(AND(F81="نعم",G81="نعم"),"جرد + مراجعة",IF(F81="نعم","جرد فقط",IF(G81="نعم","مراجعة فقط",""))))</f>
        <v>مراجعة فقط</v>
      </c>
      <c r="I81" s="9">
        <f>IF(H81="جرد + مراجعة",الإعدادات!$B$2,IF(H81="مراجعة فقط",الإعدادات!$B$3,IF(H81="جرد فقط",الإعدادات!$B$4,0)))</f>
        <v>150</v>
      </c>
    </row>
    <row r="82">
      <c r="A82" s="4" t="inlineStr">
        <is>
          <t>2026-10-06</t>
        </is>
      </c>
      <c r="B82" s="5" t="str">
        <f>IF(A82="","",IFERROR(INDEX('جدول الجرد'!$A$2:$A$31,MATCH(A82,'جدول الجرد'!$B$2:$B$31,0)),""))</f>
        <v>الثلاثاء</v>
      </c>
      <c r="C82" s="5" t="str">
        <f>IF(A82="","",IFERROR(INDEX('جدول الجرد'!$E$2:$E$31,MATCH(A82,'جدول الجرد'!$B$2:$B$31,0)),""))</f>
        <v>السليل</v>
      </c>
      <c r="D82" s="4" t="n">
        <v>35</v>
      </c>
      <c r="E82" s="4" t="inlineStr">
        <is>
          <t>د. محمد جمال</t>
        </is>
      </c>
      <c r="F82" s="4" t="inlineStr"/>
      <c r="G82" s="4" t="inlineStr">
        <is>
          <t>نعم</t>
        </is>
      </c>
      <c r="H82" s="5" t="str">
        <f>IF(E82="","",IF(AND(F82="نعم",G82="نعم"),"جرد + مراجعة",IF(F82="نعم","جرد فقط",IF(G82="نعم","مراجعة فقط",""))))</f>
        <v>مراجعة فقط</v>
      </c>
      <c r="I82" s="9">
        <f>IF(H82="جرد + مراجعة",الإعدادات!$B$2,IF(H82="مراجعة فقط",الإعدادات!$B$3,IF(H82="جرد فقط",الإعدادات!$B$4,0)))</f>
        <v>150</v>
      </c>
    </row>
    <row r="83">
      <c r="A83" s="4" t="inlineStr">
        <is>
          <t>2026-10-06</t>
        </is>
      </c>
      <c r="B83" s="5" t="str">
        <f>IF(A83="","",IFERROR(INDEX('جدول الجرد'!$A$2:$A$31,MATCH(A83,'جدول الجرد'!$B$2:$B$31,0)),""))</f>
        <v>الثلاثاء</v>
      </c>
      <c r="C83" s="5" t="str">
        <f>IF(A83="","",IFERROR(INDEX('جدول الجرد'!$E$2:$E$31,MATCH(A83,'جدول الجرد'!$B$2:$B$31,0)),""))</f>
        <v>السليل</v>
      </c>
      <c r="D83" s="4" t="n">
        <v>53</v>
      </c>
      <c r="E83" s="4" t="inlineStr">
        <is>
          <t>د. حسام شلش</t>
        </is>
      </c>
      <c r="F83" s="4" t="inlineStr">
        <is>
          <t>نعم</t>
        </is>
      </c>
      <c r="G83" s="4" t="inlineStr">
        <is>
          <t>نعم</t>
        </is>
      </c>
      <c r="H83" s="5" t="str">
        <f>IF(E83="","",IF(AND(F83="نعم",G83="نعم"),"جرد + مراجعة",IF(F83="نعم","جرد فقط",IF(G83="نعم","مراجعة فقط",""))))</f>
        <v>جرد + مراجعة</v>
      </c>
      <c r="I83" s="9">
        <f>IF(H83="جرد + مراجعة",الإعدادات!$B$2,IF(H83="مراجعة فقط",الإعدادات!$B$3,IF(H83="جرد فقط",الإعدادات!$B$4,0)))</f>
        <v>200</v>
      </c>
    </row>
    <row r="84">
      <c r="A84" s="4" t="inlineStr">
        <is>
          <t>2026-10-06</t>
        </is>
      </c>
      <c r="B84" s="5" t="str">
        <f>IF(A84="","",IFERROR(INDEX('جدول الجرد'!$A$2:$A$31,MATCH(A84,'جدول الجرد'!$B$2:$B$31,0)),""))</f>
        <v>الثلاثاء</v>
      </c>
      <c r="C84" s="5" t="str">
        <f>IF(A84="","",IFERROR(INDEX('جدول الجرد'!$E$2:$E$31,MATCH(A84,'جدول الجرد'!$B$2:$B$31,0)),""))</f>
        <v>السليل</v>
      </c>
      <c r="D84" s="4" t="n">
        <v>53</v>
      </c>
      <c r="E84" s="4" t="inlineStr">
        <is>
          <t>د. السيد حسن</t>
        </is>
      </c>
      <c r="F84" s="4" t="inlineStr"/>
      <c r="G84" s="4" t="inlineStr">
        <is>
          <t>نعم</t>
        </is>
      </c>
      <c r="H84" s="5" t="str">
        <f>IF(E84="","",IF(AND(F84="نعم",G84="نعم"),"جرد + مراجعة",IF(F84="نعم","جرد فقط",IF(G84="نعم","مراجعة فقط",""))))</f>
        <v>مراجعة فقط</v>
      </c>
      <c r="I84" s="9">
        <f>IF(H84="جرد + مراجعة",الإعدادات!$B$2,IF(H84="مراجعة فقط",الإعدادات!$B$3,IF(H84="جرد فقط",الإعدادات!$B$4,0)))</f>
        <v>150</v>
      </c>
    </row>
    <row r="85">
      <c r="A85" s="4" t="inlineStr">
        <is>
          <t>2026-10-06</t>
        </is>
      </c>
      <c r="B85" s="5" t="str">
        <f>IF(A85="","",IFERROR(INDEX('جدول الجرد'!$A$2:$A$31,MATCH(A85,'جدول الجرد'!$B$2:$B$31,0)),""))</f>
        <v>الثلاثاء</v>
      </c>
      <c r="C85" s="5" t="str">
        <f>IF(A85="","",IFERROR(INDEX('جدول الجرد'!$E$2:$E$31,MATCH(A85,'جدول الجرد'!$B$2:$B$31,0)),""))</f>
        <v>السليل</v>
      </c>
      <c r="D85" s="4" t="n">
        <v>53</v>
      </c>
      <c r="E85" s="4" t="inlineStr">
        <is>
          <t>د. الحسن الغنيمي</t>
        </is>
      </c>
      <c r="F85" s="4" t="inlineStr"/>
      <c r="G85" s="4" t="inlineStr">
        <is>
          <t>نعم</t>
        </is>
      </c>
      <c r="H85" s="5" t="str">
        <f>IF(E85="","",IF(AND(F85="نعم",G85="نعم"),"جرد + مراجعة",IF(F85="نعم","جرد فقط",IF(G85="نعم","مراجعة فقط",""))))</f>
        <v>مراجعة فقط</v>
      </c>
      <c r="I85" s="9">
        <f>IF(H85="جرد + مراجعة",الإعدادات!$B$2,IF(H85="مراجعة فقط",الإعدادات!$B$3,IF(H85="جرد فقط",الإعدادات!$B$4,0)))</f>
        <v>150</v>
      </c>
    </row>
    <row r="86">
      <c r="A86" s="4" t="inlineStr">
        <is>
          <t>2026-10-06</t>
        </is>
      </c>
      <c r="B86" s="5" t="str">
        <f>IF(A86="","",IFERROR(INDEX('جدول الجرد'!$A$2:$A$31,MATCH(A86,'جدول الجرد'!$B$2:$B$31,0)),""))</f>
        <v>الثلاثاء</v>
      </c>
      <c r="C86" s="5" t="str">
        <f>IF(A86="","",IFERROR(INDEX('جدول الجرد'!$E$2:$E$31,MATCH(A86,'جدول الجرد'!$B$2:$B$31,0)),""))</f>
        <v>السليل</v>
      </c>
      <c r="D86" s="4" t="n">
        <v>53</v>
      </c>
      <c r="E86" s="4" t="inlineStr">
        <is>
          <t>د. محمد جمال</t>
        </is>
      </c>
      <c r="F86" s="4" t="inlineStr"/>
      <c r="G86" s="4" t="inlineStr">
        <is>
          <t>نعم</t>
        </is>
      </c>
      <c r="H86" s="5" t="str">
        <f>IF(E86="","",IF(AND(F86="نعم",G86="نعم"),"جرد + مراجعة",IF(F86="نعم","جرد فقط",IF(G86="نعم","مراجعة فقط",""))))</f>
        <v>مراجعة فقط</v>
      </c>
      <c r="I86" s="9">
        <f>IF(H86="جرد + مراجعة",الإعدادات!$B$2,IF(H86="مراجعة فقط",الإعدادات!$B$3,IF(H86="جرد فقط",الإعدادات!$B$4,0)))</f>
        <v>150</v>
      </c>
    </row>
    <row r="87">
      <c r="A87" s="4" t="inlineStr">
        <is>
          <t>2026-10-07</t>
        </is>
      </c>
      <c r="B87" s="5" t="str">
        <f>IF(A87="","",IFERROR(INDEX('جدول الجرد'!$A$2:$A$31,MATCH(A87,'جدول الجرد'!$B$2:$B$31,0)),""))</f>
        <v>الأربعاء</v>
      </c>
      <c r="C87" s="5" t="str">
        <f>IF(A87="","",IFERROR(INDEX('جدول الجرد'!$E$2:$E$31,MATCH(A87,'جدول الجرد'!$B$2:$B$31,0)),""))</f>
        <v>تمرة - الدواسر</v>
      </c>
      <c r="D87" s="4" t="n">
        <v>46</v>
      </c>
      <c r="E87" s="4" t="inlineStr">
        <is>
          <t>د. السيد حسن</t>
        </is>
      </c>
      <c r="F87" s="4" t="inlineStr">
        <is>
          <t>نعم</t>
        </is>
      </c>
      <c r="G87" s="4" t="inlineStr">
        <is>
          <t>نعم</t>
        </is>
      </c>
      <c r="H87" s="5" t="str">
        <f>IF(E87="","",IF(AND(F87="نعم",G87="نعم"),"جرد + مراجعة",IF(F87="نعم","جرد فقط",IF(G87="نعم","مراجعة فقط",""))))</f>
        <v>جرد + مراجعة</v>
      </c>
      <c r="I87" s="9">
        <f>IF(H87="جرد + مراجعة",الإعدادات!$B$2,IF(H87="مراجعة فقط",الإعدادات!$B$3,IF(H87="جرد فقط",الإعدادات!$B$4,0)))</f>
        <v>200</v>
      </c>
    </row>
    <row r="88">
      <c r="A88" s="4" t="inlineStr">
        <is>
          <t>2026-10-07</t>
        </is>
      </c>
      <c r="B88" s="5" t="str">
        <f>IF(A88="","",IFERROR(INDEX('جدول الجرد'!$A$2:$A$31,MATCH(A88,'جدول الجرد'!$B$2:$B$31,0)),""))</f>
        <v>الأربعاء</v>
      </c>
      <c r="C88" s="5" t="str">
        <f>IF(A88="","",IFERROR(INDEX('جدول الجرد'!$E$2:$E$31,MATCH(A88,'جدول الجرد'!$B$2:$B$31,0)),""))</f>
        <v>تمرة - الدواسر</v>
      </c>
      <c r="D88" s="4" t="n">
        <v>46</v>
      </c>
      <c r="E88" s="4" t="inlineStr">
        <is>
          <t>د. حسام شلش</t>
        </is>
      </c>
      <c r="F88" s="4" t="inlineStr"/>
      <c r="G88" s="4" t="inlineStr">
        <is>
          <t>نعم</t>
        </is>
      </c>
      <c r="H88" s="5" t="str">
        <f>IF(E88="","",IF(AND(F88="نعم",G88="نعم"),"جرد + مراجعة",IF(F88="نعم","جرد فقط",IF(G88="نعم","مراجعة فقط",""))))</f>
        <v>مراجعة فقط</v>
      </c>
      <c r="I88" s="9">
        <f>IF(H88="جرد + مراجعة",الإعدادات!$B$2,IF(H88="مراجعة فقط",الإعدادات!$B$3,IF(H88="جرد فقط",الإعدادات!$B$4,0)))</f>
        <v>150</v>
      </c>
    </row>
    <row r="89">
      <c r="A89" s="4" t="inlineStr">
        <is>
          <t>2026-10-07</t>
        </is>
      </c>
      <c r="B89" s="5" t="str">
        <f>IF(A89="","",IFERROR(INDEX('جدول الجرد'!$A$2:$A$31,MATCH(A89,'جدول الجرد'!$B$2:$B$31,0)),""))</f>
        <v>الأربعاء</v>
      </c>
      <c r="C89" s="5" t="str">
        <f>IF(A89="","",IFERROR(INDEX('جدول الجرد'!$E$2:$E$31,MATCH(A89,'جدول الجرد'!$B$2:$B$31,0)),""))</f>
        <v>تمرة - الدواسر</v>
      </c>
      <c r="D89" s="4" t="n">
        <v>46</v>
      </c>
      <c r="E89" s="4" t="inlineStr">
        <is>
          <t>د. الحسن الغنيمي</t>
        </is>
      </c>
      <c r="F89" s="4" t="inlineStr"/>
      <c r="G89" s="4" t="inlineStr">
        <is>
          <t>نعم</t>
        </is>
      </c>
      <c r="H89" s="5" t="str">
        <f>IF(E89="","",IF(AND(F89="نعم",G89="نعم"),"جرد + مراجعة",IF(F89="نعم","جرد فقط",IF(G89="نعم","مراجعة فقط",""))))</f>
        <v>مراجعة فقط</v>
      </c>
      <c r="I89" s="9">
        <f>IF(H89="جرد + مراجعة",الإعدادات!$B$2,IF(H89="مراجعة فقط",الإعدادات!$B$3,IF(H89="جرد فقط",الإعدادات!$B$4,0)))</f>
        <v>150</v>
      </c>
    </row>
    <row r="90">
      <c r="A90" s="4" t="inlineStr">
        <is>
          <t>2026-10-07</t>
        </is>
      </c>
      <c r="B90" s="5" t="str">
        <f>IF(A90="","",IFERROR(INDEX('جدول الجرد'!$A$2:$A$31,MATCH(A90,'جدول الجرد'!$B$2:$B$31,0)),""))</f>
        <v>الأربعاء</v>
      </c>
      <c r="C90" s="5" t="str">
        <f>IF(A90="","",IFERROR(INDEX('جدول الجرد'!$E$2:$E$31,MATCH(A90,'جدول الجرد'!$B$2:$B$31,0)),""))</f>
        <v>تمرة - الدواسر</v>
      </c>
      <c r="D90" s="4" t="n">
        <v>46</v>
      </c>
      <c r="E90" s="4" t="inlineStr">
        <is>
          <t>د. محمد جمال</t>
        </is>
      </c>
      <c r="F90" s="4" t="inlineStr"/>
      <c r="G90" s="4" t="inlineStr">
        <is>
          <t>نعم</t>
        </is>
      </c>
      <c r="H90" s="5" t="str">
        <f>IF(E90="","",IF(AND(F90="نعم",G90="نعم"),"جرد + مراجعة",IF(F90="نعم","جرد فقط",IF(G90="نعم","مراجعة فقط",""))))</f>
        <v>مراجعة فقط</v>
      </c>
      <c r="I90" s="9">
        <f>IF(H90="جرد + مراجعة",الإعدادات!$B$2,IF(H90="مراجعة فقط",الإعدادات!$B$3,IF(H90="جرد فقط",الإعدادات!$B$4,0)))</f>
        <v>150</v>
      </c>
    </row>
    <row r="91">
      <c r="A91" s="4" t="inlineStr">
        <is>
          <t>2026-10-07</t>
        </is>
      </c>
      <c r="B91" s="5" t="str">
        <f>IF(A91="","",IFERROR(INDEX('جدول الجرد'!$A$2:$A$31,MATCH(A91,'جدول الجرد'!$B$2:$B$31,0)),""))</f>
        <v>الأربعاء</v>
      </c>
      <c r="C91" s="5" t="str">
        <f>IF(A91="","",IFERROR(INDEX('جدول الجرد'!$E$2:$E$31,MATCH(A91,'جدول الجرد'!$B$2:$B$31,0)),""))</f>
        <v>تمرة - الدواسر</v>
      </c>
      <c r="D91" s="4" t="n">
        <v>56</v>
      </c>
      <c r="E91" s="4" t="inlineStr">
        <is>
          <t>د. السيد حسن</t>
        </is>
      </c>
      <c r="F91" s="4" t="inlineStr">
        <is>
          <t>نعم</t>
        </is>
      </c>
      <c r="G91" s="4" t="inlineStr">
        <is>
          <t>نعم</t>
        </is>
      </c>
      <c r="H91" s="5" t="str">
        <f>IF(E91="","",IF(AND(F91="نعم",G91="نعم"),"جرد + مراجعة",IF(F91="نعم","جرد فقط",IF(G91="نعم","مراجعة فقط",""))))</f>
        <v>جرد + مراجعة</v>
      </c>
      <c r="I91" s="9">
        <f>IF(H91="جرد + مراجعة",الإعدادات!$B$2,IF(H91="مراجعة فقط",الإعدادات!$B$3,IF(H91="جرد فقط",الإعدادات!$B$4,0)))</f>
        <v>200</v>
      </c>
    </row>
    <row r="92">
      <c r="A92" s="4" t="inlineStr">
        <is>
          <t>2026-10-07</t>
        </is>
      </c>
      <c r="B92" s="5" t="str">
        <f>IF(A92="","",IFERROR(INDEX('جدول الجرد'!$A$2:$A$31,MATCH(A92,'جدول الجرد'!$B$2:$B$31,0)),""))</f>
        <v>الأربعاء</v>
      </c>
      <c r="C92" s="5" t="str">
        <f>IF(A92="","",IFERROR(INDEX('جدول الجرد'!$E$2:$E$31,MATCH(A92,'جدول الجرد'!$B$2:$B$31,0)),""))</f>
        <v>تمرة - الدواسر</v>
      </c>
      <c r="D92" s="4" t="n">
        <v>56</v>
      </c>
      <c r="E92" s="4" t="inlineStr">
        <is>
          <t>د. حسام شلش</t>
        </is>
      </c>
      <c r="F92" s="4" t="inlineStr"/>
      <c r="G92" s="4" t="inlineStr">
        <is>
          <t>نعم</t>
        </is>
      </c>
      <c r="H92" s="5" t="str">
        <f>IF(E92="","",IF(AND(F92="نعم",G92="نعم"),"جرد + مراجعة",IF(F92="نعم","جرد فقط",IF(G92="نعم","مراجعة فقط",""))))</f>
        <v>مراجعة فقط</v>
      </c>
      <c r="I92" s="9">
        <f>IF(H92="جرد + مراجعة",الإعدادات!$B$2,IF(H92="مراجعة فقط",الإعدادات!$B$3,IF(H92="جرد فقط",الإعدادات!$B$4,0)))</f>
        <v>150</v>
      </c>
    </row>
    <row r="93">
      <c r="A93" s="4" t="inlineStr">
        <is>
          <t>2026-10-07</t>
        </is>
      </c>
      <c r="B93" s="5" t="str">
        <f>IF(A93="","",IFERROR(INDEX('جدول الجرد'!$A$2:$A$31,MATCH(A93,'جدول الجرد'!$B$2:$B$31,0)),""))</f>
        <v>الأربعاء</v>
      </c>
      <c r="C93" s="5" t="str">
        <f>IF(A93="","",IFERROR(INDEX('جدول الجرد'!$E$2:$E$31,MATCH(A93,'جدول الجرد'!$B$2:$B$31,0)),""))</f>
        <v>تمرة - الدواسر</v>
      </c>
      <c r="D93" s="4" t="n">
        <v>56</v>
      </c>
      <c r="E93" s="4" t="inlineStr">
        <is>
          <t>د. الحسن الغنيمي</t>
        </is>
      </c>
      <c r="F93" s="4" t="inlineStr"/>
      <c r="G93" s="4" t="inlineStr">
        <is>
          <t>نعم</t>
        </is>
      </c>
      <c r="H93" s="5" t="str">
        <f>IF(E93="","",IF(AND(F93="نعم",G93="نعم"),"جرد + مراجعة",IF(F93="نعم","جرد فقط",IF(G93="نعم","مراجعة فقط",""))))</f>
        <v>مراجعة فقط</v>
      </c>
      <c r="I93" s="9">
        <f>IF(H93="جرد + مراجعة",الإعدادات!$B$2,IF(H93="مراجعة فقط",الإعدادات!$B$3,IF(H93="جرد فقط",الإعدادات!$B$4,0)))</f>
        <v>150</v>
      </c>
    </row>
    <row r="94">
      <c r="A94" s="4" t="inlineStr">
        <is>
          <t>2026-10-07</t>
        </is>
      </c>
      <c r="B94" s="5" t="str">
        <f>IF(A94="","",IFERROR(INDEX('جدول الجرد'!$A$2:$A$31,MATCH(A94,'جدول الجرد'!$B$2:$B$31,0)),""))</f>
        <v>الأربعاء</v>
      </c>
      <c r="C94" s="5" t="str">
        <f>IF(A94="","",IFERROR(INDEX('جدول الجرد'!$E$2:$E$31,MATCH(A94,'جدول الجرد'!$B$2:$B$31,0)),""))</f>
        <v>تمرة - الدواسر</v>
      </c>
      <c r="D94" s="4" t="n">
        <v>56</v>
      </c>
      <c r="E94" s="4" t="inlineStr">
        <is>
          <t>د. محمد جمال</t>
        </is>
      </c>
      <c r="F94" s="4" t="inlineStr"/>
      <c r="G94" s="4" t="inlineStr">
        <is>
          <t>نعم</t>
        </is>
      </c>
      <c r="H94" s="5" t="str">
        <f>IF(E94="","",IF(AND(F94="نعم",G94="نعم"),"جرد + مراجعة",IF(F94="نعم","جرد فقط",IF(G94="نعم","مراجعة فقط",""))))</f>
        <v>مراجعة فقط</v>
      </c>
      <c r="I94" s="9">
        <f>IF(H94="جرد + مراجعة",الإعدادات!$B$2,IF(H94="مراجعة فقط",الإعدادات!$B$3,IF(H94="جرد فقط",الإعدادات!$B$4,0)))</f>
        <v>150</v>
      </c>
    </row>
    <row r="95">
      <c r="A95" s="4" t="inlineStr">
        <is>
          <t>2026-10-08</t>
        </is>
      </c>
      <c r="B95" s="5" t="str">
        <f>IF(A95="","",IFERROR(INDEX('جدول الجرد'!$A$2:$A$31,MATCH(A95,'جدول الجرد'!$B$2:$B$31,0)),""))</f>
        <v>الخميس</v>
      </c>
      <c r="C95" s="5" t="str">
        <f>IF(A95="","",IFERROR(INDEX('جدول الجرد'!$E$2:$E$31,MATCH(A95,'جدول الجرد'!$B$2:$B$31,0)),""))</f>
        <v>الدواسر</v>
      </c>
      <c r="D95" s="4" t="n">
        <v>47</v>
      </c>
      <c r="E95" s="4" t="inlineStr">
        <is>
          <t>د. حسام شلش</t>
        </is>
      </c>
      <c r="F95" s="4" t="inlineStr">
        <is>
          <t>نعم</t>
        </is>
      </c>
      <c r="G95" s="4" t="inlineStr">
        <is>
          <t>نعم</t>
        </is>
      </c>
      <c r="H95" s="5" t="str">
        <f>IF(E95="","",IF(AND(F95="نعم",G95="نعم"),"جرد + مراجعة",IF(F95="نعم","جرد فقط",IF(G95="نعم","مراجعة فقط",""))))</f>
        <v>جرد + مراجعة</v>
      </c>
      <c r="I95" s="9">
        <f>IF(H95="جرد + مراجعة",الإعدادات!$B$2,IF(H95="مراجعة فقط",الإعدادات!$B$3,IF(H95="جرد فقط",الإعدادات!$B$4,0)))</f>
        <v>200</v>
      </c>
    </row>
    <row r="96">
      <c r="A96" s="4" t="inlineStr">
        <is>
          <t>2026-10-08</t>
        </is>
      </c>
      <c r="B96" s="5" t="str">
        <f>IF(A96="","",IFERROR(INDEX('جدول الجرد'!$A$2:$A$31,MATCH(A96,'جدول الجرد'!$B$2:$B$31,0)),""))</f>
        <v>الخميس</v>
      </c>
      <c r="C96" s="5" t="str">
        <f>IF(A96="","",IFERROR(INDEX('جدول الجرد'!$E$2:$E$31,MATCH(A96,'جدول الجرد'!$B$2:$B$31,0)),""))</f>
        <v>الدواسر</v>
      </c>
      <c r="D96" s="4" t="n">
        <v>47</v>
      </c>
      <c r="E96" s="4" t="inlineStr">
        <is>
          <t>د. السيد حسن</t>
        </is>
      </c>
      <c r="F96" s="4" t="inlineStr"/>
      <c r="G96" s="4" t="inlineStr">
        <is>
          <t>نعم</t>
        </is>
      </c>
      <c r="H96" s="5" t="str">
        <f>IF(E96="","",IF(AND(F96="نعم",G96="نعم"),"جرد + مراجعة",IF(F96="نعم","جرد فقط",IF(G96="نعم","مراجعة فقط",""))))</f>
        <v>مراجعة فقط</v>
      </c>
      <c r="I96" s="9">
        <f>IF(H96="جرد + مراجعة",الإعدادات!$B$2,IF(H96="مراجعة فقط",الإعدادات!$B$3,IF(H96="جرد فقط",الإعدادات!$B$4,0)))</f>
        <v>150</v>
      </c>
    </row>
    <row r="97">
      <c r="A97" s="4" t="inlineStr">
        <is>
          <t>2026-10-08</t>
        </is>
      </c>
      <c r="B97" s="5" t="str">
        <f>IF(A97="","",IFERROR(INDEX('جدول الجرد'!$A$2:$A$31,MATCH(A97,'جدول الجرد'!$B$2:$B$31,0)),""))</f>
        <v>الخميس</v>
      </c>
      <c r="C97" s="5" t="str">
        <f>IF(A97="","",IFERROR(INDEX('جدول الجرد'!$E$2:$E$31,MATCH(A97,'جدول الجرد'!$B$2:$B$31,0)),""))</f>
        <v>الدواسر</v>
      </c>
      <c r="D97" s="4" t="n">
        <v>47</v>
      </c>
      <c r="E97" s="4" t="inlineStr">
        <is>
          <t>د. الحسن الغنيمي</t>
        </is>
      </c>
      <c r="F97" s="4" t="inlineStr"/>
      <c r="G97" s="4" t="inlineStr">
        <is>
          <t>نعم</t>
        </is>
      </c>
      <c r="H97" s="5" t="str">
        <f>IF(E97="","",IF(AND(F97="نعم",G97="نعم"),"جرد + مراجعة",IF(F97="نعم","جرد فقط",IF(G97="نعم","مراجعة فقط",""))))</f>
        <v>مراجعة فقط</v>
      </c>
      <c r="I97" s="9">
        <f>IF(H97="جرد + مراجعة",الإعدادات!$B$2,IF(H97="مراجعة فقط",الإعدادات!$B$3,IF(H97="جرد فقط",الإعدادات!$B$4,0)))</f>
        <v>150</v>
      </c>
    </row>
    <row r="98">
      <c r="A98" s="4" t="inlineStr">
        <is>
          <t>2026-10-08</t>
        </is>
      </c>
      <c r="B98" s="5" t="str">
        <f>IF(A98="","",IFERROR(INDEX('جدول الجرد'!$A$2:$A$31,MATCH(A98,'جدول الجرد'!$B$2:$B$31,0)),""))</f>
        <v>الخميس</v>
      </c>
      <c r="C98" s="5" t="str">
        <f>IF(A98="","",IFERROR(INDEX('جدول الجرد'!$E$2:$E$31,MATCH(A98,'جدول الجرد'!$B$2:$B$31,0)),""))</f>
        <v>الدواسر</v>
      </c>
      <c r="D98" s="4" t="n">
        <v>47</v>
      </c>
      <c r="E98" s="4" t="inlineStr">
        <is>
          <t>د. محمد جمال</t>
        </is>
      </c>
      <c r="F98" s="4" t="inlineStr"/>
      <c r="G98" s="4" t="inlineStr">
        <is>
          <t>نعم</t>
        </is>
      </c>
      <c r="H98" s="5" t="str">
        <f>IF(E98="","",IF(AND(F98="نعم",G98="نعم"),"جرد + مراجعة",IF(F98="نعم","جرد فقط",IF(G98="نعم","مراجعة فقط",""))))</f>
        <v>مراجعة فقط</v>
      </c>
      <c r="I98" s="9">
        <f>IF(H98="جرد + مراجعة",الإعدادات!$B$2,IF(H98="مراجعة فقط",الإعدادات!$B$3,IF(H98="جرد فقط",الإعدادات!$B$4,0)))</f>
        <v>150</v>
      </c>
    </row>
    <row r="99">
      <c r="A99" s="4" t="inlineStr">
        <is>
          <t>2026-10-08</t>
        </is>
      </c>
      <c r="B99" s="5" t="str">
        <f>IF(A99="","",IFERROR(INDEX('جدول الجرد'!$A$2:$A$31,MATCH(A99,'جدول الجرد'!$B$2:$B$31,0)),""))</f>
        <v>الخميس</v>
      </c>
      <c r="C99" s="5" t="str">
        <f>IF(A99="","",IFERROR(INDEX('جدول الجرد'!$E$2:$E$31,MATCH(A99,'جدول الجرد'!$B$2:$B$31,0)),""))</f>
        <v>الدواسر</v>
      </c>
      <c r="D99" s="4" t="n">
        <v>37</v>
      </c>
      <c r="E99" s="4" t="inlineStr">
        <is>
          <t>د. حسام شلش</t>
        </is>
      </c>
      <c r="F99" s="4" t="inlineStr">
        <is>
          <t>نعم</t>
        </is>
      </c>
      <c r="G99" s="4" t="inlineStr">
        <is>
          <t>نعم</t>
        </is>
      </c>
      <c r="H99" s="5" t="str">
        <f>IF(E99="","",IF(AND(F99="نعم",G99="نعم"),"جرد + مراجعة",IF(F99="نعم","جرد فقط",IF(G99="نعم","مراجعة فقط",""))))</f>
        <v>جرد + مراجعة</v>
      </c>
      <c r="I99" s="9">
        <f>IF(H99="جرد + مراجعة",الإعدادات!$B$2,IF(H99="مراجعة فقط",الإعدادات!$B$3,IF(H99="جرد فقط",الإعدادات!$B$4,0)))</f>
        <v>200</v>
      </c>
    </row>
    <row r="100">
      <c r="A100" s="4" t="inlineStr">
        <is>
          <t>2026-10-08</t>
        </is>
      </c>
      <c r="B100" s="5" t="str">
        <f>IF(A100="","",IFERROR(INDEX('جدول الجرد'!$A$2:$A$31,MATCH(A100,'جدول الجرد'!$B$2:$B$31,0)),""))</f>
        <v>الخميس</v>
      </c>
      <c r="C100" s="5" t="str">
        <f>IF(A100="","",IFERROR(INDEX('جدول الجرد'!$E$2:$E$31,MATCH(A100,'جدول الجرد'!$B$2:$B$31,0)),""))</f>
        <v>الدواسر</v>
      </c>
      <c r="D100" s="4" t="n">
        <v>37</v>
      </c>
      <c r="E100" s="4" t="inlineStr">
        <is>
          <t>د. السيد حسن</t>
        </is>
      </c>
      <c r="F100" s="4" t="inlineStr"/>
      <c r="G100" s="4" t="inlineStr">
        <is>
          <t>نعم</t>
        </is>
      </c>
      <c r="H100" s="5" t="str">
        <f>IF(E100="","",IF(AND(F100="نعم",G100="نعم"),"جرد + مراجعة",IF(F100="نعم","جرد فقط",IF(G100="نعم","مراجعة فقط",""))))</f>
        <v>مراجعة فقط</v>
      </c>
      <c r="I100" s="9">
        <f>IF(H100="جرد + مراجعة",الإعدادات!$B$2,IF(H100="مراجعة فقط",الإعدادات!$B$3,IF(H100="جرد فقط",الإعدادات!$B$4,0)))</f>
        <v>150</v>
      </c>
    </row>
    <row r="101">
      <c r="A101" s="4" t="inlineStr">
        <is>
          <t>2026-10-08</t>
        </is>
      </c>
      <c r="B101" s="5" t="str">
        <f>IF(A101="","",IFERROR(INDEX('جدول الجرد'!$A$2:$A$31,MATCH(A101,'جدول الجرد'!$B$2:$B$31,0)),""))</f>
        <v>الخميس</v>
      </c>
      <c r="C101" s="5" t="str">
        <f>IF(A101="","",IFERROR(INDEX('جدول الجرد'!$E$2:$E$31,MATCH(A101,'جدول الجرد'!$B$2:$B$31,0)),""))</f>
        <v>الدواسر</v>
      </c>
      <c r="D101" s="4" t="n">
        <v>37</v>
      </c>
      <c r="E101" s="4" t="inlineStr">
        <is>
          <t>د. الحسن الغنيمي</t>
        </is>
      </c>
      <c r="F101" s="4" t="inlineStr"/>
      <c r="G101" s="4" t="inlineStr">
        <is>
          <t>نعم</t>
        </is>
      </c>
      <c r="H101" s="5" t="str">
        <f>IF(E101="","",IF(AND(F101="نعم",G101="نعم"),"جرد + مراجعة",IF(F101="نعم","جرد فقط",IF(G101="نعم","مراجعة فقط",""))))</f>
        <v>مراجعة فقط</v>
      </c>
      <c r="I101" s="9">
        <f>IF(H101="جرد + مراجعة",الإعدادات!$B$2,IF(H101="مراجعة فقط",الإعدادات!$B$3,IF(H101="جرد فقط",الإعدادات!$B$4,0)))</f>
        <v>150</v>
      </c>
    </row>
    <row r="102">
      <c r="A102" s="4" t="inlineStr">
        <is>
          <t>2026-10-08</t>
        </is>
      </c>
      <c r="B102" s="5" t="str">
        <f>IF(A102="","",IFERROR(INDEX('جدول الجرد'!$A$2:$A$31,MATCH(A102,'جدول الجرد'!$B$2:$B$31,0)),""))</f>
        <v>الخميس</v>
      </c>
      <c r="C102" s="5" t="str">
        <f>IF(A102="","",IFERROR(INDEX('جدول الجرد'!$E$2:$E$31,MATCH(A102,'جدول الجرد'!$B$2:$B$31,0)),""))</f>
        <v>الدواسر</v>
      </c>
      <c r="D102" s="4" t="n">
        <v>37</v>
      </c>
      <c r="E102" s="4" t="inlineStr">
        <is>
          <t>د. محمد جمال</t>
        </is>
      </c>
      <c r="F102" s="4" t="inlineStr"/>
      <c r="G102" s="4" t="inlineStr">
        <is>
          <t>نعم</t>
        </is>
      </c>
      <c r="H102" s="5" t="str">
        <f>IF(E102="","",IF(AND(F102="نعم",G102="نعم"),"جرد + مراجعة",IF(F102="نعم","جرد فقط",IF(G102="نعم","مراجعة فقط",""))))</f>
        <v>مراجعة فقط</v>
      </c>
      <c r="I102" s="9">
        <f>IF(H102="جرد + مراجعة",الإعدادات!$B$2,IF(H102="مراجعة فقط",الإعدادات!$B$3,IF(H102="جرد فقط",الإعدادات!$B$4,0)))</f>
        <v>150</v>
      </c>
    </row>
    <row r="103">
      <c r="A103" s="4" t="inlineStr">
        <is>
          <t>2026-10-09</t>
        </is>
      </c>
      <c r="B103" s="5" t="str">
        <f>IF(A103="","",IFERROR(INDEX('جدول الجرد'!$A$2:$A$31,MATCH(A103,'جدول الجرد'!$B$2:$B$31,0)),""))</f>
        <v>الجمعة</v>
      </c>
      <c r="C103" s="5" t="str">
        <f>IF(A103="","",IFERROR(INDEX('جدول الجرد'!$E$2:$E$31,MATCH(A103,'جدول الجرد'!$B$2:$B$31,0)),""))</f>
        <v>الدواسر</v>
      </c>
      <c r="D103" s="4" t="n">
        <v>38</v>
      </c>
      <c r="E103" s="4" t="inlineStr">
        <is>
          <t>د. السيد حسن</t>
        </is>
      </c>
      <c r="F103" s="4" t="inlineStr">
        <is>
          <t>نعم</t>
        </is>
      </c>
      <c r="G103" s="4" t="inlineStr">
        <is>
          <t>نعم</t>
        </is>
      </c>
      <c r="H103" s="5" t="str">
        <f>IF(E103="","",IF(AND(F103="نعم",G103="نعم"),"جرد + مراجعة",IF(F103="نعم","جرد فقط",IF(G103="نعم","مراجعة فقط",""))))</f>
        <v>جرد + مراجعة</v>
      </c>
      <c r="I103" s="9">
        <f>IF(H103="جرد + مراجعة",الإعدادات!$B$2,IF(H103="مراجعة فقط",الإعدادات!$B$3,IF(H103="جرد فقط",الإعدادات!$B$4,0)))</f>
        <v>200</v>
      </c>
    </row>
    <row r="104">
      <c r="A104" s="4" t="inlineStr">
        <is>
          <t>2026-10-09</t>
        </is>
      </c>
      <c r="B104" s="5" t="str">
        <f>IF(A104="","",IFERROR(INDEX('جدول الجرد'!$A$2:$A$31,MATCH(A104,'جدول الجرد'!$B$2:$B$31,0)),""))</f>
        <v>الجمعة</v>
      </c>
      <c r="C104" s="5" t="str">
        <f>IF(A104="","",IFERROR(INDEX('جدول الجرد'!$E$2:$E$31,MATCH(A104,'جدول الجرد'!$B$2:$B$31,0)),""))</f>
        <v>الدواسر</v>
      </c>
      <c r="D104" s="4" t="n">
        <v>38</v>
      </c>
      <c r="E104" s="4" t="inlineStr">
        <is>
          <t>د. حسام شلش</t>
        </is>
      </c>
      <c r="F104" s="4" t="inlineStr"/>
      <c r="G104" s="4" t="inlineStr">
        <is>
          <t>نعم</t>
        </is>
      </c>
      <c r="H104" s="5" t="str">
        <f>IF(E104="","",IF(AND(F104="نعم",G104="نعم"),"جرد + مراجعة",IF(F104="نعم","جرد فقط",IF(G104="نعم","مراجعة فقط",""))))</f>
        <v>مراجعة فقط</v>
      </c>
      <c r="I104" s="9">
        <f>IF(H104="جرد + مراجعة",الإعدادات!$B$2,IF(H104="مراجعة فقط",الإعدادات!$B$3,IF(H104="جرد فقط",الإعدادات!$B$4,0)))</f>
        <v>150</v>
      </c>
    </row>
    <row r="105">
      <c r="A105" s="4" t="inlineStr">
        <is>
          <t>2026-10-09</t>
        </is>
      </c>
      <c r="B105" s="5" t="str">
        <f>IF(A105="","",IFERROR(INDEX('جدول الجرد'!$A$2:$A$31,MATCH(A105,'جدول الجرد'!$B$2:$B$31,0)),""))</f>
        <v>الجمعة</v>
      </c>
      <c r="C105" s="5" t="str">
        <f>IF(A105="","",IFERROR(INDEX('جدول الجرد'!$E$2:$E$31,MATCH(A105,'جدول الجرد'!$B$2:$B$31,0)),""))</f>
        <v>الدواسر</v>
      </c>
      <c r="D105" s="4" t="n">
        <v>38</v>
      </c>
      <c r="E105" s="4" t="inlineStr">
        <is>
          <t>د. الحسن الغنيمي</t>
        </is>
      </c>
      <c r="F105" s="4" t="inlineStr"/>
      <c r="G105" s="4" t="inlineStr">
        <is>
          <t>نعم</t>
        </is>
      </c>
      <c r="H105" s="5" t="str">
        <f>IF(E105="","",IF(AND(F105="نعم",G105="نعم"),"جرد + مراجعة",IF(F105="نعم","جرد فقط",IF(G105="نعم","مراجعة فقط",""))))</f>
        <v>مراجعة فقط</v>
      </c>
      <c r="I105" s="9">
        <f>IF(H105="جرد + مراجعة",الإعدادات!$B$2,IF(H105="مراجعة فقط",الإعدادات!$B$3,IF(H105="جرد فقط",الإعدادات!$B$4,0)))</f>
        <v>150</v>
      </c>
    </row>
    <row r="106">
      <c r="A106" s="4" t="inlineStr">
        <is>
          <t>2026-10-09</t>
        </is>
      </c>
      <c r="B106" s="5" t="str">
        <f>IF(A106="","",IFERROR(INDEX('جدول الجرد'!$A$2:$A$31,MATCH(A106,'جدول الجرد'!$B$2:$B$31,0)),""))</f>
        <v>الجمعة</v>
      </c>
      <c r="C106" s="5" t="str">
        <f>IF(A106="","",IFERROR(INDEX('جدول الجرد'!$E$2:$E$31,MATCH(A106,'جدول الجرد'!$B$2:$B$31,0)),""))</f>
        <v>الدواسر</v>
      </c>
      <c r="D106" s="4" t="n">
        <v>38</v>
      </c>
      <c r="E106" s="4" t="inlineStr">
        <is>
          <t>د. محمد جمال</t>
        </is>
      </c>
      <c r="F106" s="4" t="inlineStr"/>
      <c r="G106" s="4" t="inlineStr">
        <is>
          <t>نعم</t>
        </is>
      </c>
      <c r="H106" s="5" t="str">
        <f>IF(E106="","",IF(AND(F106="نعم",G106="نعم"),"جرد + مراجعة",IF(F106="نعم","جرد فقط",IF(G106="نعم","مراجعة فقط",""))))</f>
        <v>مراجعة فقط</v>
      </c>
      <c r="I106" s="9">
        <f>IF(H106="جرد + مراجعة",الإعدادات!$B$2,IF(H106="مراجعة فقط",الإعدادات!$B$3,IF(H106="جرد فقط",الإعدادات!$B$4,0)))</f>
        <v>150</v>
      </c>
    </row>
    <row r="107">
      <c r="A107" s="4" t="inlineStr">
        <is>
          <t>2026-10-09</t>
        </is>
      </c>
      <c r="B107" s="5" t="str">
        <f>IF(A107="","",IFERROR(INDEX('جدول الجرد'!$A$2:$A$31,MATCH(A107,'جدول الجرد'!$B$2:$B$31,0)),""))</f>
        <v>الجمعة</v>
      </c>
      <c r="C107" s="5" t="str">
        <f>IF(A107="","",IFERROR(INDEX('جدول الجرد'!$E$2:$E$31,MATCH(A107,'جدول الجرد'!$B$2:$B$31,0)),""))</f>
        <v>الدواسر</v>
      </c>
      <c r="D107" s="4" t="n">
        <v>59</v>
      </c>
      <c r="E107" s="4" t="inlineStr">
        <is>
          <t>د. السيد حسن</t>
        </is>
      </c>
      <c r="F107" s="4" t="inlineStr">
        <is>
          <t>نعم</t>
        </is>
      </c>
      <c r="G107" s="4" t="inlineStr">
        <is>
          <t>نعم</t>
        </is>
      </c>
      <c r="H107" s="5" t="str">
        <f>IF(E107="","",IF(AND(F107="نعم",G107="نعم"),"جرد + مراجعة",IF(F107="نعم","جرد فقط",IF(G107="نعم","مراجعة فقط",""))))</f>
        <v>جرد + مراجعة</v>
      </c>
      <c r="I107" s="9">
        <f>IF(H107="جرد + مراجعة",الإعدادات!$B$2,IF(H107="مراجعة فقط",الإعدادات!$B$3,IF(H107="جرد فقط",الإعدادات!$B$4,0)))</f>
        <v>200</v>
      </c>
    </row>
    <row r="108">
      <c r="A108" s="4" t="inlineStr">
        <is>
          <t>2026-10-09</t>
        </is>
      </c>
      <c r="B108" s="5" t="str">
        <f>IF(A108="","",IFERROR(INDEX('جدول الجرد'!$A$2:$A$31,MATCH(A108,'جدول الجرد'!$B$2:$B$31,0)),""))</f>
        <v>الجمعة</v>
      </c>
      <c r="C108" s="5" t="str">
        <f>IF(A108="","",IFERROR(INDEX('جدول الجرد'!$E$2:$E$31,MATCH(A108,'جدول الجرد'!$B$2:$B$31,0)),""))</f>
        <v>الدواسر</v>
      </c>
      <c r="D108" s="4" t="n">
        <v>59</v>
      </c>
      <c r="E108" s="4" t="inlineStr">
        <is>
          <t>د. حسام شلش</t>
        </is>
      </c>
      <c r="F108" s="4" t="inlineStr"/>
      <c r="G108" s="4" t="inlineStr">
        <is>
          <t>نعم</t>
        </is>
      </c>
      <c r="H108" s="5" t="str">
        <f>IF(E108="","",IF(AND(F108="نعم",G108="نعم"),"جرد + مراجعة",IF(F108="نعم","جرد فقط",IF(G108="نعم","مراجعة فقط",""))))</f>
        <v>مراجعة فقط</v>
      </c>
      <c r="I108" s="9">
        <f>IF(H108="جرد + مراجعة",الإعدادات!$B$2,IF(H108="مراجعة فقط",الإعدادات!$B$3,IF(H108="جرد فقط",الإعدادات!$B$4,0)))</f>
        <v>150</v>
      </c>
    </row>
    <row r="109">
      <c r="A109" s="4" t="inlineStr">
        <is>
          <t>2026-10-09</t>
        </is>
      </c>
      <c r="B109" s="5" t="str">
        <f>IF(A109="","",IFERROR(INDEX('جدول الجرد'!$A$2:$A$31,MATCH(A109,'جدول الجرد'!$B$2:$B$31,0)),""))</f>
        <v>الجمعة</v>
      </c>
      <c r="C109" s="5" t="str">
        <f>IF(A109="","",IFERROR(INDEX('جدول الجرد'!$E$2:$E$31,MATCH(A109,'جدول الجرد'!$B$2:$B$31,0)),""))</f>
        <v>الدواسر</v>
      </c>
      <c r="D109" s="4" t="n">
        <v>59</v>
      </c>
      <c r="E109" s="4" t="inlineStr">
        <is>
          <t>د. الحسن الغنيمي</t>
        </is>
      </c>
      <c r="F109" s="4" t="inlineStr"/>
      <c r="G109" s="4" t="inlineStr">
        <is>
          <t>نعم</t>
        </is>
      </c>
      <c r="H109" s="5" t="str">
        <f>IF(E109="","",IF(AND(F109="نعم",G109="نعم"),"جرد + مراجعة",IF(F109="نعم","جرد فقط",IF(G109="نعم","مراجعة فقط",""))))</f>
        <v>مراجعة فقط</v>
      </c>
      <c r="I109" s="9">
        <f>IF(H109="جرد + مراجعة",الإعدادات!$B$2,IF(H109="مراجعة فقط",الإعدادات!$B$3,IF(H109="جرد فقط",الإعدادات!$B$4,0)))</f>
        <v>150</v>
      </c>
    </row>
    <row r="110">
      <c r="A110" s="4" t="inlineStr">
        <is>
          <t>2026-10-09</t>
        </is>
      </c>
      <c r="B110" s="5" t="str">
        <f>IF(A110="","",IFERROR(INDEX('جدول الجرد'!$A$2:$A$31,MATCH(A110,'جدول الجرد'!$B$2:$B$31,0)),""))</f>
        <v>الجمعة</v>
      </c>
      <c r="C110" s="5" t="str">
        <f>IF(A110="","",IFERROR(INDEX('جدول الجرد'!$E$2:$E$31,MATCH(A110,'جدول الجرد'!$B$2:$B$31,0)),""))</f>
        <v>الدواسر</v>
      </c>
      <c r="D110" s="4" t="n">
        <v>59</v>
      </c>
      <c r="E110" s="4" t="inlineStr">
        <is>
          <t>د. محمد جمال</t>
        </is>
      </c>
      <c r="F110" s="4" t="inlineStr"/>
      <c r="G110" s="4" t="inlineStr">
        <is>
          <t>نعم</t>
        </is>
      </c>
      <c r="H110" s="5" t="str">
        <f>IF(E110="","",IF(AND(F110="نعم",G110="نعم"),"جرد + مراجعة",IF(F110="نعم","جرد فقط",IF(G110="نعم","مراجعة فقط",""))))</f>
        <v>مراجعة فقط</v>
      </c>
      <c r="I110" s="9">
        <f>IF(H110="جرد + مراجعة",الإعدادات!$B$2,IF(H110="مراجعة فقط",الإعدادات!$B$3,IF(H110="جرد فقط",الإعدادات!$B$4,0)))</f>
        <v>150</v>
      </c>
    </row>
    <row r="111">
      <c r="A111" s="4" t="inlineStr">
        <is>
          <t>2026-10-10</t>
        </is>
      </c>
      <c r="B111" s="5" t="str">
        <f>IF(A111="","",IFERROR(INDEX('جدول الجرد'!$A$2:$A$31,MATCH(A111,'جدول الجرد'!$B$2:$B$31,0)),""))</f>
        <v>السبت</v>
      </c>
      <c r="C111" s="5" t="str">
        <f>IF(A111="","",IFERROR(INDEX('جدول الجرد'!$E$2:$E$31,MATCH(A111,'جدول الجرد'!$B$2:$B$31,0)),""))</f>
        <v>الدواسر</v>
      </c>
      <c r="D111" s="4" t="n">
        <v>36</v>
      </c>
      <c r="E111" s="4" t="inlineStr">
        <is>
          <t>د. حسام شلش</t>
        </is>
      </c>
      <c r="F111" s="4" t="inlineStr">
        <is>
          <t>نعم</t>
        </is>
      </c>
      <c r="G111" s="4" t="inlineStr">
        <is>
          <t>نعم</t>
        </is>
      </c>
      <c r="H111" s="5" t="str">
        <f>IF(E111="","",IF(AND(F111="نعم",G111="نعم"),"جرد + مراجعة",IF(F111="نعم","جرد فقط",IF(G111="نعم","مراجعة فقط",""))))</f>
        <v>جرد + مراجعة</v>
      </c>
      <c r="I111" s="9">
        <f>IF(H111="جرد + مراجعة",الإعدادات!$B$2,IF(H111="مراجعة فقط",الإعدادات!$B$3,IF(H111="جرد فقط",الإعدادات!$B$4,0)))</f>
        <v>200</v>
      </c>
    </row>
    <row r="112">
      <c r="A112" s="4" t="inlineStr">
        <is>
          <t>2026-10-10</t>
        </is>
      </c>
      <c r="B112" s="5" t="str">
        <f>IF(A112="","",IFERROR(INDEX('جدول الجرد'!$A$2:$A$31,MATCH(A112,'جدول الجرد'!$B$2:$B$31,0)),""))</f>
        <v>السبت</v>
      </c>
      <c r="C112" s="5" t="str">
        <f>IF(A112="","",IFERROR(INDEX('جدول الجرد'!$E$2:$E$31,MATCH(A112,'جدول الجرد'!$B$2:$B$31,0)),""))</f>
        <v>الدواسر</v>
      </c>
      <c r="D112" s="4" t="n">
        <v>36</v>
      </c>
      <c r="E112" s="4" t="inlineStr">
        <is>
          <t>د. السيد حسن</t>
        </is>
      </c>
      <c r="F112" s="4" t="inlineStr"/>
      <c r="G112" s="4" t="inlineStr">
        <is>
          <t>نعم</t>
        </is>
      </c>
      <c r="H112" s="5" t="str">
        <f>IF(E112="","",IF(AND(F112="نعم",G112="نعم"),"جرد + مراجعة",IF(F112="نعم","جرد فقط",IF(G112="نعم","مراجعة فقط",""))))</f>
        <v>مراجعة فقط</v>
      </c>
      <c r="I112" s="9">
        <f>IF(H112="جرد + مراجعة",الإعدادات!$B$2,IF(H112="مراجعة فقط",الإعدادات!$B$3,IF(H112="جرد فقط",الإعدادات!$B$4,0)))</f>
        <v>150</v>
      </c>
    </row>
    <row r="113">
      <c r="A113" s="4" t="inlineStr">
        <is>
          <t>2026-10-10</t>
        </is>
      </c>
      <c r="B113" s="5" t="str">
        <f>IF(A113="","",IFERROR(INDEX('جدول الجرد'!$A$2:$A$31,MATCH(A113,'جدول الجرد'!$B$2:$B$31,0)),""))</f>
        <v>السبت</v>
      </c>
      <c r="C113" s="5" t="str">
        <f>IF(A113="","",IFERROR(INDEX('جدول الجرد'!$E$2:$E$31,MATCH(A113,'جدول الجرد'!$B$2:$B$31,0)),""))</f>
        <v>الدواسر</v>
      </c>
      <c r="D113" s="4" t="n">
        <v>36</v>
      </c>
      <c r="E113" s="4" t="inlineStr">
        <is>
          <t>د. الحسن الغنيمي</t>
        </is>
      </c>
      <c r="F113" s="4" t="inlineStr"/>
      <c r="G113" s="4" t="inlineStr">
        <is>
          <t>نعم</t>
        </is>
      </c>
      <c r="H113" s="5" t="str">
        <f>IF(E113="","",IF(AND(F113="نعم",G113="نعم"),"جرد + مراجعة",IF(F113="نعم","جرد فقط",IF(G113="نعم","مراجعة فقط",""))))</f>
        <v>مراجعة فقط</v>
      </c>
      <c r="I113" s="9">
        <f>IF(H113="جرد + مراجعة",الإعدادات!$B$2,IF(H113="مراجعة فقط",الإعدادات!$B$3,IF(H113="جرد فقط",الإعدادات!$B$4,0)))</f>
        <v>150</v>
      </c>
    </row>
    <row r="114">
      <c r="A114" s="4" t="inlineStr">
        <is>
          <t>2026-10-10</t>
        </is>
      </c>
      <c r="B114" s="5" t="str">
        <f>IF(A114="","",IFERROR(INDEX('جدول الجرد'!$A$2:$A$31,MATCH(A114,'جدول الجرد'!$B$2:$B$31,0)),""))</f>
        <v>السبت</v>
      </c>
      <c r="C114" s="5" t="str">
        <f>IF(A114="","",IFERROR(INDEX('جدول الجرد'!$E$2:$E$31,MATCH(A114,'جدول الجرد'!$B$2:$B$31,0)),""))</f>
        <v>الدواسر</v>
      </c>
      <c r="D114" s="4" t="n">
        <v>36</v>
      </c>
      <c r="E114" s="4" t="inlineStr">
        <is>
          <t>د. محمد جمال</t>
        </is>
      </c>
      <c r="F114" s="4" t="inlineStr"/>
      <c r="G114" s="4" t="inlineStr">
        <is>
          <t>نعم</t>
        </is>
      </c>
      <c r="H114" s="5" t="str">
        <f>IF(E114="","",IF(AND(F114="نعم",G114="نعم"),"جرد + مراجعة",IF(F114="نعم","جرد فقط",IF(G114="نعم","مراجعة فقط",""))))</f>
        <v>مراجعة فقط</v>
      </c>
      <c r="I114" s="9">
        <f>IF(H114="جرد + مراجعة",الإعدادات!$B$2,IF(H114="مراجعة فقط",الإعدادات!$B$3,IF(H114="جرد فقط",الإعدادات!$B$4,0)))</f>
        <v>150</v>
      </c>
    </row>
    <row r="115">
      <c r="A115" s="4" t="inlineStr">
        <is>
          <t>2026-10-10</t>
        </is>
      </c>
      <c r="B115" s="5" t="str">
        <f>IF(A115="","",IFERROR(INDEX('جدول الجرد'!$A$2:$A$31,MATCH(A115,'جدول الجرد'!$B$2:$B$31,0)),""))</f>
        <v>السبت</v>
      </c>
      <c r="C115" s="5" t="str">
        <f>IF(A115="","",IFERROR(INDEX('جدول الجرد'!$E$2:$E$31,MATCH(A115,'جدول الجرد'!$B$2:$B$31,0)),""))</f>
        <v>الدواسر</v>
      </c>
      <c r="D115" s="4" t="n">
        <v>57</v>
      </c>
      <c r="E115" s="4" t="inlineStr">
        <is>
          <t>د. حسام شلش</t>
        </is>
      </c>
      <c r="F115" s="4" t="inlineStr">
        <is>
          <t>نعم</t>
        </is>
      </c>
      <c r="G115" s="4" t="inlineStr">
        <is>
          <t>نعم</t>
        </is>
      </c>
      <c r="H115" s="5" t="str">
        <f>IF(E115="","",IF(AND(F115="نعم",G115="نعم"),"جرد + مراجعة",IF(F115="نعم","جرد فقط",IF(G115="نعم","مراجعة فقط",""))))</f>
        <v>جرد + مراجعة</v>
      </c>
      <c r="I115" s="9">
        <f>IF(H115="جرد + مراجعة",الإعدادات!$B$2,IF(H115="مراجعة فقط",الإعدادات!$B$3,IF(H115="جرد فقط",الإعدادات!$B$4,0)))</f>
        <v>200</v>
      </c>
    </row>
    <row r="116">
      <c r="A116" s="4" t="inlineStr">
        <is>
          <t>2026-10-10</t>
        </is>
      </c>
      <c r="B116" s="5" t="str">
        <f>IF(A116="","",IFERROR(INDEX('جدول الجرد'!$A$2:$A$31,MATCH(A116,'جدول الجرد'!$B$2:$B$31,0)),""))</f>
        <v>السبت</v>
      </c>
      <c r="C116" s="5" t="str">
        <f>IF(A116="","",IFERROR(INDEX('جدول الجرد'!$E$2:$E$31,MATCH(A116,'جدول الجرد'!$B$2:$B$31,0)),""))</f>
        <v>الدواسر</v>
      </c>
      <c r="D116" s="4" t="n">
        <v>57</v>
      </c>
      <c r="E116" s="4" t="inlineStr">
        <is>
          <t>د. السيد حسن</t>
        </is>
      </c>
      <c r="F116" s="4" t="inlineStr"/>
      <c r="G116" s="4" t="inlineStr">
        <is>
          <t>نعم</t>
        </is>
      </c>
      <c r="H116" s="5" t="str">
        <f>IF(E116="","",IF(AND(F116="نعم",G116="نعم"),"جرد + مراجعة",IF(F116="نعم","جرد فقط",IF(G116="نعم","مراجعة فقط",""))))</f>
        <v>مراجعة فقط</v>
      </c>
      <c r="I116" s="9">
        <f>IF(H116="جرد + مراجعة",الإعدادات!$B$2,IF(H116="مراجعة فقط",الإعدادات!$B$3,IF(H116="جرد فقط",الإعدادات!$B$4,0)))</f>
        <v>150</v>
      </c>
    </row>
    <row r="117">
      <c r="A117" s="4" t="inlineStr">
        <is>
          <t>2026-10-10</t>
        </is>
      </c>
      <c r="B117" s="5" t="str">
        <f>IF(A117="","",IFERROR(INDEX('جدول الجرد'!$A$2:$A$31,MATCH(A117,'جدول الجرد'!$B$2:$B$31,0)),""))</f>
        <v>السبت</v>
      </c>
      <c r="C117" s="5" t="str">
        <f>IF(A117="","",IFERROR(INDEX('جدول الجرد'!$E$2:$E$31,MATCH(A117,'جدول الجرد'!$B$2:$B$31,0)),""))</f>
        <v>الدواسر</v>
      </c>
      <c r="D117" s="4" t="n">
        <v>57</v>
      </c>
      <c r="E117" s="4" t="inlineStr">
        <is>
          <t>د. الحسن الغنيمي</t>
        </is>
      </c>
      <c r="F117" s="4" t="inlineStr"/>
      <c r="G117" s="4" t="inlineStr">
        <is>
          <t>نعم</t>
        </is>
      </c>
      <c r="H117" s="5" t="str">
        <f>IF(E117="","",IF(AND(F117="نعم",G117="نعم"),"جرد + مراجعة",IF(F117="نعم","جرد فقط",IF(G117="نعم","مراجعة فقط",""))))</f>
        <v>مراجعة فقط</v>
      </c>
      <c r="I117" s="9">
        <f>IF(H117="جرد + مراجعة",الإعدادات!$B$2,IF(H117="مراجعة فقط",الإعدادات!$B$3,IF(H117="جرد فقط",الإعدادات!$B$4,0)))</f>
        <v>150</v>
      </c>
    </row>
    <row r="118">
      <c r="A118" s="4" t="inlineStr">
        <is>
          <t>2026-10-10</t>
        </is>
      </c>
      <c r="B118" s="5" t="str">
        <f>IF(A118="","",IFERROR(INDEX('جدول الجرد'!$A$2:$A$31,MATCH(A118,'جدول الجرد'!$B$2:$B$31,0)),""))</f>
        <v>السبت</v>
      </c>
      <c r="C118" s="5" t="str">
        <f>IF(A118="","",IFERROR(INDEX('جدول الجرد'!$E$2:$E$31,MATCH(A118,'جدول الجرد'!$B$2:$B$31,0)),""))</f>
        <v>الدواسر</v>
      </c>
      <c r="D118" s="4" t="n">
        <v>57</v>
      </c>
      <c r="E118" s="4" t="inlineStr">
        <is>
          <t>د. محمد جمال</t>
        </is>
      </c>
      <c r="F118" s="4" t="inlineStr"/>
      <c r="G118" s="4" t="inlineStr">
        <is>
          <t>نعم</t>
        </is>
      </c>
      <c r="H118" s="5" t="str">
        <f>IF(E118="","",IF(AND(F118="نعم",G118="نعم"),"جرد + مراجعة",IF(F118="نعم","جرد فقط",IF(G118="نعم","مراجعة فقط",""))))</f>
        <v>مراجعة فقط</v>
      </c>
      <c r="I118" s="9">
        <f>IF(H118="جرد + مراجعة",الإعدادات!$B$2,IF(H118="مراجعة فقط",الإعدادات!$B$3,IF(H118="جرد فقط",الإعدادات!$B$4,0)))</f>
        <v>150</v>
      </c>
    </row>
    <row r="119">
      <c r="A119" s="4" t="inlineStr">
        <is>
          <t>2026-10-11</t>
        </is>
      </c>
      <c r="B119" s="5" t="str">
        <f>IF(A119="","",IFERROR(INDEX('جدول الجرد'!$A$2:$A$31,MATCH(A119,'جدول الجرد'!$B$2:$B$31,0)),""))</f>
        <v>الأحد</v>
      </c>
      <c r="C119" s="5" t="str">
        <f>IF(A119="","",IFERROR(INDEX('جدول الجرد'!$E$2:$E$31,MATCH(A119,'جدول الجرد'!$B$2:$B$31,0)),""))</f>
        <v>رنية</v>
      </c>
      <c r="D119" s="4" t="n">
        <v>48</v>
      </c>
      <c r="E119" s="4" t="inlineStr">
        <is>
          <t>د. السيد حسن</t>
        </is>
      </c>
      <c r="F119" s="4" t="inlineStr">
        <is>
          <t>نعم</t>
        </is>
      </c>
      <c r="G119" s="4" t="inlineStr">
        <is>
          <t>نعم</t>
        </is>
      </c>
      <c r="H119" s="5" t="str">
        <f>IF(E119="","",IF(AND(F119="نعم",G119="نعم"),"جرد + مراجعة",IF(F119="نعم","جرد فقط",IF(G119="نعم","مراجعة فقط",""))))</f>
        <v>جرد + مراجعة</v>
      </c>
      <c r="I119" s="9">
        <f>IF(H119="جرد + مراجعة",الإعدادات!$B$2,IF(H119="مراجعة فقط",الإعدادات!$B$3,IF(H119="جرد فقط",الإعدادات!$B$4,0)))</f>
        <v>200</v>
      </c>
    </row>
    <row r="120">
      <c r="A120" s="4" t="inlineStr">
        <is>
          <t>2026-10-11</t>
        </is>
      </c>
      <c r="B120" s="5" t="str">
        <f>IF(A120="","",IFERROR(INDEX('جدول الجرد'!$A$2:$A$31,MATCH(A120,'جدول الجرد'!$B$2:$B$31,0)),""))</f>
        <v>الأحد</v>
      </c>
      <c r="C120" s="5" t="str">
        <f>IF(A120="","",IFERROR(INDEX('جدول الجرد'!$E$2:$E$31,MATCH(A120,'جدول الجرد'!$B$2:$B$31,0)),""))</f>
        <v>رنية</v>
      </c>
      <c r="D120" s="4" t="n">
        <v>48</v>
      </c>
      <c r="E120" s="4" t="inlineStr">
        <is>
          <t>د. حسام شلش</t>
        </is>
      </c>
      <c r="F120" s="4" t="inlineStr"/>
      <c r="G120" s="4" t="inlineStr">
        <is>
          <t>نعم</t>
        </is>
      </c>
      <c r="H120" s="5" t="str">
        <f>IF(E120="","",IF(AND(F120="نعم",G120="نعم"),"جرد + مراجعة",IF(F120="نعم","جرد فقط",IF(G120="نعم","مراجعة فقط",""))))</f>
        <v>مراجعة فقط</v>
      </c>
      <c r="I120" s="9">
        <f>IF(H120="جرد + مراجعة",الإعدادات!$B$2,IF(H120="مراجعة فقط",الإعدادات!$B$3,IF(H120="جرد فقط",الإعدادات!$B$4,0)))</f>
        <v>150</v>
      </c>
    </row>
    <row r="121">
      <c r="A121" s="4" t="inlineStr">
        <is>
          <t>2026-10-11</t>
        </is>
      </c>
      <c r="B121" s="5" t="str">
        <f>IF(A121="","",IFERROR(INDEX('جدول الجرد'!$A$2:$A$31,MATCH(A121,'جدول الجرد'!$B$2:$B$31,0)),""))</f>
        <v>الأحد</v>
      </c>
      <c r="C121" s="5" t="str">
        <f>IF(A121="","",IFERROR(INDEX('جدول الجرد'!$E$2:$E$31,MATCH(A121,'جدول الجرد'!$B$2:$B$31,0)),""))</f>
        <v>رنية</v>
      </c>
      <c r="D121" s="4" t="n">
        <v>48</v>
      </c>
      <c r="E121" s="4" t="inlineStr">
        <is>
          <t>د. الحسن الغنيمي</t>
        </is>
      </c>
      <c r="F121" s="4" t="inlineStr"/>
      <c r="G121" s="4" t="inlineStr">
        <is>
          <t>نعم</t>
        </is>
      </c>
      <c r="H121" s="5" t="str">
        <f>IF(E121="","",IF(AND(F121="نعم",G121="نعم"),"جرد + مراجعة",IF(F121="نعم","جرد فقط",IF(G121="نعم","مراجعة فقط",""))))</f>
        <v>مراجعة فقط</v>
      </c>
      <c r="I121" s="9">
        <f>IF(H121="جرد + مراجعة",الإعدادات!$B$2,IF(H121="مراجعة فقط",الإعدادات!$B$3,IF(H121="جرد فقط",الإعدادات!$B$4,0)))</f>
        <v>150</v>
      </c>
    </row>
    <row r="122">
      <c r="A122" s="4" t="inlineStr">
        <is>
          <t>2026-10-11</t>
        </is>
      </c>
      <c r="B122" s="5" t="str">
        <f>IF(A122="","",IFERROR(INDEX('جدول الجرد'!$A$2:$A$31,MATCH(A122,'جدول الجرد'!$B$2:$B$31,0)),""))</f>
        <v>الأحد</v>
      </c>
      <c r="C122" s="5" t="str">
        <f>IF(A122="","",IFERROR(INDEX('جدول الجرد'!$E$2:$E$31,MATCH(A122,'جدول الجرد'!$B$2:$B$31,0)),""))</f>
        <v>رنية</v>
      </c>
      <c r="D122" s="4" t="n">
        <v>48</v>
      </c>
      <c r="E122" s="4" t="inlineStr">
        <is>
          <t>د. محمد جمال</t>
        </is>
      </c>
      <c r="F122" s="4" t="inlineStr"/>
      <c r="G122" s="4" t="inlineStr">
        <is>
          <t>نعم</t>
        </is>
      </c>
      <c r="H122" s="5" t="str">
        <f>IF(E122="","",IF(AND(F122="نعم",G122="نعم"),"جرد + مراجعة",IF(F122="نعم","جرد فقط",IF(G122="نعم","مراجعة فقط",""))))</f>
        <v>مراجعة فقط</v>
      </c>
      <c r="I122" s="9">
        <f>IF(H122="جرد + مراجعة",الإعدادات!$B$2,IF(H122="مراجعة فقط",الإعدادات!$B$3,IF(H122="جرد فقط",الإعدادات!$B$4,0)))</f>
        <v>150</v>
      </c>
    </row>
    <row r="123">
      <c r="A123" s="4" t="inlineStr">
        <is>
          <t>2026-10-11</t>
        </is>
      </c>
      <c r="B123" s="5" t="str">
        <f>IF(A123="","",IFERROR(INDEX('جدول الجرد'!$A$2:$A$31,MATCH(A123,'جدول الجرد'!$B$2:$B$31,0)),""))</f>
        <v>الأحد</v>
      </c>
      <c r="C123" s="5" t="str">
        <f>IF(A123="","",IFERROR(INDEX('جدول الجرد'!$E$2:$E$31,MATCH(A123,'جدول الجرد'!$B$2:$B$31,0)),""))</f>
        <v>رنية</v>
      </c>
      <c r="D123" s="4" t="n">
        <v>49</v>
      </c>
      <c r="E123" s="4" t="inlineStr">
        <is>
          <t>د. السيد حسن</t>
        </is>
      </c>
      <c r="F123" s="4" t="inlineStr">
        <is>
          <t>نعم</t>
        </is>
      </c>
      <c r="G123" s="4" t="inlineStr">
        <is>
          <t>نعم</t>
        </is>
      </c>
      <c r="H123" s="5" t="str">
        <f>IF(E123="","",IF(AND(F123="نعم",G123="نعم"),"جرد + مراجعة",IF(F123="نعم","جرد فقط",IF(G123="نعم","مراجعة فقط",""))))</f>
        <v>جرد + مراجعة</v>
      </c>
      <c r="I123" s="9">
        <f>IF(H123="جرد + مراجعة",الإعدادات!$B$2,IF(H123="مراجعة فقط",الإعدادات!$B$3,IF(H123="جرد فقط",الإعدادات!$B$4,0)))</f>
        <v>200</v>
      </c>
    </row>
    <row r="124">
      <c r="A124" s="4" t="inlineStr">
        <is>
          <t>2026-10-11</t>
        </is>
      </c>
      <c r="B124" s="5" t="str">
        <f>IF(A124="","",IFERROR(INDEX('جدول الجرد'!$A$2:$A$31,MATCH(A124,'جدول الجرد'!$B$2:$B$31,0)),""))</f>
        <v>الأحد</v>
      </c>
      <c r="C124" s="5" t="str">
        <f>IF(A124="","",IFERROR(INDEX('جدول الجرد'!$E$2:$E$31,MATCH(A124,'جدول الجرد'!$B$2:$B$31,0)),""))</f>
        <v>رنية</v>
      </c>
      <c r="D124" s="4" t="n">
        <v>49</v>
      </c>
      <c r="E124" s="4" t="inlineStr">
        <is>
          <t>د. حسام شلش</t>
        </is>
      </c>
      <c r="F124" s="4" t="inlineStr"/>
      <c r="G124" s="4" t="inlineStr">
        <is>
          <t>نعم</t>
        </is>
      </c>
      <c r="H124" s="5" t="str">
        <f>IF(E124="","",IF(AND(F124="نعم",G124="نعم"),"جرد + مراجعة",IF(F124="نعم","جرد فقط",IF(G124="نعم","مراجعة فقط",""))))</f>
        <v>مراجعة فقط</v>
      </c>
      <c r="I124" s="9">
        <f>IF(H124="جرد + مراجعة",الإعدادات!$B$2,IF(H124="مراجعة فقط",الإعدادات!$B$3,IF(H124="جرد فقط",الإعدادات!$B$4,0)))</f>
        <v>150</v>
      </c>
    </row>
    <row r="125">
      <c r="A125" s="4" t="inlineStr">
        <is>
          <t>2026-10-11</t>
        </is>
      </c>
      <c r="B125" s="5" t="str">
        <f>IF(A125="","",IFERROR(INDEX('جدول الجرد'!$A$2:$A$31,MATCH(A125,'جدول الجرد'!$B$2:$B$31,0)),""))</f>
        <v>الأحد</v>
      </c>
      <c r="C125" s="5" t="str">
        <f>IF(A125="","",IFERROR(INDEX('جدول الجرد'!$E$2:$E$31,MATCH(A125,'جدول الجرد'!$B$2:$B$31,0)),""))</f>
        <v>رنية</v>
      </c>
      <c r="D125" s="4" t="n">
        <v>49</v>
      </c>
      <c r="E125" s="4" t="inlineStr">
        <is>
          <t>د. الحسن الغنيمي</t>
        </is>
      </c>
      <c r="F125" s="4" t="inlineStr"/>
      <c r="G125" s="4" t="inlineStr">
        <is>
          <t>نعم</t>
        </is>
      </c>
      <c r="H125" s="5" t="str">
        <f>IF(E125="","",IF(AND(F125="نعم",G125="نعم"),"جرد + مراجعة",IF(F125="نعم","جرد فقط",IF(G125="نعم","مراجعة فقط",""))))</f>
        <v>مراجعة فقط</v>
      </c>
      <c r="I125" s="9">
        <f>IF(H125="جرد + مراجعة",الإعدادات!$B$2,IF(H125="مراجعة فقط",الإعدادات!$B$3,IF(H125="جرد فقط",الإعدادات!$B$4,0)))</f>
        <v>150</v>
      </c>
    </row>
    <row r="126">
      <c r="A126" s="4" t="inlineStr">
        <is>
          <t>2026-10-11</t>
        </is>
      </c>
      <c r="B126" s="5" t="str">
        <f>IF(A126="","",IFERROR(INDEX('جدول الجرد'!$A$2:$A$31,MATCH(A126,'جدول الجرد'!$B$2:$B$31,0)),""))</f>
        <v>الأحد</v>
      </c>
      <c r="C126" s="5" t="str">
        <f>IF(A126="","",IFERROR(INDEX('جدول الجرد'!$E$2:$E$31,MATCH(A126,'جدول الجرد'!$B$2:$B$31,0)),""))</f>
        <v>رنية</v>
      </c>
      <c r="D126" s="4" t="n">
        <v>49</v>
      </c>
      <c r="E126" s="4" t="inlineStr">
        <is>
          <t>د. محمد جمال</t>
        </is>
      </c>
      <c r="F126" s="4" t="inlineStr"/>
      <c r="G126" s="4" t="inlineStr">
        <is>
          <t>نعم</t>
        </is>
      </c>
      <c r="H126" s="5" t="str">
        <f>IF(E126="","",IF(AND(F126="نعم",G126="نعم"),"جرد + مراجعة",IF(F126="نعم","جرد فقط",IF(G126="نعم","مراجعة فقط",""))))</f>
        <v>مراجعة فقط</v>
      </c>
      <c r="I126" s="9">
        <f>IF(H126="جرد + مراجعة",الإعدادات!$B$2,IF(H126="مراجعة فقط",الإعدادات!$B$3,IF(H126="جرد فقط",الإعدادات!$B$4,0)))</f>
        <v>150</v>
      </c>
    </row>
    <row r="127">
      <c r="A127" s="4" t="inlineStr">
        <is>
          <t>2026-10-13</t>
        </is>
      </c>
      <c r="B127" s="5" t="str">
        <f>IF(A127="","",IFERROR(INDEX('جدول الجرد'!$A$2:$A$31,MATCH(A127,'جدول الجرد'!$B$2:$B$31,0)),""))</f>
        <v>الثلاثاء</v>
      </c>
      <c r="C127" s="5" t="str">
        <f>IF(A127="","",IFERROR(INDEX('جدول الجرد'!$E$2:$E$31,MATCH(A127,'جدول الجرد'!$B$2:$B$31,0)),""))</f>
        <v>الخرج</v>
      </c>
      <c r="D127" s="4" t="n">
        <v>8</v>
      </c>
      <c r="E127" s="4" t="inlineStr">
        <is>
          <t>د. علي خليفة</t>
        </is>
      </c>
      <c r="F127" s="4" t="inlineStr">
        <is>
          <t>نعم</t>
        </is>
      </c>
      <c r="G127" s="4" t="inlineStr">
        <is>
          <t>نعم</t>
        </is>
      </c>
      <c r="H127" s="5" t="str">
        <f>IF(E127="","",IF(AND(F127="نعم",G127="نعم"),"جرد + مراجعة",IF(F127="نعم","جرد فقط",IF(G127="نعم","مراجعة فقط",""))))</f>
        <v>جرد + مراجعة</v>
      </c>
      <c r="I127" s="9">
        <f>IF(H127="جرد + مراجعة",الإعدادات!$B$2,IF(H127="مراجعة فقط",الإعدادات!$B$3,IF(H127="جرد فقط",الإعدادات!$B$4,0)))</f>
        <v>200</v>
      </c>
    </row>
    <row r="128">
      <c r="A128" s="4" t="inlineStr">
        <is>
          <t>2026-10-13</t>
        </is>
      </c>
      <c r="B128" s="5" t="str">
        <f>IF(A128="","",IFERROR(INDEX('جدول الجرد'!$A$2:$A$31,MATCH(A128,'جدول الجرد'!$B$2:$B$31,0)),""))</f>
        <v>الثلاثاء</v>
      </c>
      <c r="C128" s="5" t="str">
        <f>IF(A128="","",IFERROR(INDEX('جدول الجرد'!$E$2:$E$31,MATCH(A128,'جدول الجرد'!$B$2:$B$31,0)),""))</f>
        <v>الخرج</v>
      </c>
      <c r="D128" s="4" t="n">
        <v>8</v>
      </c>
      <c r="E128" s="4" t="inlineStr">
        <is>
          <t>د. السيد حسن</t>
        </is>
      </c>
      <c r="F128" s="4" t="inlineStr"/>
      <c r="G128" s="4" t="inlineStr">
        <is>
          <t>نعم</t>
        </is>
      </c>
      <c r="H128" s="5" t="str">
        <f>IF(E128="","",IF(AND(F128="نعم",G128="نعم"),"جرد + مراجعة",IF(F128="نعم","جرد فقط",IF(G128="نعم","مراجعة فقط",""))))</f>
        <v>مراجعة فقط</v>
      </c>
      <c r="I128" s="9">
        <f>IF(H128="جرد + مراجعة",الإعدادات!$B$2,IF(H128="مراجعة فقط",الإعدادات!$B$3,IF(H128="جرد فقط",الإعدادات!$B$4,0)))</f>
        <v>150</v>
      </c>
    </row>
    <row r="129">
      <c r="A129" s="4" t="inlineStr">
        <is>
          <t>2026-10-13</t>
        </is>
      </c>
      <c r="B129" s="5" t="str">
        <f>IF(A129="","",IFERROR(INDEX('جدول الجرد'!$A$2:$A$31,MATCH(A129,'جدول الجرد'!$B$2:$B$31,0)),""))</f>
        <v>الثلاثاء</v>
      </c>
      <c r="C129" s="5" t="str">
        <f>IF(A129="","",IFERROR(INDEX('جدول الجرد'!$E$2:$E$31,MATCH(A129,'جدول الجرد'!$B$2:$B$31,0)),""))</f>
        <v>الخرج</v>
      </c>
      <c r="D129" s="4" t="n">
        <v>8</v>
      </c>
      <c r="E129" s="4" t="inlineStr">
        <is>
          <t>د. محمد جمال</t>
        </is>
      </c>
      <c r="F129" s="4" t="inlineStr"/>
      <c r="G129" s="4" t="inlineStr">
        <is>
          <t>نعم</t>
        </is>
      </c>
      <c r="H129" s="5" t="str">
        <f>IF(E129="","",IF(AND(F129="نعم",G129="نعم"),"جرد + مراجعة",IF(F129="نعم","جرد فقط",IF(G129="نعم","مراجعة فقط",""))))</f>
        <v>مراجعة فقط</v>
      </c>
      <c r="I129" s="9">
        <f>IF(H129="جرد + مراجعة",الإعدادات!$B$2,IF(H129="مراجعة فقط",الإعدادات!$B$3,IF(H129="جرد فقط",الإعدادات!$B$4,0)))</f>
        <v>150</v>
      </c>
    </row>
    <row r="130">
      <c r="A130" s="4" t="inlineStr">
        <is>
          <t>2026-10-13</t>
        </is>
      </c>
      <c r="B130" s="5" t="str">
        <f>IF(A130="","",IFERROR(INDEX('جدول الجرد'!$A$2:$A$31,MATCH(A130,'جدول الجرد'!$B$2:$B$31,0)),""))</f>
        <v>الثلاثاء</v>
      </c>
      <c r="C130" s="5" t="str">
        <f>IF(A130="","",IFERROR(INDEX('جدول الجرد'!$E$2:$E$31,MATCH(A130,'جدول الجرد'!$B$2:$B$31,0)),""))</f>
        <v>الخرج</v>
      </c>
      <c r="D130" s="4" t="n">
        <v>8</v>
      </c>
      <c r="E130" s="4" t="inlineStr">
        <is>
          <t>د. حسام شلش</t>
        </is>
      </c>
      <c r="F130" s="4" t="inlineStr"/>
      <c r="G130" s="4" t="inlineStr">
        <is>
          <t>نعم</t>
        </is>
      </c>
      <c r="H130" s="5" t="str">
        <f>IF(E130="","",IF(AND(F130="نعم",G130="نعم"),"جرد + مراجعة",IF(F130="نعم","جرد فقط",IF(G130="نعم","مراجعة فقط",""))))</f>
        <v>مراجعة فقط</v>
      </c>
      <c r="I130" s="9">
        <f>IF(H130="جرد + مراجعة",الإعدادات!$B$2,IF(H130="مراجعة فقط",الإعدادات!$B$3,IF(H130="جرد فقط",الإعدادات!$B$4,0)))</f>
        <v>150</v>
      </c>
    </row>
    <row r="131">
      <c r="A131" s="4" t="inlineStr">
        <is>
          <t>2026-10-13</t>
        </is>
      </c>
      <c r="B131" s="5" t="str">
        <f>IF(A131="","",IFERROR(INDEX('جدول الجرد'!$A$2:$A$31,MATCH(A131,'جدول الجرد'!$B$2:$B$31,0)),""))</f>
        <v>الثلاثاء</v>
      </c>
      <c r="C131" s="5" t="str">
        <f>IF(A131="","",IFERROR(INDEX('جدول الجرد'!$E$2:$E$31,MATCH(A131,'جدول الجرد'!$B$2:$B$31,0)),""))</f>
        <v>الخرج</v>
      </c>
      <c r="D131" s="4" t="n">
        <v>60</v>
      </c>
      <c r="E131" s="4" t="inlineStr">
        <is>
          <t>د. علي خليفة</t>
        </is>
      </c>
      <c r="F131" s="4" t="inlineStr">
        <is>
          <t>نعم</t>
        </is>
      </c>
      <c r="G131" s="4" t="inlineStr">
        <is>
          <t>نعم</t>
        </is>
      </c>
      <c r="H131" s="5" t="str">
        <f>IF(E131="","",IF(AND(F131="نعم",G131="نعم"),"جرد + مراجعة",IF(F131="نعم","جرد فقط",IF(G131="نعم","مراجعة فقط",""))))</f>
        <v>جرد + مراجعة</v>
      </c>
      <c r="I131" s="9">
        <f>IF(H131="جرد + مراجعة",الإعدادات!$B$2,IF(H131="مراجعة فقط",الإعدادات!$B$3,IF(H131="جرد فقط",الإعدادات!$B$4,0)))</f>
        <v>200</v>
      </c>
    </row>
    <row r="132">
      <c r="A132" s="4" t="inlineStr">
        <is>
          <t>2026-10-13</t>
        </is>
      </c>
      <c r="B132" s="5" t="str">
        <f>IF(A132="","",IFERROR(INDEX('جدول الجرد'!$A$2:$A$31,MATCH(A132,'جدول الجرد'!$B$2:$B$31,0)),""))</f>
        <v>الثلاثاء</v>
      </c>
      <c r="C132" s="5" t="str">
        <f>IF(A132="","",IFERROR(INDEX('جدول الجرد'!$E$2:$E$31,MATCH(A132,'جدول الجرد'!$B$2:$B$31,0)),""))</f>
        <v>الخرج</v>
      </c>
      <c r="D132" s="4" t="n">
        <v>60</v>
      </c>
      <c r="E132" s="4" t="inlineStr">
        <is>
          <t>د. السيد حسن</t>
        </is>
      </c>
      <c r="F132" s="4" t="inlineStr"/>
      <c r="G132" s="4" t="inlineStr">
        <is>
          <t>نعم</t>
        </is>
      </c>
      <c r="H132" s="5" t="str">
        <f>IF(E132="","",IF(AND(F132="نعم",G132="نعم"),"جرد + مراجعة",IF(F132="نعم","جرد فقط",IF(G132="نعم","مراجعة فقط",""))))</f>
        <v>مراجعة فقط</v>
      </c>
      <c r="I132" s="9">
        <f>IF(H132="جرد + مراجعة",الإعدادات!$B$2,IF(H132="مراجعة فقط",الإعدادات!$B$3,IF(H132="جرد فقط",الإعدادات!$B$4,0)))</f>
        <v>150</v>
      </c>
    </row>
    <row r="133">
      <c r="A133" s="4" t="inlineStr">
        <is>
          <t>2026-10-13</t>
        </is>
      </c>
      <c r="B133" s="5" t="str">
        <f>IF(A133="","",IFERROR(INDEX('جدول الجرد'!$A$2:$A$31,MATCH(A133,'جدول الجرد'!$B$2:$B$31,0)),""))</f>
        <v>الثلاثاء</v>
      </c>
      <c r="C133" s="5" t="str">
        <f>IF(A133="","",IFERROR(INDEX('جدول الجرد'!$E$2:$E$31,MATCH(A133,'جدول الجرد'!$B$2:$B$31,0)),""))</f>
        <v>الخرج</v>
      </c>
      <c r="D133" s="4" t="n">
        <v>60</v>
      </c>
      <c r="E133" s="4" t="inlineStr">
        <is>
          <t>د. محمد جمال</t>
        </is>
      </c>
      <c r="F133" s="4" t="inlineStr"/>
      <c r="G133" s="4" t="inlineStr">
        <is>
          <t>نعم</t>
        </is>
      </c>
      <c r="H133" s="5" t="str">
        <f>IF(E133="","",IF(AND(F133="نعم",G133="نعم"),"جرد + مراجعة",IF(F133="نعم","جرد فقط",IF(G133="نعم","مراجعة فقط",""))))</f>
        <v>مراجعة فقط</v>
      </c>
      <c r="I133" s="9">
        <f>IF(H133="جرد + مراجعة",الإعدادات!$B$2,IF(H133="مراجعة فقط",الإعدادات!$B$3,IF(H133="جرد فقط",الإعدادات!$B$4,0)))</f>
        <v>150</v>
      </c>
    </row>
    <row r="134">
      <c r="A134" s="4" t="inlineStr">
        <is>
          <t>2026-10-13</t>
        </is>
      </c>
      <c r="B134" s="5" t="str">
        <f>IF(A134="","",IFERROR(INDEX('جدول الجرد'!$A$2:$A$31,MATCH(A134,'جدول الجرد'!$B$2:$B$31,0)),""))</f>
        <v>الثلاثاء</v>
      </c>
      <c r="C134" s="5" t="str">
        <f>IF(A134="","",IFERROR(INDEX('جدول الجرد'!$E$2:$E$31,MATCH(A134,'جدول الجرد'!$B$2:$B$31,0)),""))</f>
        <v>الخرج</v>
      </c>
      <c r="D134" s="4" t="n">
        <v>60</v>
      </c>
      <c r="E134" s="4" t="inlineStr">
        <is>
          <t>د. حسام شلش</t>
        </is>
      </c>
      <c r="F134" s="4" t="inlineStr"/>
      <c r="G134" s="4" t="inlineStr">
        <is>
          <t>نعم</t>
        </is>
      </c>
      <c r="H134" s="5" t="str">
        <f>IF(E134="","",IF(AND(F134="نعم",G134="نعم"),"جرد + مراجعة",IF(F134="نعم","جرد فقط",IF(G134="نعم","مراجعة فقط",""))))</f>
        <v>مراجعة فقط</v>
      </c>
      <c r="I134" s="9">
        <f>IF(H134="جرد + مراجعة",الإعدادات!$B$2,IF(H134="مراجعة فقط",الإعدادات!$B$3,IF(H134="جرد فقط",الإعدادات!$B$4,0)))</f>
        <v>150</v>
      </c>
    </row>
    <row r="135">
      <c r="A135" s="4" t="inlineStr">
        <is>
          <t>2026-10-14</t>
        </is>
      </c>
      <c r="B135" s="5" t="str">
        <f>IF(A135="","",IFERROR(INDEX('جدول الجرد'!$A$2:$A$31,MATCH(A135,'جدول الجرد'!$B$2:$B$31,0)),""))</f>
        <v>الأربعاء</v>
      </c>
      <c r="C135" s="5" t="str">
        <f>IF(A135="","",IFERROR(INDEX('جدول الجرد'!$E$2:$E$31,MATCH(A135,'جدول الجرد'!$B$2:$B$31,0)),""))</f>
        <v>الخرج</v>
      </c>
      <c r="D135" s="4" t="n">
        <v>24</v>
      </c>
      <c r="E135" s="4" t="inlineStr">
        <is>
          <t>د. حسام شلش</t>
        </is>
      </c>
      <c r="F135" s="4" t="inlineStr">
        <is>
          <t>نعم</t>
        </is>
      </c>
      <c r="G135" s="4" t="inlineStr">
        <is>
          <t>نعم</t>
        </is>
      </c>
      <c r="H135" s="5" t="str">
        <f>IF(E135="","",IF(AND(F135="نعم",G135="نعم"),"جرد + مراجعة",IF(F135="نعم","جرد فقط",IF(G135="نعم","مراجعة فقط",""))))</f>
        <v>جرد + مراجعة</v>
      </c>
      <c r="I135" s="9">
        <f>IF(H135="جرد + مراجعة",الإعدادات!$B$2,IF(H135="مراجعة فقط",الإعدادات!$B$3,IF(H135="جرد فقط",الإعدادات!$B$4,0)))</f>
        <v>200</v>
      </c>
    </row>
    <row r="136">
      <c r="A136" s="4" t="inlineStr">
        <is>
          <t>2026-10-14</t>
        </is>
      </c>
      <c r="B136" s="5" t="str">
        <f>IF(A136="","",IFERROR(INDEX('جدول الجرد'!$A$2:$A$31,MATCH(A136,'جدول الجرد'!$B$2:$B$31,0)),""))</f>
        <v>الأربعاء</v>
      </c>
      <c r="C136" s="5" t="str">
        <f>IF(A136="","",IFERROR(INDEX('جدول الجرد'!$E$2:$E$31,MATCH(A136,'جدول الجرد'!$B$2:$B$31,0)),""))</f>
        <v>الخرج</v>
      </c>
      <c r="D136" s="4" t="n">
        <v>24</v>
      </c>
      <c r="E136" s="4" t="inlineStr">
        <is>
          <t>د. علي خليفة</t>
        </is>
      </c>
      <c r="F136" s="4" t="inlineStr"/>
      <c r="G136" s="4" t="inlineStr">
        <is>
          <t>نعم</t>
        </is>
      </c>
      <c r="H136" s="5" t="str">
        <f>IF(E136="","",IF(AND(F136="نعم",G136="نعم"),"جرد + مراجعة",IF(F136="نعم","جرد فقط",IF(G136="نعم","مراجعة فقط",""))))</f>
        <v>مراجعة فقط</v>
      </c>
      <c r="I136" s="9">
        <f>IF(H136="جرد + مراجعة",الإعدادات!$B$2,IF(H136="مراجعة فقط",الإعدادات!$B$3,IF(H136="جرد فقط",الإعدادات!$B$4,0)))</f>
        <v>150</v>
      </c>
    </row>
    <row r="137">
      <c r="A137" s="4" t="inlineStr">
        <is>
          <t>2026-10-14</t>
        </is>
      </c>
      <c r="B137" s="5" t="str">
        <f>IF(A137="","",IFERROR(INDEX('جدول الجرد'!$A$2:$A$31,MATCH(A137,'جدول الجرد'!$B$2:$B$31,0)),""))</f>
        <v>الأربعاء</v>
      </c>
      <c r="C137" s="5" t="str">
        <f>IF(A137="","",IFERROR(INDEX('جدول الجرد'!$E$2:$E$31,MATCH(A137,'جدول الجرد'!$B$2:$B$31,0)),""))</f>
        <v>الخرج</v>
      </c>
      <c r="D137" s="4" t="n">
        <v>24</v>
      </c>
      <c r="E137" s="4" t="inlineStr">
        <is>
          <t>د. السيد حسن</t>
        </is>
      </c>
      <c r="F137" s="4" t="inlineStr"/>
      <c r="G137" s="4" t="inlineStr">
        <is>
          <t>نعم</t>
        </is>
      </c>
      <c r="H137" s="5" t="str">
        <f>IF(E137="","",IF(AND(F137="نعم",G137="نعم"),"جرد + مراجعة",IF(F137="نعم","جرد فقط",IF(G137="نعم","مراجعة فقط",""))))</f>
        <v>مراجعة فقط</v>
      </c>
      <c r="I137" s="9">
        <f>IF(H137="جرد + مراجعة",الإعدادات!$B$2,IF(H137="مراجعة فقط",الإعدادات!$B$3,IF(H137="جرد فقط",الإعدادات!$B$4,0)))</f>
        <v>150</v>
      </c>
    </row>
    <row r="138">
      <c r="A138" s="4" t="inlineStr">
        <is>
          <t>2026-10-14</t>
        </is>
      </c>
      <c r="B138" s="5" t="str">
        <f>IF(A138="","",IFERROR(INDEX('جدول الجرد'!$A$2:$A$31,MATCH(A138,'جدول الجرد'!$B$2:$B$31,0)),""))</f>
        <v>الأربعاء</v>
      </c>
      <c r="C138" s="5" t="str">
        <f>IF(A138="","",IFERROR(INDEX('جدول الجرد'!$E$2:$E$31,MATCH(A138,'جدول الجرد'!$B$2:$B$31,0)),""))</f>
        <v>الخرج</v>
      </c>
      <c r="D138" s="4" t="n">
        <v>27</v>
      </c>
      <c r="E138" s="4" t="inlineStr">
        <is>
          <t>د. حسام شلش</t>
        </is>
      </c>
      <c r="F138" s="4" t="inlineStr">
        <is>
          <t>نعم</t>
        </is>
      </c>
      <c r="G138" s="4" t="inlineStr">
        <is>
          <t>نعم</t>
        </is>
      </c>
      <c r="H138" s="5" t="str">
        <f>IF(E138="","",IF(AND(F138="نعم",G138="نعم"),"جرد + مراجعة",IF(F138="نعم","جرد فقط",IF(G138="نعم","مراجعة فقط",""))))</f>
        <v>جرد + مراجعة</v>
      </c>
      <c r="I138" s="9">
        <f>IF(H138="جرد + مراجعة",الإعدادات!$B$2,IF(H138="مراجعة فقط",الإعدادات!$B$3,IF(H138="جرد فقط",الإعدادات!$B$4,0)))</f>
        <v>200</v>
      </c>
    </row>
    <row r="139">
      <c r="A139" s="4" t="inlineStr">
        <is>
          <t>2026-10-14</t>
        </is>
      </c>
      <c r="B139" s="5" t="str">
        <f>IF(A139="","",IFERROR(INDEX('جدول الجرد'!$A$2:$A$31,MATCH(A139,'جدول الجرد'!$B$2:$B$31,0)),""))</f>
        <v>الأربعاء</v>
      </c>
      <c r="C139" s="5" t="str">
        <f>IF(A139="","",IFERROR(INDEX('جدول الجرد'!$E$2:$E$31,MATCH(A139,'جدول الجرد'!$B$2:$B$31,0)),""))</f>
        <v>الخرج</v>
      </c>
      <c r="D139" s="4" t="n">
        <v>27</v>
      </c>
      <c r="E139" s="4" t="inlineStr">
        <is>
          <t>د. علي خليفة</t>
        </is>
      </c>
      <c r="F139" s="4" t="inlineStr"/>
      <c r="G139" s="4" t="inlineStr">
        <is>
          <t>نعم</t>
        </is>
      </c>
      <c r="H139" s="5" t="str">
        <f>IF(E139="","",IF(AND(F139="نعم",G139="نعم"),"جرد + مراجعة",IF(F139="نعم","جرد فقط",IF(G139="نعم","مراجعة فقط",""))))</f>
        <v>مراجعة فقط</v>
      </c>
      <c r="I139" s="9">
        <f>IF(H139="جرد + مراجعة",الإعدادات!$B$2,IF(H139="مراجعة فقط",الإعدادات!$B$3,IF(H139="جرد فقط",الإعدادات!$B$4,0)))</f>
        <v>150</v>
      </c>
    </row>
    <row r="140">
      <c r="A140" s="4" t="inlineStr">
        <is>
          <t>2026-10-14</t>
        </is>
      </c>
      <c r="B140" s="5" t="str">
        <f>IF(A140="","",IFERROR(INDEX('جدول الجرد'!$A$2:$A$31,MATCH(A140,'جدول الجرد'!$B$2:$B$31,0)),""))</f>
        <v>الأربعاء</v>
      </c>
      <c r="C140" s="5" t="str">
        <f>IF(A140="","",IFERROR(INDEX('جدول الجرد'!$E$2:$E$31,MATCH(A140,'جدول الجرد'!$B$2:$B$31,0)),""))</f>
        <v>الخرج</v>
      </c>
      <c r="D140" s="4" t="n">
        <v>27</v>
      </c>
      <c r="E140" s="4" t="inlineStr">
        <is>
          <t>د. السيد حسن</t>
        </is>
      </c>
      <c r="F140" s="4" t="inlineStr"/>
      <c r="G140" s="4" t="inlineStr">
        <is>
          <t>نعم</t>
        </is>
      </c>
      <c r="H140" s="5" t="str">
        <f>IF(E140="","",IF(AND(F140="نعم",G140="نعم"),"جرد + مراجعة",IF(F140="نعم","جرد فقط",IF(G140="نعم","مراجعة فقط",""))))</f>
        <v>مراجعة فقط</v>
      </c>
      <c r="I140" s="9">
        <f>IF(H140="جرد + مراجعة",الإعدادات!$B$2,IF(H140="مراجعة فقط",الإعدادات!$B$3,IF(H140="جرد فقط",الإعدادات!$B$4,0)))</f>
        <v>150</v>
      </c>
    </row>
    <row r="141">
      <c r="A141" s="4" t="inlineStr">
        <is>
          <t>2026-10-15</t>
        </is>
      </c>
      <c r="B141" s="5" t="str">
        <f>IF(A141="","",IFERROR(INDEX('جدول الجرد'!$A$2:$A$31,MATCH(A141,'جدول الجرد'!$B$2:$B$31,0)),""))</f>
        <v>الخميس</v>
      </c>
      <c r="C141" s="5" t="str">
        <f>IF(A141="","",IFERROR(INDEX('جدول الجرد'!$E$2:$E$31,MATCH(A141,'جدول الجرد'!$B$2:$B$31,0)),""))</f>
        <v>الخرج</v>
      </c>
      <c r="D141" s="4" t="n">
        <v>11</v>
      </c>
      <c r="E141" s="4" t="inlineStr">
        <is>
          <t>د. علي خليفة</t>
        </is>
      </c>
      <c r="F141" s="4" t="inlineStr">
        <is>
          <t>نعم</t>
        </is>
      </c>
      <c r="G141" s="4" t="inlineStr">
        <is>
          <t>نعم</t>
        </is>
      </c>
      <c r="H141" s="5" t="str">
        <f>IF(E141="","",IF(AND(F141="نعم",G141="نعم"),"جرد + مراجعة",IF(F141="نعم","جرد فقط",IF(G141="نعم","مراجعة فقط",""))))</f>
        <v>جرد + مراجعة</v>
      </c>
      <c r="I141" s="9">
        <f>IF(H141="جرد + مراجعة",الإعدادات!$B$2,IF(H141="مراجعة فقط",الإعدادات!$B$3,IF(H141="جرد فقط",الإعدادات!$B$4,0)))</f>
        <v>200</v>
      </c>
    </row>
    <row r="142">
      <c r="A142" s="4" t="inlineStr">
        <is>
          <t>2026-10-15</t>
        </is>
      </c>
      <c r="B142" s="5" t="str">
        <f>IF(A142="","",IFERROR(INDEX('جدول الجرد'!$A$2:$A$31,MATCH(A142,'جدول الجرد'!$B$2:$B$31,0)),""))</f>
        <v>الخميس</v>
      </c>
      <c r="C142" s="5" t="str">
        <f>IF(A142="","",IFERROR(INDEX('جدول الجرد'!$E$2:$E$31,MATCH(A142,'جدول الجرد'!$B$2:$B$31,0)),""))</f>
        <v>الخرج</v>
      </c>
      <c r="D142" s="4" t="n">
        <v>11</v>
      </c>
      <c r="E142" s="4" t="inlineStr">
        <is>
          <t>د. حسام شلش</t>
        </is>
      </c>
      <c r="F142" s="4" t="inlineStr"/>
      <c r="G142" s="4" t="inlineStr">
        <is>
          <t>نعم</t>
        </is>
      </c>
      <c r="H142" s="5" t="str">
        <f>IF(E142="","",IF(AND(F142="نعم",G142="نعم"),"جرد + مراجعة",IF(F142="نعم","جرد فقط",IF(G142="نعم","مراجعة فقط",""))))</f>
        <v>مراجعة فقط</v>
      </c>
      <c r="I142" s="9">
        <f>IF(H142="جرد + مراجعة",الإعدادات!$B$2,IF(H142="مراجعة فقط",الإعدادات!$B$3,IF(H142="جرد فقط",الإعدادات!$B$4,0)))</f>
        <v>150</v>
      </c>
    </row>
    <row r="143">
      <c r="A143" s="4" t="inlineStr">
        <is>
          <t>2026-10-15</t>
        </is>
      </c>
      <c r="B143" s="5" t="str">
        <f>IF(A143="","",IFERROR(INDEX('جدول الجرد'!$A$2:$A$31,MATCH(A143,'جدول الجرد'!$B$2:$B$31,0)),""))</f>
        <v>الخميس</v>
      </c>
      <c r="C143" s="5" t="str">
        <f>IF(A143="","",IFERROR(INDEX('جدول الجرد'!$E$2:$E$31,MATCH(A143,'جدول الجرد'!$B$2:$B$31,0)),""))</f>
        <v>الخرج</v>
      </c>
      <c r="D143" s="4" t="n">
        <v>11</v>
      </c>
      <c r="E143" s="4" t="inlineStr">
        <is>
          <t>د. السيد حسن</t>
        </is>
      </c>
      <c r="F143" s="4" t="inlineStr"/>
      <c r="G143" s="4" t="inlineStr">
        <is>
          <t>نعم</t>
        </is>
      </c>
      <c r="H143" s="5" t="str">
        <f>IF(E143="","",IF(AND(F143="نعم",G143="نعم"),"جرد + مراجعة",IF(F143="نعم","جرد فقط",IF(G143="نعم","مراجعة فقط",""))))</f>
        <v>مراجعة فقط</v>
      </c>
      <c r="I143" s="9">
        <f>IF(H143="جرد + مراجعة",الإعدادات!$B$2,IF(H143="مراجعة فقط",الإعدادات!$B$3,IF(H143="جرد فقط",الإعدادات!$B$4,0)))</f>
        <v>150</v>
      </c>
    </row>
    <row r="144">
      <c r="A144" s="4" t="inlineStr">
        <is>
          <t>2026-10-15</t>
        </is>
      </c>
      <c r="B144" s="5" t="str">
        <f>IF(A144="","",IFERROR(INDEX('جدول الجرد'!$A$2:$A$31,MATCH(A144,'جدول الجرد'!$B$2:$B$31,0)),""))</f>
        <v>الخميس</v>
      </c>
      <c r="C144" s="5" t="str">
        <f>IF(A144="","",IFERROR(INDEX('جدول الجرد'!$E$2:$E$31,MATCH(A144,'جدول الجرد'!$B$2:$B$31,0)),""))</f>
        <v>الخرج</v>
      </c>
      <c r="D144" s="4" t="n">
        <v>40</v>
      </c>
      <c r="E144" s="4" t="inlineStr">
        <is>
          <t>د. علي خليفة</t>
        </is>
      </c>
      <c r="F144" s="4" t="inlineStr">
        <is>
          <t>نعم</t>
        </is>
      </c>
      <c r="G144" s="4" t="inlineStr">
        <is>
          <t>نعم</t>
        </is>
      </c>
      <c r="H144" s="5" t="str">
        <f>IF(E144="","",IF(AND(F144="نعم",G144="نعم"),"جرد + مراجعة",IF(F144="نعم","جرد فقط",IF(G144="نعم","مراجعة فقط",""))))</f>
        <v>جرد + مراجعة</v>
      </c>
      <c r="I144" s="9">
        <f>IF(H144="جرد + مراجعة",الإعدادات!$B$2,IF(H144="مراجعة فقط",الإعدادات!$B$3,IF(H144="جرد فقط",الإعدادات!$B$4,0)))</f>
        <v>200</v>
      </c>
    </row>
    <row r="145">
      <c r="A145" s="4" t="inlineStr">
        <is>
          <t>2026-10-15</t>
        </is>
      </c>
      <c r="B145" s="5" t="str">
        <f>IF(A145="","",IFERROR(INDEX('جدول الجرد'!$A$2:$A$31,MATCH(A145,'جدول الجرد'!$B$2:$B$31,0)),""))</f>
        <v>الخميس</v>
      </c>
      <c r="C145" s="5" t="str">
        <f>IF(A145="","",IFERROR(INDEX('جدول الجرد'!$E$2:$E$31,MATCH(A145,'جدول الجرد'!$B$2:$B$31,0)),""))</f>
        <v>الخرج</v>
      </c>
      <c r="D145" s="4" t="n">
        <v>40</v>
      </c>
      <c r="E145" s="4" t="inlineStr">
        <is>
          <t>د. حسام شلش</t>
        </is>
      </c>
      <c r="F145" s="4" t="inlineStr"/>
      <c r="G145" s="4" t="inlineStr">
        <is>
          <t>نعم</t>
        </is>
      </c>
      <c r="H145" s="5" t="str">
        <f>IF(E145="","",IF(AND(F145="نعم",G145="نعم"),"جرد + مراجعة",IF(F145="نعم","جرد فقط",IF(G145="نعم","مراجعة فقط",""))))</f>
        <v>مراجعة فقط</v>
      </c>
      <c r="I145" s="9">
        <f>IF(H145="جرد + مراجعة",الإعدادات!$B$2,IF(H145="مراجعة فقط",الإعدادات!$B$3,IF(H145="جرد فقط",الإعدادات!$B$4,0)))</f>
        <v>150</v>
      </c>
    </row>
    <row r="146">
      <c r="A146" s="4" t="inlineStr">
        <is>
          <t>2026-10-15</t>
        </is>
      </c>
      <c r="B146" s="5" t="str">
        <f>IF(A146="","",IFERROR(INDEX('جدول الجرد'!$A$2:$A$31,MATCH(A146,'جدول الجرد'!$B$2:$B$31,0)),""))</f>
        <v>الخميس</v>
      </c>
      <c r="C146" s="5" t="str">
        <f>IF(A146="","",IFERROR(INDEX('جدول الجرد'!$E$2:$E$31,MATCH(A146,'جدول الجرد'!$B$2:$B$31,0)),""))</f>
        <v>الخرج</v>
      </c>
      <c r="D146" s="4" t="n">
        <v>40</v>
      </c>
      <c r="E146" s="4" t="inlineStr">
        <is>
          <t>د. السيد حسن</t>
        </is>
      </c>
      <c r="F146" s="4" t="inlineStr"/>
      <c r="G146" s="4" t="inlineStr">
        <is>
          <t>نعم</t>
        </is>
      </c>
      <c r="H146" s="5" t="str">
        <f>IF(E146="","",IF(AND(F146="نعم",G146="نعم"),"جرد + مراجعة",IF(F146="نعم","جرد فقط",IF(G146="نعم","مراجعة فقط",""))))</f>
        <v>مراجعة فقط</v>
      </c>
      <c r="I146" s="9">
        <f>IF(H146="جرد + مراجعة",الإعدادات!$B$2,IF(H146="مراجعة فقط",الإعدادات!$B$3,IF(H146="جرد فقط",الإعدادات!$B$4,0)))</f>
        <v>150</v>
      </c>
    </row>
    <row r="147">
      <c r="A147" s="4" t="inlineStr">
        <is>
          <t>2026-10-16</t>
        </is>
      </c>
      <c r="B147" s="5" t="str">
        <f>IF(A147="","",IFERROR(INDEX('جدول الجرد'!$A$2:$A$31,MATCH(A147,'جدول الجرد'!$B$2:$B$31,0)),""))</f>
        <v>الجمعة</v>
      </c>
      <c r="C147" s="5" t="str">
        <f>IF(A147="","",IFERROR(INDEX('جدول الجرد'!$E$2:$E$31,MATCH(A147,'جدول الجرد'!$B$2:$B$31,0)),""))</f>
        <v>الخرج</v>
      </c>
      <c r="D147" s="4" t="n">
        <v>18</v>
      </c>
      <c r="E147" s="4" t="inlineStr">
        <is>
          <t>د. حسام شلش</t>
        </is>
      </c>
      <c r="F147" s="4" t="inlineStr">
        <is>
          <t>نعم</t>
        </is>
      </c>
      <c r="G147" s="4" t="inlineStr">
        <is>
          <t>نعم</t>
        </is>
      </c>
      <c r="H147" s="5" t="str">
        <f>IF(E147="","",IF(AND(F147="نعم",G147="نعم"),"جرد + مراجعة",IF(F147="نعم","جرد فقط",IF(G147="نعم","مراجعة فقط",""))))</f>
        <v>جرد + مراجعة</v>
      </c>
      <c r="I147" s="9">
        <f>IF(H147="جرد + مراجعة",الإعدادات!$B$2,IF(H147="مراجعة فقط",الإعدادات!$B$3,IF(H147="جرد فقط",الإعدادات!$B$4,0)))</f>
        <v>200</v>
      </c>
    </row>
    <row r="148">
      <c r="A148" s="4" t="inlineStr">
        <is>
          <t>2026-10-16</t>
        </is>
      </c>
      <c r="B148" s="5" t="str">
        <f>IF(A148="","",IFERROR(INDEX('جدول الجرد'!$A$2:$A$31,MATCH(A148,'جدول الجرد'!$B$2:$B$31,0)),""))</f>
        <v>الجمعة</v>
      </c>
      <c r="C148" s="5" t="str">
        <f>IF(A148="","",IFERROR(INDEX('جدول الجرد'!$E$2:$E$31,MATCH(A148,'جدول الجرد'!$B$2:$B$31,0)),""))</f>
        <v>الخرج</v>
      </c>
      <c r="D148" s="4" t="n">
        <v>18</v>
      </c>
      <c r="E148" s="4" t="inlineStr">
        <is>
          <t>د. علي خليفة</t>
        </is>
      </c>
      <c r="F148" s="4" t="inlineStr"/>
      <c r="G148" s="4" t="inlineStr">
        <is>
          <t>نعم</t>
        </is>
      </c>
      <c r="H148" s="5" t="str">
        <f>IF(E148="","",IF(AND(F148="نعم",G148="نعم"),"جرد + مراجعة",IF(F148="نعم","جرد فقط",IF(G148="نعم","مراجعة فقط",""))))</f>
        <v>مراجعة فقط</v>
      </c>
      <c r="I148" s="9">
        <f>IF(H148="جرد + مراجعة",الإعدادات!$B$2,IF(H148="مراجعة فقط",الإعدادات!$B$3,IF(H148="جرد فقط",الإعدادات!$B$4,0)))</f>
        <v>150</v>
      </c>
    </row>
    <row r="149">
      <c r="A149" s="4" t="inlineStr">
        <is>
          <t>2026-10-16</t>
        </is>
      </c>
      <c r="B149" s="5" t="str">
        <f>IF(A149="","",IFERROR(INDEX('جدول الجرد'!$A$2:$A$31,MATCH(A149,'جدول الجرد'!$B$2:$B$31,0)),""))</f>
        <v>الجمعة</v>
      </c>
      <c r="C149" s="5" t="str">
        <f>IF(A149="","",IFERROR(INDEX('جدول الجرد'!$E$2:$E$31,MATCH(A149,'جدول الجرد'!$B$2:$B$31,0)),""))</f>
        <v>الخرج</v>
      </c>
      <c r="D149" s="4" t="n">
        <v>18</v>
      </c>
      <c r="E149" s="4" t="inlineStr">
        <is>
          <t>د. الحسن الغنيمي</t>
        </is>
      </c>
      <c r="F149" s="4" t="inlineStr"/>
      <c r="G149" s="4" t="inlineStr">
        <is>
          <t>نعم</t>
        </is>
      </c>
      <c r="H149" s="5" t="str">
        <f>IF(E149="","",IF(AND(F149="نعم",G149="نعم"),"جرد + مراجعة",IF(F149="نعم","جرد فقط",IF(G149="نعم","مراجعة فقط",""))))</f>
        <v>مراجعة فقط</v>
      </c>
      <c r="I149" s="9">
        <f>IF(H149="جرد + مراجعة",الإعدادات!$B$2,IF(H149="مراجعة فقط",الإعدادات!$B$3,IF(H149="جرد فقط",الإعدادات!$B$4,0)))</f>
        <v>150</v>
      </c>
    </row>
    <row r="150">
      <c r="A150" s="4" t="inlineStr">
        <is>
          <t>2026-10-16</t>
        </is>
      </c>
      <c r="B150" s="5" t="str">
        <f>IF(A150="","",IFERROR(INDEX('جدول الجرد'!$A$2:$A$31,MATCH(A150,'جدول الجرد'!$B$2:$B$31,0)),""))</f>
        <v>الجمعة</v>
      </c>
      <c r="C150" s="5" t="str">
        <f>IF(A150="","",IFERROR(INDEX('جدول الجرد'!$E$2:$E$31,MATCH(A150,'جدول الجرد'!$B$2:$B$31,0)),""))</f>
        <v>الخرج</v>
      </c>
      <c r="D150" s="4" t="n">
        <v>18</v>
      </c>
      <c r="E150" s="4" t="inlineStr">
        <is>
          <t>د. محمد فؤاد</t>
        </is>
      </c>
      <c r="F150" s="4" t="inlineStr"/>
      <c r="G150" s="4" t="inlineStr">
        <is>
          <t>نعم</t>
        </is>
      </c>
      <c r="H150" s="5" t="str">
        <f>IF(E150="","",IF(AND(F150="نعم",G150="نعم"),"جرد + مراجعة",IF(F150="نعم","جرد فقط",IF(G150="نعم","مراجعة فقط",""))))</f>
        <v>مراجعة فقط</v>
      </c>
      <c r="I150" s="9">
        <f>IF(H150="جرد + مراجعة",الإعدادات!$B$2,IF(H150="مراجعة فقط",الإعدادات!$B$3,IF(H150="جرد فقط",الإعدادات!$B$4,0)))</f>
        <v>150</v>
      </c>
    </row>
    <row r="151">
      <c r="A151" s="4" t="inlineStr">
        <is>
          <t>2026-10-17</t>
        </is>
      </c>
      <c r="B151" s="5" t="str">
        <f>IF(A151="","",IFERROR(INDEX('جدول الجرد'!$A$2:$A$31,MATCH(A151,'جدول الجرد'!$B$2:$B$31,0)),""))</f>
        <v>السبت</v>
      </c>
      <c r="C151" s="5" t="str">
        <f>IF(A151="","",IFERROR(INDEX('جدول الجرد'!$E$2:$E$31,MATCH(A151,'جدول الجرد'!$B$2:$B$31,0)),""))</f>
        <v>الخرج</v>
      </c>
      <c r="D151" s="4" t="n">
        <v>19</v>
      </c>
      <c r="E151" s="4" t="inlineStr">
        <is>
          <t>د. علي خليفة</t>
        </is>
      </c>
      <c r="F151" s="4" t="inlineStr">
        <is>
          <t>نعم</t>
        </is>
      </c>
      <c r="G151" s="4" t="inlineStr">
        <is>
          <t>نعم</t>
        </is>
      </c>
      <c r="H151" s="5" t="str">
        <f>IF(E151="","",IF(AND(F151="نعم",G151="نعم"),"جرد + مراجعة",IF(F151="نعم","جرد فقط",IF(G151="نعم","مراجعة فقط",""))))</f>
        <v>جرد + مراجعة</v>
      </c>
      <c r="I151" s="9">
        <f>IF(H151="جرد + مراجعة",الإعدادات!$B$2,IF(H151="مراجعة فقط",الإعدادات!$B$3,IF(H151="جرد فقط",الإعدادات!$B$4,0)))</f>
        <v>200</v>
      </c>
    </row>
    <row r="152">
      <c r="A152" s="4" t="inlineStr">
        <is>
          <t>2026-10-17</t>
        </is>
      </c>
      <c r="B152" s="5" t="str">
        <f>IF(A152="","",IFERROR(INDEX('جدول الجرد'!$A$2:$A$31,MATCH(A152,'جدول الجرد'!$B$2:$B$31,0)),""))</f>
        <v>السبت</v>
      </c>
      <c r="C152" s="5" t="str">
        <f>IF(A152="","",IFERROR(INDEX('جدول الجرد'!$E$2:$E$31,MATCH(A152,'جدول الجرد'!$B$2:$B$31,0)),""))</f>
        <v>الخرج</v>
      </c>
      <c r="D152" s="4" t="n">
        <v>19</v>
      </c>
      <c r="E152" s="4" t="inlineStr">
        <is>
          <t>د. السيد حسن</t>
        </is>
      </c>
      <c r="F152" s="4" t="inlineStr"/>
      <c r="G152" s="4" t="inlineStr">
        <is>
          <t>نعم</t>
        </is>
      </c>
      <c r="H152" s="5" t="str">
        <f>IF(E152="","",IF(AND(F152="نعم",G152="نعم"),"جرد + مراجعة",IF(F152="نعم","جرد فقط",IF(G152="نعم","مراجعة فقط",""))))</f>
        <v>مراجعة فقط</v>
      </c>
      <c r="I152" s="9">
        <f>IF(H152="جرد + مراجعة",الإعدادات!$B$2,IF(H152="مراجعة فقط",الإعدادات!$B$3,IF(H152="جرد فقط",الإعدادات!$B$4,0)))</f>
        <v>150</v>
      </c>
    </row>
    <row r="153">
      <c r="A153" s="4" t="inlineStr">
        <is>
          <t>2026-10-17</t>
        </is>
      </c>
      <c r="B153" s="5" t="str">
        <f>IF(A153="","",IFERROR(INDEX('جدول الجرد'!$A$2:$A$31,MATCH(A153,'جدول الجرد'!$B$2:$B$31,0)),""))</f>
        <v>السبت</v>
      </c>
      <c r="C153" s="5" t="str">
        <f>IF(A153="","",IFERROR(INDEX('جدول الجرد'!$E$2:$E$31,MATCH(A153,'جدول الجرد'!$B$2:$B$31,0)),""))</f>
        <v>الخرج</v>
      </c>
      <c r="D153" s="4" t="n">
        <v>19</v>
      </c>
      <c r="E153" s="4" t="inlineStr">
        <is>
          <t>د. حسام شلش</t>
        </is>
      </c>
      <c r="F153" s="4" t="inlineStr"/>
      <c r="G153" s="4" t="inlineStr">
        <is>
          <t>نعم</t>
        </is>
      </c>
      <c r="H153" s="5" t="str">
        <f>IF(E153="","",IF(AND(F153="نعم",G153="نعم"),"جرد + مراجعة",IF(F153="نعم","جرد فقط",IF(G153="نعم","مراجعة فقط",""))))</f>
        <v>مراجعة فقط</v>
      </c>
      <c r="I153" s="9">
        <f>IF(H153="جرد + مراجعة",الإعدادات!$B$2,IF(H153="مراجعة فقط",الإعدادات!$B$3,IF(H153="جرد فقط",الإعدادات!$B$4,0)))</f>
        <v>150</v>
      </c>
    </row>
    <row r="154">
      <c r="A154" s="4" t="inlineStr">
        <is>
          <t>2026-10-18</t>
        </is>
      </c>
      <c r="B154" s="5" t="str">
        <f>IF(A154="","",IFERROR(INDEX('جدول الجرد'!$A$2:$A$31,MATCH(A154,'جدول الجرد'!$B$2:$B$31,0)),""))</f>
        <v>الأحد</v>
      </c>
      <c r="C154" s="5" t="str">
        <f>IF(A154="","",IFERROR(INDEX('جدول الجرد'!$E$2:$E$31,MATCH(A154,'جدول الجرد'!$B$2:$B$31,0)),""))</f>
        <v>الخرج</v>
      </c>
      <c r="D154" s="4" t="n">
        <v>14</v>
      </c>
      <c r="E154" s="4" t="inlineStr">
        <is>
          <t>د. حسام شلش</t>
        </is>
      </c>
      <c r="F154" s="4" t="inlineStr">
        <is>
          <t>نعم</t>
        </is>
      </c>
      <c r="G154" s="4" t="inlineStr">
        <is>
          <t>نعم</t>
        </is>
      </c>
      <c r="H154" s="5" t="str">
        <f>IF(E154="","",IF(AND(F154="نعم",G154="نعم"),"جرد + مراجعة",IF(F154="نعم","جرد فقط",IF(G154="نعم","مراجعة فقط",""))))</f>
        <v>جرد + مراجعة</v>
      </c>
      <c r="I154" s="9">
        <f>IF(H154="جرد + مراجعة",الإعدادات!$B$2,IF(H154="مراجعة فقط",الإعدادات!$B$3,IF(H154="جرد فقط",الإعدادات!$B$4,0)))</f>
        <v>200</v>
      </c>
    </row>
    <row r="155">
      <c r="A155" s="4" t="inlineStr">
        <is>
          <t>2026-10-18</t>
        </is>
      </c>
      <c r="B155" s="5" t="str">
        <f>IF(A155="","",IFERROR(INDEX('جدول الجرد'!$A$2:$A$31,MATCH(A155,'جدول الجرد'!$B$2:$B$31,0)),""))</f>
        <v>الأحد</v>
      </c>
      <c r="C155" s="5" t="str">
        <f>IF(A155="","",IFERROR(INDEX('جدول الجرد'!$E$2:$E$31,MATCH(A155,'جدول الجرد'!$B$2:$B$31,0)),""))</f>
        <v>الخرج</v>
      </c>
      <c r="D155" s="4" t="n">
        <v>14</v>
      </c>
      <c r="E155" s="4" t="inlineStr">
        <is>
          <t>د. علي خليفة</t>
        </is>
      </c>
      <c r="F155" s="4" t="inlineStr"/>
      <c r="G155" s="4" t="inlineStr">
        <is>
          <t>نعم</t>
        </is>
      </c>
      <c r="H155" s="5" t="str">
        <f>IF(E155="","",IF(AND(F155="نعم",G155="نعم"),"جرد + مراجعة",IF(F155="نعم","جرد فقط",IF(G155="نعم","مراجعة فقط",""))))</f>
        <v>مراجعة فقط</v>
      </c>
      <c r="I155" s="9">
        <f>IF(H155="جرد + مراجعة",الإعدادات!$B$2,IF(H155="مراجعة فقط",الإعدادات!$B$3,IF(H155="جرد فقط",الإعدادات!$B$4,0)))</f>
        <v>150</v>
      </c>
    </row>
    <row r="156">
      <c r="A156" s="4" t="inlineStr">
        <is>
          <t>2026-10-18</t>
        </is>
      </c>
      <c r="B156" s="5" t="str">
        <f>IF(A156="","",IFERROR(INDEX('جدول الجرد'!$A$2:$A$31,MATCH(A156,'جدول الجرد'!$B$2:$B$31,0)),""))</f>
        <v>الأحد</v>
      </c>
      <c r="C156" s="5" t="str">
        <f>IF(A156="","",IFERROR(INDEX('جدول الجرد'!$E$2:$E$31,MATCH(A156,'جدول الجرد'!$B$2:$B$31,0)),""))</f>
        <v>الخرج</v>
      </c>
      <c r="D156" s="4" t="n">
        <v>14</v>
      </c>
      <c r="E156" s="4" t="inlineStr">
        <is>
          <t>د. السيد حسن</t>
        </is>
      </c>
      <c r="F156" s="4" t="inlineStr"/>
      <c r="G156" s="4" t="inlineStr">
        <is>
          <t>نعم</t>
        </is>
      </c>
      <c r="H156" s="5" t="str">
        <f>IF(E156="","",IF(AND(F156="نعم",G156="نعم"),"جرد + مراجعة",IF(F156="نعم","جرد فقط",IF(G156="نعم","مراجعة فقط",""))))</f>
        <v>مراجعة فقط</v>
      </c>
      <c r="I156" s="9">
        <f>IF(H156="جرد + مراجعة",الإعدادات!$B$2,IF(H156="مراجعة فقط",الإعدادات!$B$3,IF(H156="جرد فقط",الإعدادات!$B$4,0)))</f>
        <v>150</v>
      </c>
    </row>
    <row r="157">
      <c r="A157" s="4" t="inlineStr">
        <is>
          <t>2026-10-19</t>
        </is>
      </c>
      <c r="B157" s="5" t="str">
        <f>IF(A157="","",IFERROR(INDEX('جدول الجرد'!$A$2:$A$31,MATCH(A157,'جدول الجرد'!$B$2:$B$31,0)),""))</f>
        <v>الاثنين</v>
      </c>
      <c r="C157" s="5" t="str">
        <f>IF(A157="","",IFERROR(INDEX('جدول الجرد'!$E$2:$E$31,MATCH(A157,'جدول الجرد'!$B$2:$B$31,0)),""))</f>
        <v>الرياض</v>
      </c>
      <c r="D157" s="4" t="n">
        <v>42</v>
      </c>
      <c r="E157" s="4" t="inlineStr">
        <is>
          <t>د. علي خليفة</t>
        </is>
      </c>
      <c r="F157" s="4" t="inlineStr">
        <is>
          <t>نعم</t>
        </is>
      </c>
      <c r="G157" s="4" t="inlineStr">
        <is>
          <t>نعم</t>
        </is>
      </c>
      <c r="H157" s="5" t="str">
        <f>IF(E157="","",IF(AND(F157="نعم",G157="نعم"),"جرد + مراجعة",IF(F157="نعم","جرد فقط",IF(G157="نعم","مراجعة فقط",""))))</f>
        <v>جرد + مراجعة</v>
      </c>
      <c r="I157" s="9">
        <f>IF(H157="جرد + مراجعة",الإعدادات!$B$2,IF(H157="مراجعة فقط",الإعدادات!$B$3,IF(H157="جرد فقط",الإعدادات!$B$4,0)))</f>
        <v>200</v>
      </c>
    </row>
    <row r="158">
      <c r="A158" s="4" t="inlineStr">
        <is>
          <t>2026-10-19</t>
        </is>
      </c>
      <c r="B158" s="5" t="str">
        <f>IF(A158="","",IFERROR(INDEX('جدول الجرد'!$A$2:$A$31,MATCH(A158,'جدول الجرد'!$B$2:$B$31,0)),""))</f>
        <v>الاثنين</v>
      </c>
      <c r="C158" s="5" t="str">
        <f>IF(A158="","",IFERROR(INDEX('جدول الجرد'!$E$2:$E$31,MATCH(A158,'جدول الجرد'!$B$2:$B$31,0)),""))</f>
        <v>الرياض</v>
      </c>
      <c r="D158" s="4" t="n">
        <v>42</v>
      </c>
      <c r="E158" s="4" t="inlineStr">
        <is>
          <t>د. حسام شلش</t>
        </is>
      </c>
      <c r="F158" s="4" t="inlineStr"/>
      <c r="G158" s="4" t="inlineStr">
        <is>
          <t>نعم</t>
        </is>
      </c>
      <c r="H158" s="5" t="str">
        <f>IF(E158="","",IF(AND(F158="نعم",G158="نعم"),"جرد + مراجعة",IF(F158="نعم","جرد فقط",IF(G158="نعم","مراجعة فقط",""))))</f>
        <v>مراجعة فقط</v>
      </c>
      <c r="I158" s="9">
        <f>IF(H158="جرد + مراجعة",الإعدادات!$B$2,IF(H158="مراجعة فقط",الإعدادات!$B$3,IF(H158="جرد فقط",الإعدادات!$B$4,0)))</f>
        <v>150</v>
      </c>
    </row>
    <row r="159">
      <c r="A159" s="4" t="inlineStr">
        <is>
          <t>2026-10-19</t>
        </is>
      </c>
      <c r="B159" s="5" t="str">
        <f>IF(A159="","",IFERROR(INDEX('جدول الجرد'!$A$2:$A$31,MATCH(A159,'جدول الجرد'!$B$2:$B$31,0)),""))</f>
        <v>الاثنين</v>
      </c>
      <c r="C159" s="5" t="str">
        <f>IF(A159="","",IFERROR(INDEX('جدول الجرد'!$E$2:$E$31,MATCH(A159,'جدول الجرد'!$B$2:$B$31,0)),""))</f>
        <v>الرياض</v>
      </c>
      <c r="D159" s="4" t="n">
        <v>42</v>
      </c>
      <c r="E159" s="4" t="inlineStr">
        <is>
          <t>د. السيد حسن</t>
        </is>
      </c>
      <c r="F159" s="4" t="inlineStr"/>
      <c r="G159" s="4" t="inlineStr">
        <is>
          <t>نعم</t>
        </is>
      </c>
      <c r="H159" s="5" t="str">
        <f>IF(E159="","",IF(AND(F159="نعم",G159="نعم"),"جرد + مراجعة",IF(F159="نعم","جرد فقط",IF(G159="نعم","مراجعة فقط",""))))</f>
        <v>مراجعة فقط</v>
      </c>
      <c r="I159" s="9">
        <f>IF(H159="جرد + مراجعة",الإعدادات!$B$2,IF(H159="مراجعة فقط",الإعدادات!$B$3,IF(H159="جرد فقط",الإعدادات!$B$4,0)))</f>
        <v>150</v>
      </c>
    </row>
    <row r="160">
      <c r="A160" s="4" t="inlineStr">
        <is>
          <t>2026-10-19</t>
        </is>
      </c>
      <c r="B160" s="5" t="str">
        <f>IF(A160="","",IFERROR(INDEX('جدول الجرد'!$A$2:$A$31,MATCH(A160,'جدول الجرد'!$B$2:$B$31,0)),""))</f>
        <v>الاثنين</v>
      </c>
      <c r="C160" s="5" t="str">
        <f>IF(A160="","",IFERROR(INDEX('جدول الجرد'!$E$2:$E$31,MATCH(A160,'جدول الجرد'!$B$2:$B$31,0)),""))</f>
        <v>الرياض</v>
      </c>
      <c r="D160" s="4" t="n">
        <v>44</v>
      </c>
      <c r="E160" s="4" t="inlineStr">
        <is>
          <t>د. علي خليفة</t>
        </is>
      </c>
      <c r="F160" s="4" t="inlineStr">
        <is>
          <t>نعم</t>
        </is>
      </c>
      <c r="G160" s="4" t="inlineStr">
        <is>
          <t>نعم</t>
        </is>
      </c>
      <c r="H160" s="5" t="str">
        <f>IF(E160="","",IF(AND(F160="نعم",G160="نعم"),"جرد + مراجعة",IF(F160="نعم","جرد فقط",IF(G160="نعم","مراجعة فقط",""))))</f>
        <v>جرد + مراجعة</v>
      </c>
      <c r="I160" s="9">
        <f>IF(H160="جرد + مراجعة",الإعدادات!$B$2,IF(H160="مراجعة فقط",الإعدادات!$B$3,IF(H160="جرد فقط",الإعدادات!$B$4,0)))</f>
        <v>200</v>
      </c>
    </row>
    <row r="161">
      <c r="A161" s="4" t="inlineStr">
        <is>
          <t>2026-10-19</t>
        </is>
      </c>
      <c r="B161" s="5" t="str">
        <f>IF(A161="","",IFERROR(INDEX('جدول الجرد'!$A$2:$A$31,MATCH(A161,'جدول الجرد'!$B$2:$B$31,0)),""))</f>
        <v>الاثنين</v>
      </c>
      <c r="C161" s="5" t="str">
        <f>IF(A161="","",IFERROR(INDEX('جدول الجرد'!$E$2:$E$31,MATCH(A161,'جدول الجرد'!$B$2:$B$31,0)),""))</f>
        <v>الرياض</v>
      </c>
      <c r="D161" s="4" t="n">
        <v>44</v>
      </c>
      <c r="E161" s="4" t="inlineStr">
        <is>
          <t>د. حسام شلش</t>
        </is>
      </c>
      <c r="F161" s="4" t="inlineStr"/>
      <c r="G161" s="4" t="inlineStr">
        <is>
          <t>نعم</t>
        </is>
      </c>
      <c r="H161" s="5" t="str">
        <f>IF(E161="","",IF(AND(F161="نعم",G161="نعم"),"جرد + مراجعة",IF(F161="نعم","جرد فقط",IF(G161="نعم","مراجعة فقط",""))))</f>
        <v>مراجعة فقط</v>
      </c>
      <c r="I161" s="9">
        <f>IF(H161="جرد + مراجعة",الإعدادات!$B$2,IF(H161="مراجعة فقط",الإعدادات!$B$3,IF(H161="جرد فقط",الإعدادات!$B$4,0)))</f>
        <v>150</v>
      </c>
    </row>
    <row r="162">
      <c r="A162" s="4" t="inlineStr">
        <is>
          <t>2026-10-19</t>
        </is>
      </c>
      <c r="B162" s="5" t="str">
        <f>IF(A162="","",IFERROR(INDEX('جدول الجرد'!$A$2:$A$31,MATCH(A162,'جدول الجرد'!$B$2:$B$31,0)),""))</f>
        <v>الاثنين</v>
      </c>
      <c r="C162" s="5" t="str">
        <f>IF(A162="","",IFERROR(INDEX('جدول الجرد'!$E$2:$E$31,MATCH(A162,'جدول الجرد'!$B$2:$B$31,0)),""))</f>
        <v>الرياض</v>
      </c>
      <c r="D162" s="4" t="n">
        <v>44</v>
      </c>
      <c r="E162" s="4" t="inlineStr">
        <is>
          <t>د. السيد حسن</t>
        </is>
      </c>
      <c r="F162" s="4" t="inlineStr"/>
      <c r="G162" s="4" t="inlineStr">
        <is>
          <t>نعم</t>
        </is>
      </c>
      <c r="H162" s="5" t="str">
        <f>IF(E162="","",IF(AND(F162="نعم",G162="نعم"),"جرد + مراجعة",IF(F162="نعم","جرد فقط",IF(G162="نعم","مراجعة فقط",""))))</f>
        <v>مراجعة فقط</v>
      </c>
      <c r="I162" s="9">
        <f>IF(H162="جرد + مراجعة",الإعدادات!$B$2,IF(H162="مراجعة فقط",الإعدادات!$B$3,IF(H162="جرد فقط",الإعدادات!$B$4,0)))</f>
        <v>150</v>
      </c>
    </row>
    <row r="163">
      <c r="A163" s="4" t="inlineStr">
        <is>
          <t>2026-10-20</t>
        </is>
      </c>
      <c r="B163" s="5" t="str">
        <f>IF(A163="","",IFERROR(INDEX('جدول الجرد'!$A$2:$A$31,MATCH(A163,'جدول الجرد'!$B$2:$B$31,0)),""))</f>
        <v>الثلاثاء</v>
      </c>
      <c r="C163" s="5" t="str">
        <f>IF(A163="","",IFERROR(INDEX('جدول الجرد'!$E$2:$E$31,MATCH(A163,'جدول الجرد'!$B$2:$B$31,0)),""))</f>
        <v>الرياض</v>
      </c>
      <c r="D163" s="4" t="n">
        <v>43</v>
      </c>
      <c r="E163" s="4" t="inlineStr">
        <is>
          <t>د. حسام شلش</t>
        </is>
      </c>
      <c r="F163" s="4" t="inlineStr">
        <is>
          <t>نعم</t>
        </is>
      </c>
      <c r="G163" s="4" t="inlineStr">
        <is>
          <t>نعم</t>
        </is>
      </c>
      <c r="H163" s="5" t="str">
        <f>IF(E163="","",IF(AND(F163="نعم",G163="نعم"),"جرد + مراجعة",IF(F163="نعم","جرد فقط",IF(G163="نعم","مراجعة فقط",""))))</f>
        <v>جرد + مراجعة</v>
      </c>
      <c r="I163" s="9">
        <f>IF(H163="جرد + مراجعة",الإعدادات!$B$2,IF(H163="مراجعة فقط",الإعدادات!$B$3,IF(H163="جرد فقط",الإعدادات!$B$4,0)))</f>
        <v>200</v>
      </c>
    </row>
    <row r="164">
      <c r="A164" s="4" t="inlineStr">
        <is>
          <t>2026-10-20</t>
        </is>
      </c>
      <c r="B164" s="5" t="str">
        <f>IF(A164="","",IFERROR(INDEX('جدول الجرد'!$A$2:$A$31,MATCH(A164,'جدول الجرد'!$B$2:$B$31,0)),""))</f>
        <v>الثلاثاء</v>
      </c>
      <c r="C164" s="5" t="str">
        <f>IF(A164="","",IFERROR(INDEX('جدول الجرد'!$E$2:$E$31,MATCH(A164,'جدول الجرد'!$B$2:$B$31,0)),""))</f>
        <v>الرياض</v>
      </c>
      <c r="D164" s="4" t="n">
        <v>43</v>
      </c>
      <c r="E164" s="4" t="inlineStr">
        <is>
          <t>د. السيد حسن</t>
        </is>
      </c>
      <c r="F164" s="4" t="inlineStr"/>
      <c r="G164" s="4" t="inlineStr">
        <is>
          <t>نعم</t>
        </is>
      </c>
      <c r="H164" s="5" t="str">
        <f>IF(E164="","",IF(AND(F164="نعم",G164="نعم"),"جرد + مراجعة",IF(F164="نعم","جرد فقط",IF(G164="نعم","مراجعة فقط",""))))</f>
        <v>مراجعة فقط</v>
      </c>
      <c r="I164" s="9">
        <f>IF(H164="جرد + مراجعة",الإعدادات!$B$2,IF(H164="مراجعة فقط",الإعدادات!$B$3,IF(H164="جرد فقط",الإعدادات!$B$4,0)))</f>
        <v>150</v>
      </c>
    </row>
    <row r="165">
      <c r="A165" s="4" t="inlineStr">
        <is>
          <t>2026-10-20</t>
        </is>
      </c>
      <c r="B165" s="5" t="str">
        <f>IF(A165="","",IFERROR(INDEX('جدول الجرد'!$A$2:$A$31,MATCH(A165,'جدول الجرد'!$B$2:$B$31,0)),""))</f>
        <v>الثلاثاء</v>
      </c>
      <c r="C165" s="5" t="str">
        <f>IF(A165="","",IFERROR(INDEX('جدول الجرد'!$E$2:$E$31,MATCH(A165,'جدول الجرد'!$B$2:$B$31,0)),""))</f>
        <v>الرياض</v>
      </c>
      <c r="D165" s="4" t="n">
        <v>45</v>
      </c>
      <c r="E165" s="4" t="inlineStr">
        <is>
          <t>د. حسام شلش</t>
        </is>
      </c>
      <c r="F165" s="4" t="inlineStr">
        <is>
          <t>نعم</t>
        </is>
      </c>
      <c r="G165" s="4" t="inlineStr">
        <is>
          <t>نعم</t>
        </is>
      </c>
      <c r="H165" s="5" t="str">
        <f>IF(E165="","",IF(AND(F165="نعم",G165="نعم"),"جرد + مراجعة",IF(F165="نعم","جرد فقط",IF(G165="نعم","مراجعة فقط",""))))</f>
        <v>جرد + مراجعة</v>
      </c>
      <c r="I165" s="9">
        <f>IF(H165="جرد + مراجعة",الإعدادات!$B$2,IF(H165="مراجعة فقط",الإعدادات!$B$3,IF(H165="جرد فقط",الإعدادات!$B$4,0)))</f>
        <v>200</v>
      </c>
    </row>
    <row r="166">
      <c r="A166" s="4" t="inlineStr">
        <is>
          <t>2026-10-20</t>
        </is>
      </c>
      <c r="B166" s="5" t="str">
        <f>IF(A166="","",IFERROR(INDEX('جدول الجرد'!$A$2:$A$31,MATCH(A166,'جدول الجرد'!$B$2:$B$31,0)),""))</f>
        <v>الثلاثاء</v>
      </c>
      <c r="C166" s="5" t="str">
        <f>IF(A166="","",IFERROR(INDEX('جدول الجرد'!$E$2:$E$31,MATCH(A166,'جدول الجرد'!$B$2:$B$31,0)),""))</f>
        <v>الرياض</v>
      </c>
      <c r="D166" s="4" t="n">
        <v>45</v>
      </c>
      <c r="E166" s="4" t="inlineStr">
        <is>
          <t>د. السيد حسن</t>
        </is>
      </c>
      <c r="F166" s="4" t="inlineStr"/>
      <c r="G166" s="4" t="inlineStr">
        <is>
          <t>نعم</t>
        </is>
      </c>
      <c r="H166" s="5" t="str">
        <f>IF(E166="","",IF(AND(F166="نعم",G166="نعم"),"جرد + مراجعة",IF(F166="نعم","جرد فقط",IF(G166="نعم","مراجعة فقط",""))))</f>
        <v>مراجعة فقط</v>
      </c>
      <c r="I166" s="9">
        <f>IF(H166="جرد + مراجعة",الإعدادات!$B$2,IF(H166="مراجعة فقط",الإعدادات!$B$3,IF(H166="جرد فقط",الإعدادات!$B$4,0)))</f>
        <v>150</v>
      </c>
    </row>
    <row r="167">
      <c r="A167" s="4" t="inlineStr">
        <is>
          <t>2026-10-21</t>
        </is>
      </c>
      <c r="B167" s="5" t="str">
        <f>IF(A167="","",IFERROR(INDEX('جدول الجرد'!$A$2:$A$31,MATCH(A167,'جدول الجرد'!$B$2:$B$31,0)),""))</f>
        <v>الأربعاء</v>
      </c>
      <c r="C167" s="5" t="str">
        <f>IF(A167="","",IFERROR(INDEX('جدول الجرد'!$E$2:$E$31,MATCH(A167,'جدول الجرد'!$B$2:$B$31,0)),""))</f>
        <v>الرياض</v>
      </c>
      <c r="D167" s="4" t="n">
        <v>23</v>
      </c>
      <c r="E167" s="4" t="inlineStr">
        <is>
          <t>د. علي خليفة</t>
        </is>
      </c>
      <c r="F167" s="4" t="inlineStr">
        <is>
          <t>نعم</t>
        </is>
      </c>
      <c r="G167" s="4" t="inlineStr">
        <is>
          <t>نعم</t>
        </is>
      </c>
      <c r="H167" s="5" t="str">
        <f>IF(E167="","",IF(AND(F167="نعم",G167="نعم"),"جرد + مراجعة",IF(F167="نعم","جرد فقط",IF(G167="نعم","مراجعة فقط",""))))</f>
        <v>جرد + مراجعة</v>
      </c>
      <c r="I167" s="9">
        <f>IF(H167="جرد + مراجعة",الإعدادات!$B$2,IF(H167="مراجعة فقط",الإعدادات!$B$3,IF(H167="جرد فقط",الإعدادات!$B$4,0)))</f>
        <v>200</v>
      </c>
    </row>
    <row r="168">
      <c r="A168" s="4" t="inlineStr">
        <is>
          <t>2026-10-21</t>
        </is>
      </c>
      <c r="B168" s="5" t="str">
        <f>IF(A168="","",IFERROR(INDEX('جدول الجرد'!$A$2:$A$31,MATCH(A168,'جدول الجرد'!$B$2:$B$31,0)),""))</f>
        <v>الأربعاء</v>
      </c>
      <c r="C168" s="5" t="str">
        <f>IF(A168="","",IFERROR(INDEX('جدول الجرد'!$E$2:$E$31,MATCH(A168,'جدول الجرد'!$B$2:$B$31,0)),""))</f>
        <v>الرياض</v>
      </c>
      <c r="D168" s="4" t="n">
        <v>23</v>
      </c>
      <c r="E168" s="4" t="inlineStr">
        <is>
          <t>د. حسام شلش</t>
        </is>
      </c>
      <c r="F168" s="4" t="inlineStr"/>
      <c r="G168" s="4" t="inlineStr">
        <is>
          <t>نعم</t>
        </is>
      </c>
      <c r="H168" s="5" t="str">
        <f>IF(E168="","",IF(AND(F168="نعم",G168="نعم"),"جرد + مراجعة",IF(F168="نعم","جرد فقط",IF(G168="نعم","مراجعة فقط",""))))</f>
        <v>مراجعة فقط</v>
      </c>
      <c r="I168" s="9">
        <f>IF(H168="جرد + مراجعة",الإعدادات!$B$2,IF(H168="مراجعة فقط",الإعدادات!$B$3,IF(H168="جرد فقط",الإعدادات!$B$4,0)))</f>
        <v>150</v>
      </c>
    </row>
    <row r="169">
      <c r="A169" s="4" t="inlineStr">
        <is>
          <t>2026-10-21</t>
        </is>
      </c>
      <c r="B169" s="5" t="str">
        <f>IF(A169="","",IFERROR(INDEX('جدول الجرد'!$A$2:$A$31,MATCH(A169,'جدول الجرد'!$B$2:$B$31,0)),""))</f>
        <v>الأربعاء</v>
      </c>
      <c r="C169" s="5" t="str">
        <f>IF(A169="","",IFERROR(INDEX('جدول الجرد'!$E$2:$E$31,MATCH(A169,'جدول الجرد'!$B$2:$B$31,0)),""))</f>
        <v>الرياض</v>
      </c>
      <c r="D169" s="4" t="n">
        <v>23</v>
      </c>
      <c r="E169" s="4" t="inlineStr">
        <is>
          <t>د. السيد حسن</t>
        </is>
      </c>
      <c r="F169" s="4" t="inlineStr"/>
      <c r="G169" s="4" t="inlineStr">
        <is>
          <t>نعم</t>
        </is>
      </c>
      <c r="H169" s="5" t="str">
        <f>IF(E169="","",IF(AND(F169="نعم",G169="نعم"),"جرد + مراجعة",IF(F169="نعم","جرد فقط",IF(G169="نعم","مراجعة فقط",""))))</f>
        <v>مراجعة فقط</v>
      </c>
      <c r="I169" s="9">
        <f>IF(H169="جرد + مراجعة",الإعدادات!$B$2,IF(H169="مراجعة فقط",الإعدادات!$B$3,IF(H169="جرد فقط",الإعدادات!$B$4,0)))</f>
        <v>150</v>
      </c>
    </row>
    <row r="170">
      <c r="A170" s="4" t="inlineStr">
        <is>
          <t>2026-10-21</t>
        </is>
      </c>
      <c r="B170" s="5" t="str">
        <f>IF(A170="","",IFERROR(INDEX('جدول الجرد'!$A$2:$A$31,MATCH(A170,'جدول الجرد'!$B$2:$B$31,0)),""))</f>
        <v>الأربعاء</v>
      </c>
      <c r="C170" s="5" t="str">
        <f>IF(A170="","",IFERROR(INDEX('جدول الجرد'!$E$2:$E$31,MATCH(A170,'جدول الجرد'!$B$2:$B$31,0)),""))</f>
        <v>الرياض</v>
      </c>
      <c r="D170" s="4" t="n">
        <v>58</v>
      </c>
      <c r="E170" s="4" t="inlineStr">
        <is>
          <t>د. علي خليفة</t>
        </is>
      </c>
      <c r="F170" s="4" t="inlineStr">
        <is>
          <t>نعم</t>
        </is>
      </c>
      <c r="G170" s="4" t="inlineStr">
        <is>
          <t>نعم</t>
        </is>
      </c>
      <c r="H170" s="5" t="str">
        <f>IF(E170="","",IF(AND(F170="نعم",G170="نعم"),"جرد + مراجعة",IF(F170="نعم","جرد فقط",IF(G170="نعم","مراجعة فقط",""))))</f>
        <v>جرد + مراجعة</v>
      </c>
      <c r="I170" s="9">
        <f>IF(H170="جرد + مراجعة",الإعدادات!$B$2,IF(H170="مراجعة فقط",الإعدادات!$B$3,IF(H170="جرد فقط",الإعدادات!$B$4,0)))</f>
        <v>200</v>
      </c>
    </row>
    <row r="171">
      <c r="A171" s="4" t="inlineStr">
        <is>
          <t>2026-10-21</t>
        </is>
      </c>
      <c r="B171" s="5" t="str">
        <f>IF(A171="","",IFERROR(INDEX('جدول الجرد'!$A$2:$A$31,MATCH(A171,'جدول الجرد'!$B$2:$B$31,0)),""))</f>
        <v>الأربعاء</v>
      </c>
      <c r="C171" s="5" t="str">
        <f>IF(A171="","",IFERROR(INDEX('جدول الجرد'!$E$2:$E$31,MATCH(A171,'جدول الجرد'!$B$2:$B$31,0)),""))</f>
        <v>الرياض</v>
      </c>
      <c r="D171" s="4" t="n">
        <v>58</v>
      </c>
      <c r="E171" s="4" t="inlineStr">
        <is>
          <t>د. حسام شلش</t>
        </is>
      </c>
      <c r="F171" s="4" t="inlineStr"/>
      <c r="G171" s="4" t="inlineStr">
        <is>
          <t>نعم</t>
        </is>
      </c>
      <c r="H171" s="5" t="str">
        <f>IF(E171="","",IF(AND(F171="نعم",G171="نعم"),"جرد + مراجعة",IF(F171="نعم","جرد فقط",IF(G171="نعم","مراجعة فقط",""))))</f>
        <v>مراجعة فقط</v>
      </c>
      <c r="I171" s="9">
        <f>IF(H171="جرد + مراجعة",الإعدادات!$B$2,IF(H171="مراجعة فقط",الإعدادات!$B$3,IF(H171="جرد فقط",الإعدادات!$B$4,0)))</f>
        <v>150</v>
      </c>
    </row>
    <row r="172">
      <c r="A172" s="4" t="inlineStr">
        <is>
          <t>2026-10-21</t>
        </is>
      </c>
      <c r="B172" s="5" t="str">
        <f>IF(A172="","",IFERROR(INDEX('جدول الجرد'!$A$2:$A$31,MATCH(A172,'جدول الجرد'!$B$2:$B$31,0)),""))</f>
        <v>الأربعاء</v>
      </c>
      <c r="C172" s="5" t="str">
        <f>IF(A172="","",IFERROR(INDEX('جدول الجرد'!$E$2:$E$31,MATCH(A172,'جدول الجرد'!$B$2:$B$31,0)),""))</f>
        <v>الرياض</v>
      </c>
      <c r="D172" s="4" t="n">
        <v>58</v>
      </c>
      <c r="E172" s="4" t="inlineStr">
        <is>
          <t>د. السيد حسن</t>
        </is>
      </c>
      <c r="F172" s="4" t="inlineStr"/>
      <c r="G172" s="4" t="inlineStr">
        <is>
          <t>نعم</t>
        </is>
      </c>
      <c r="H172" s="5" t="str">
        <f>IF(E172="","",IF(AND(F172="نعم",G172="نعم"),"جرد + مراجعة",IF(F172="نعم","جرد فقط",IF(G172="نعم","مراجعة فقط",""))))</f>
        <v>مراجعة فقط</v>
      </c>
      <c r="I172" s="9">
        <f>IF(H172="جرد + مراجعة",الإعدادات!$B$2,IF(H172="مراجعة فقط",الإعدادات!$B$3,IF(H172="جرد فقط",الإعدادات!$B$4,0)))</f>
        <v>150</v>
      </c>
    </row>
    <row r="173">
      <c r="A173" s="4" t="inlineStr">
        <is>
          <t>2026-10-22</t>
        </is>
      </c>
      <c r="B173" s="5" t="str">
        <f>IF(A173="","",IFERROR(INDEX('جدول الجرد'!$A$2:$A$31,MATCH(A173,'جدول الجرد'!$B$2:$B$31,0)),""))</f>
        <v>الخميس</v>
      </c>
      <c r="C173" s="5" t="str">
        <f>IF(A173="","",IFERROR(INDEX('جدول الجرد'!$E$2:$E$31,MATCH(A173,'جدول الجرد'!$B$2:$B$31,0)),""))</f>
        <v>الخرج</v>
      </c>
      <c r="D173" s="4" t="n">
        <v>6</v>
      </c>
      <c r="E173" s="4" t="inlineStr">
        <is>
          <t>د. حسام شلش</t>
        </is>
      </c>
      <c r="F173" s="4" t="inlineStr">
        <is>
          <t>نعم</t>
        </is>
      </c>
      <c r="G173" s="4" t="inlineStr">
        <is>
          <t>نعم</t>
        </is>
      </c>
      <c r="H173" s="5" t="str">
        <f>IF(E173="","",IF(AND(F173="نعم",G173="نعم"),"جرد + مراجعة",IF(F173="نعم","جرد فقط",IF(G173="نعم","مراجعة فقط",""))))</f>
        <v>جرد + مراجعة</v>
      </c>
      <c r="I173" s="9">
        <f>IF(H173="جرد + مراجعة",الإعدادات!$B$2,IF(H173="مراجعة فقط",الإعدادات!$B$3,IF(H173="جرد فقط",الإعدادات!$B$4,0)))</f>
        <v>200</v>
      </c>
    </row>
    <row r="174">
      <c r="A174" s="4" t="inlineStr">
        <is>
          <t>2026-10-22</t>
        </is>
      </c>
      <c r="B174" s="5" t="str">
        <f>IF(A174="","",IFERROR(INDEX('جدول الجرد'!$A$2:$A$31,MATCH(A174,'جدول الجرد'!$B$2:$B$31,0)),""))</f>
        <v>الخميس</v>
      </c>
      <c r="C174" s="5" t="str">
        <f>IF(A174="","",IFERROR(INDEX('جدول الجرد'!$E$2:$E$31,MATCH(A174,'جدول الجرد'!$B$2:$B$31,0)),""))</f>
        <v>الخرج</v>
      </c>
      <c r="D174" s="4" t="n">
        <v>6</v>
      </c>
      <c r="E174" s="4" t="inlineStr">
        <is>
          <t>د. علي خليفة</t>
        </is>
      </c>
      <c r="F174" s="4" t="inlineStr"/>
      <c r="G174" s="4" t="inlineStr">
        <is>
          <t>نعم</t>
        </is>
      </c>
      <c r="H174" s="5" t="str">
        <f>IF(E174="","",IF(AND(F174="نعم",G174="نعم"),"جرد + مراجعة",IF(F174="نعم","جرد فقط",IF(G174="نعم","مراجعة فقط",""))))</f>
        <v>مراجعة فقط</v>
      </c>
      <c r="I174" s="9">
        <f>IF(H174="جرد + مراجعة",الإعدادات!$B$2,IF(H174="مراجعة فقط",الإعدادات!$B$3,IF(H174="جرد فقط",الإعدادات!$B$4,0)))</f>
        <v>150</v>
      </c>
    </row>
    <row r="175">
      <c r="A175" s="4" t="inlineStr">
        <is>
          <t>2026-10-22</t>
        </is>
      </c>
      <c r="B175" s="5" t="str">
        <f>IF(A175="","",IFERROR(INDEX('جدول الجرد'!$A$2:$A$31,MATCH(A175,'جدول الجرد'!$B$2:$B$31,0)),""))</f>
        <v>الخميس</v>
      </c>
      <c r="C175" s="5" t="str">
        <f>IF(A175="","",IFERROR(INDEX('جدول الجرد'!$E$2:$E$31,MATCH(A175,'جدول الجرد'!$B$2:$B$31,0)),""))</f>
        <v>الخرج</v>
      </c>
      <c r="D175" s="4" t="n">
        <v>13</v>
      </c>
      <c r="E175" s="4" t="inlineStr">
        <is>
          <t>د. حسام شلش</t>
        </is>
      </c>
      <c r="F175" s="4" t="inlineStr">
        <is>
          <t>نعم</t>
        </is>
      </c>
      <c r="G175" s="4" t="inlineStr">
        <is>
          <t>نعم</t>
        </is>
      </c>
      <c r="H175" s="5" t="str">
        <f>IF(E175="","",IF(AND(F175="نعم",G175="نعم"),"جرد + مراجعة",IF(F175="نعم","جرد فقط",IF(G175="نعم","مراجعة فقط",""))))</f>
        <v>جرد + مراجعة</v>
      </c>
      <c r="I175" s="9">
        <f>IF(H175="جرد + مراجعة",الإعدادات!$B$2,IF(H175="مراجعة فقط",الإعدادات!$B$3,IF(H175="جرد فقط",الإعدادات!$B$4,0)))</f>
        <v>200</v>
      </c>
    </row>
    <row r="176">
      <c r="A176" s="4" t="inlineStr">
        <is>
          <t>2026-10-22</t>
        </is>
      </c>
      <c r="B176" s="5" t="str">
        <f>IF(A176="","",IFERROR(INDEX('جدول الجرد'!$A$2:$A$31,MATCH(A176,'جدول الجرد'!$B$2:$B$31,0)),""))</f>
        <v>الخميس</v>
      </c>
      <c r="C176" s="5" t="str">
        <f>IF(A176="","",IFERROR(INDEX('جدول الجرد'!$E$2:$E$31,MATCH(A176,'جدول الجرد'!$B$2:$B$31,0)),""))</f>
        <v>الخرج</v>
      </c>
      <c r="D176" s="4" t="n">
        <v>13</v>
      </c>
      <c r="E176" s="4" t="inlineStr">
        <is>
          <t>د. السيد حسن</t>
        </is>
      </c>
      <c r="F176" s="4" t="inlineStr"/>
      <c r="G176" s="4" t="inlineStr">
        <is>
          <t>نعم</t>
        </is>
      </c>
      <c r="H176" s="5" t="str">
        <f>IF(E176="","",IF(AND(F176="نعم",G176="نعم"),"جرد + مراجعة",IF(F176="نعم","جرد فقط",IF(G176="نعم","مراجعة فقط",""))))</f>
        <v>مراجعة فقط</v>
      </c>
      <c r="I176" s="9">
        <f>IF(H176="جرد + مراجعة",الإعدادات!$B$2,IF(H176="مراجعة فقط",الإعدادات!$B$3,IF(H176="جرد فقط",الإعدادات!$B$4,0)))</f>
        <v>150</v>
      </c>
    </row>
    <row r="177">
      <c r="A177" s="4" t="inlineStr">
        <is>
          <t>2026-10-22</t>
        </is>
      </c>
      <c r="B177" s="5" t="str">
        <f>IF(A177="","",IFERROR(INDEX('جدول الجرد'!$A$2:$A$31,MATCH(A177,'جدول الجرد'!$B$2:$B$31,0)),""))</f>
        <v>الخميس</v>
      </c>
      <c r="C177" s="5" t="str">
        <f>IF(A177="","",IFERROR(INDEX('جدول الجرد'!$E$2:$E$31,MATCH(A177,'جدول الجرد'!$B$2:$B$31,0)),""))</f>
        <v>الخرج</v>
      </c>
      <c r="D177" s="4" t="n">
        <v>13</v>
      </c>
      <c r="E177" s="4" t="inlineStr">
        <is>
          <t>د. علي خليفة</t>
        </is>
      </c>
      <c r="F177" s="4" t="inlineStr"/>
      <c r="G177" s="4" t="inlineStr">
        <is>
          <t>نعم</t>
        </is>
      </c>
      <c r="H177" s="5" t="str">
        <f>IF(E177="","",IF(AND(F177="نعم",G177="نعم"),"جرد + مراجعة",IF(F177="نعم","جرد فقط",IF(G177="نعم","مراجعة فقط",""))))</f>
        <v>مراجعة فقط</v>
      </c>
      <c r="I177" s="9">
        <f>IF(H177="جرد + مراجعة",الإعدادات!$B$2,IF(H177="مراجعة فقط",الإعدادات!$B$3,IF(H177="جرد فقط",الإعدادات!$B$4,0)))</f>
        <v>150</v>
      </c>
    </row>
    <row r="178">
      <c r="A178" s="4" t="n"/>
      <c r="B178" s="5" t="str">
        <f>IF(A178="","",IFERROR(INDEX('جدول الجرد'!$A$2:$A$31,MATCH(A178,'جدول الجرد'!$B$2:$B$31,0)),""))</f>
        <v/>
      </c>
      <c r="C178" s="5" t="str">
        <f>IF(A178="","",IFERROR(INDEX('جدول الجرد'!$E$2:$E$31,MATCH(A178,'جدول الجرد'!$B$2:$B$31,0)),""))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الجرد'!$A$2:$A$31,MATCH(A179,'جدول الجرد'!$B$2:$B$31,0)),""))</f>
        <v/>
      </c>
      <c r="C179" s="5" t="str">
        <f>IF(A179="","",IFERROR(INDEX('جدول الجرد'!$E$2:$E$31,MATCH(A179,'جدول الجرد'!$B$2:$B$31,0)),""))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الجرد'!$A$2:$A$31,MATCH(A180,'جدول الجرد'!$B$2:$B$31,0)),""))</f>
        <v/>
      </c>
      <c r="C180" s="5" t="str">
        <f>IF(A180="","",IFERROR(INDEX('جدول الجرد'!$E$2:$E$31,MATCH(A180,'جدول الجرد'!$B$2:$B$31,0)),""))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الجرد'!$A$2:$A$31,MATCH(A181,'جدول الجرد'!$B$2:$B$31,0)),""))</f>
        <v/>
      </c>
      <c r="C181" s="5" t="str">
        <f>IF(A181="","",IFERROR(INDEX('جدول الجرد'!$E$2:$E$31,MATCH(A181,'جدول الجرد'!$B$2:$B$31,0)),""))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الجرد'!$A$2:$A$31,MATCH(A182,'جدول الجرد'!$B$2:$B$31,0)),""))</f>
        <v/>
      </c>
      <c r="C182" s="5" t="str">
        <f>IF(A182="","",IFERROR(INDEX('جدول الجرد'!$E$2:$E$31,MATCH(A182,'جدول الجرد'!$B$2:$B$31,0)),""))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الجرد'!$A$2:$A$31,MATCH(A183,'جدول الجرد'!$B$2:$B$31,0)),""))</f>
        <v/>
      </c>
      <c r="C183" s="5" t="str">
        <f>IF(A183="","",IFERROR(INDEX('جدول الجرد'!$E$2:$E$31,MATCH(A183,'جدول الجرد'!$B$2:$B$31,0)),""))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الجرد'!$A$2:$A$31,MATCH(A184,'جدول الجرد'!$B$2:$B$31,0)),""))</f>
        <v/>
      </c>
      <c r="C184" s="5" t="str">
        <f>IF(A184="","",IFERROR(INDEX('جدول الجرد'!$E$2:$E$31,MATCH(A184,'جدول الجرد'!$B$2:$B$31,0)),""))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الجرد'!$A$2:$A$31,MATCH(A185,'جدول الجرد'!$B$2:$B$31,0)),""))</f>
        <v/>
      </c>
      <c r="C185" s="5" t="str">
        <f>IF(A185="","",IFERROR(INDEX('جدول الجرد'!$E$2:$E$31,MATCH(A185,'جدول الجرد'!$B$2:$B$31,0)),""))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الجرد'!$A$2:$A$31,MATCH(A186,'جدول الجرد'!$B$2:$B$31,0)),""))</f>
        <v/>
      </c>
      <c r="C186" s="5" t="str">
        <f>IF(A186="","",IFERROR(INDEX('جدول الجرد'!$E$2:$E$31,MATCH(A186,'جدول الجرد'!$B$2:$B$31,0)),""))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الجرد'!$A$2:$A$31,MATCH(A187,'جدول الجرد'!$B$2:$B$31,0)),""))</f>
        <v/>
      </c>
      <c r="C187" s="5" t="str">
        <f>IF(A187="","",IFERROR(INDEX('جدول الجرد'!$E$2:$E$31,MATCH(A187,'جدول الجرد'!$B$2:$B$31,0)),""))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الجرد'!$A$2:$A$31,MATCH(A188,'جدول الجرد'!$B$2:$B$31,0)),""))</f>
        <v/>
      </c>
      <c r="C188" s="5" t="str">
        <f>IF(A188="","",IFERROR(INDEX('جدول الجرد'!$E$2:$E$31,MATCH(A188,'جدول الجرد'!$B$2:$B$31,0)),""))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الجرد'!$A$2:$A$31,MATCH(A189,'جدول الجرد'!$B$2:$B$31,0)),""))</f>
        <v/>
      </c>
      <c r="C189" s="5" t="str">
        <f>IF(A189="","",IFERROR(INDEX('جدول الجرد'!$E$2:$E$31,MATCH(A189,'جدول الجرد'!$B$2:$B$31,0)),""))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الجرد'!$A$2:$A$31,MATCH(A190,'جدول الجرد'!$B$2:$B$31,0)),""))</f>
        <v/>
      </c>
      <c r="C190" s="5" t="str">
        <f>IF(A190="","",IFERROR(INDEX('جدول الجرد'!$E$2:$E$31,MATCH(A190,'جدول الجرد'!$B$2:$B$31,0)),""))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الجرد'!$A$2:$A$31,MATCH(A191,'جدول الجرد'!$B$2:$B$31,0)),""))</f>
        <v/>
      </c>
      <c r="C191" s="5" t="str">
        <f>IF(A191="","",IFERROR(INDEX('جدول الجرد'!$E$2:$E$31,MATCH(A191,'جدول الجرد'!$B$2:$B$31,0)),""))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الجرد'!$A$2:$A$31,MATCH(A192,'جدول الجرد'!$B$2:$B$31,0)),""))</f>
        <v/>
      </c>
      <c r="C192" s="5" t="str">
        <f>IF(A192="","",IFERROR(INDEX('جدول الجرد'!$E$2:$E$31,MATCH(A192,'جدول الجرد'!$B$2:$B$31,0)),""))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الجرد'!$A$2:$A$31,MATCH(A193,'جدول الجرد'!$B$2:$B$31,0)),""))</f>
        <v/>
      </c>
      <c r="C193" s="5" t="str">
        <f>IF(A193="","",IFERROR(INDEX('جدول الجرد'!$E$2:$E$31,MATCH(A193,'جدول الجرد'!$B$2:$B$31,0)),""))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الجرد'!$A$2:$A$31,MATCH(A194,'جدول الجرد'!$B$2:$B$31,0)),""))</f>
        <v/>
      </c>
      <c r="C194" s="5" t="str">
        <f>IF(A194="","",IFERROR(INDEX('جدول الجرد'!$E$2:$E$31,MATCH(A194,'جدول الجرد'!$B$2:$B$31,0)),""))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الجرد'!$A$2:$A$31,MATCH(A195,'جدول الجرد'!$B$2:$B$31,0)),""))</f>
        <v/>
      </c>
      <c r="C195" s="5" t="str">
        <f>IF(A195="","",IFERROR(INDEX('جدول الجرد'!$E$2:$E$31,MATCH(A195,'جدول الجرد'!$B$2:$B$31,0)),""))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الجرد'!$A$2:$A$31,MATCH(A196,'جدول الجرد'!$B$2:$B$31,0)),""))</f>
        <v/>
      </c>
      <c r="C196" s="5" t="str">
        <f>IF(A196="","",IFERROR(INDEX('جدول الجرد'!$E$2:$E$31,MATCH(A196,'جدول الجرد'!$B$2:$B$31,0)),""))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الجرد'!$A$2:$A$31,MATCH(A197,'جدول الجرد'!$B$2:$B$31,0)),""))</f>
        <v/>
      </c>
      <c r="C197" s="5" t="str">
        <f>IF(A197="","",IFERROR(INDEX('جدول الجرد'!$E$2:$E$31,MATCH(A197,'جدول الجرد'!$B$2:$B$31,0)),""))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الجرد'!$A$2:$A$31,MATCH(A198,'جدول الجرد'!$B$2:$B$31,0)),""))</f>
        <v/>
      </c>
      <c r="C198" s="5" t="str">
        <f>IF(A198="","",IFERROR(INDEX('جدول الجرد'!$E$2:$E$31,MATCH(A198,'جدول الجرد'!$B$2:$B$31,0)),""))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الجرد'!$A$2:$A$31,MATCH(A199,'جدول الجرد'!$B$2:$B$31,0)),""))</f>
        <v/>
      </c>
      <c r="C199" s="5" t="str">
        <f>IF(A199="","",IFERROR(INDEX('جدول الجرد'!$E$2:$E$31,MATCH(A199,'جدول الجرد'!$B$2:$B$31,0)),""))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الجرد'!$A$2:$A$31,MATCH(A200,'جدول الجرد'!$B$2:$B$31,0)),""))</f>
        <v/>
      </c>
      <c r="C200" s="5" t="str">
        <f>IF(A200="","",IFERROR(INDEX('جدول الجرد'!$E$2:$E$31,MATCH(A200,'جدول الجرد'!$B$2:$B$31,0)),""))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الجرد'!$A$2:$A$31,MATCH(A201,'جدول الجرد'!$B$2:$B$31,0)),""))</f>
        <v/>
      </c>
      <c r="C201" s="5" t="str">
        <f>IF(A201="","",IFERROR(INDEX('جدول الجرد'!$E$2:$E$31,MATCH(A201,'جدول الجرد'!$B$2:$B$31,0)),""))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الجرد'!$A$2:$A$31,MATCH(A202,'جدول الجرد'!$B$2:$B$31,0)),""))</f>
        <v/>
      </c>
      <c r="C202" s="5" t="str">
        <f>IF(A202="","",IFERROR(INDEX('جدول الجرد'!$E$2:$E$31,MATCH(A202,'جدول الجرد'!$B$2:$B$31,0)),""))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الجرد'!$A$2:$A$31,MATCH(A203,'جدول الجرد'!$B$2:$B$31,0)),""))</f>
        <v/>
      </c>
      <c r="C203" s="5" t="str">
        <f>IF(A203="","",IFERROR(INDEX('جدول الجرد'!$E$2:$E$31,MATCH(A203,'جدول الجرد'!$B$2:$B$31,0)),""))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الجرد'!$A$2:$A$31,MATCH(A204,'جدول الجرد'!$B$2:$B$31,0)),""))</f>
        <v/>
      </c>
      <c r="C204" s="5" t="str">
        <f>IF(A204="","",IFERROR(INDEX('جدول الجرد'!$E$2:$E$31,MATCH(A204,'جدول الجرد'!$B$2:$B$31,0)),""))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الجرد'!$A$2:$A$31,MATCH(A205,'جدول الجرد'!$B$2:$B$31,0)),""))</f>
        <v/>
      </c>
      <c r="C205" s="5" t="str">
        <f>IF(A205="","",IFERROR(INDEX('جدول الجرد'!$E$2:$E$31,MATCH(A205,'جدول الجرد'!$B$2:$B$31,0)),""))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الجرد'!$A$2:$A$31,MATCH(A206,'جدول الجرد'!$B$2:$B$31,0)),""))</f>
        <v/>
      </c>
      <c r="C206" s="5" t="str">
        <f>IF(A206="","",IFERROR(INDEX('جدول الجرد'!$E$2:$E$31,MATCH(A206,'جدول الجرد'!$B$2:$B$31,0)),""))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الجرد'!$A$2:$A$31,MATCH(A207,'جدول الجرد'!$B$2:$B$31,0)),""))</f>
        <v/>
      </c>
      <c r="C207" s="5" t="str">
        <f>IF(A207="","",IFERROR(INDEX('جدول الجرد'!$E$2:$E$31,MATCH(A207,'جدول الجرد'!$B$2:$B$31,0)),""))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الجرد'!$A$2:$A$31,MATCH(A208,'جدول الجرد'!$B$2:$B$31,0)),""))</f>
        <v/>
      </c>
      <c r="C208" s="5" t="str">
        <f>IF(A208="","",IFERROR(INDEX('جدول الجرد'!$E$2:$E$31,MATCH(A208,'جدول الجرد'!$B$2:$B$31,0)),""))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الجرد'!$A$2:$A$31,MATCH(A209,'جدول الجرد'!$B$2:$B$31,0)),""))</f>
        <v/>
      </c>
      <c r="C209" s="5" t="str">
        <f>IF(A209="","",IFERROR(INDEX('جدول الجرد'!$E$2:$E$31,MATCH(A209,'جدول الجرد'!$B$2:$B$31,0)),""))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الجرد'!$A$2:$A$31,MATCH(A210,'جدول الجرد'!$B$2:$B$31,0)),""))</f>
        <v/>
      </c>
      <c r="C210" s="5" t="str">
        <f>IF(A210="","",IFERROR(INDEX('جدول الجرد'!$E$2:$E$31,MATCH(A210,'جدول الجرد'!$B$2:$B$31,0)),""))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الجرد'!$A$2:$A$31,MATCH(A211,'جدول الجرد'!$B$2:$B$31,0)),""))</f>
        <v/>
      </c>
      <c r="C211" s="5" t="str">
        <f>IF(A211="","",IFERROR(INDEX('جدول الجرد'!$E$2:$E$31,MATCH(A211,'جدول الجرد'!$B$2:$B$31,0)),""))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الجرد'!$A$2:$A$31,MATCH(A212,'جدول الجرد'!$B$2:$B$31,0)),""))</f>
        <v/>
      </c>
      <c r="C212" s="5" t="str">
        <f>IF(A212="","",IFERROR(INDEX('جدول الجرد'!$E$2:$E$31,MATCH(A212,'جدول الجرد'!$B$2:$B$31,0)),""))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الجرد'!$A$2:$A$31,MATCH(A213,'جدول الجرد'!$B$2:$B$31,0)),""))</f>
        <v/>
      </c>
      <c r="C213" s="5" t="str">
        <f>IF(A213="","",IFERROR(INDEX('جدول الجرد'!$E$2:$E$31,MATCH(A213,'جدول الجرد'!$B$2:$B$31,0)),""))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الجرد'!$A$2:$A$31,MATCH(A214,'جدول الجرد'!$B$2:$B$31,0)),""))</f>
        <v/>
      </c>
      <c r="C214" s="5" t="str">
        <f>IF(A214="","",IFERROR(INDEX('جدول الجرد'!$E$2:$E$31,MATCH(A214,'جدول الجرد'!$B$2:$B$31,0)),""))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الجرد'!$A$2:$A$31,MATCH(A215,'جدول الجرد'!$B$2:$B$31,0)),""))</f>
        <v/>
      </c>
      <c r="C215" s="5" t="str">
        <f>IF(A215="","",IFERROR(INDEX('جدول الجرد'!$E$2:$E$31,MATCH(A215,'جدول الجرد'!$B$2:$B$31,0)),""))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الجرد'!$A$2:$A$31,MATCH(A216,'جدول الجرد'!$B$2:$B$31,0)),""))</f>
        <v/>
      </c>
      <c r="C216" s="5" t="str">
        <f>IF(A216="","",IFERROR(INDEX('جدول الجرد'!$E$2:$E$31,MATCH(A216,'جدول الجرد'!$B$2:$B$31,0)),""))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الجرد'!$A$2:$A$31,MATCH(A217,'جدول الجرد'!$B$2:$B$31,0)),""))</f>
        <v/>
      </c>
      <c r="C217" s="5" t="str">
        <f>IF(A217="","",IFERROR(INDEX('جدول الجرد'!$E$2:$E$31,MATCH(A217,'جدول الجرد'!$B$2:$B$31,0)),""))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الجرد'!$A$2:$A$31,MATCH(A218,'جدول الجرد'!$B$2:$B$31,0)),""))</f>
        <v/>
      </c>
      <c r="C218" s="5" t="str">
        <f>IF(A218="","",IFERROR(INDEX('جدول الجرد'!$E$2:$E$31,MATCH(A218,'جدول الجرد'!$B$2:$B$31,0)),""))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الجرد'!$A$2:$A$31,MATCH(A219,'جدول الجرد'!$B$2:$B$31,0)),""))</f>
        <v/>
      </c>
      <c r="C219" s="5" t="str">
        <f>IF(A219="","",IFERROR(INDEX('جدول الجرد'!$E$2:$E$31,MATCH(A219,'جدول الجرد'!$B$2:$B$31,0)),""))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الجرد'!$A$2:$A$31,MATCH(A220,'جدول الجرد'!$B$2:$B$31,0)),""))</f>
        <v/>
      </c>
      <c r="C220" s="5" t="str">
        <f>IF(A220="","",IFERROR(INDEX('جدول الجرد'!$E$2:$E$31,MATCH(A220,'جدول الجرد'!$B$2:$B$31,0)),""))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الجرد'!$A$2:$A$31,MATCH(A221,'جدول الجرد'!$B$2:$B$31,0)),""))</f>
        <v/>
      </c>
      <c r="C221" s="5" t="str">
        <f>IF(A221="","",IFERROR(INDEX('جدول الجرد'!$E$2:$E$31,MATCH(A221,'جدول الجرد'!$B$2:$B$31,0)),""))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الجرد'!$A$2:$A$31,MATCH(A222,'جدول الجرد'!$B$2:$B$31,0)),""))</f>
        <v/>
      </c>
      <c r="C222" s="5" t="str">
        <f>IF(A222="","",IFERROR(INDEX('جدول الجرد'!$E$2:$E$31,MATCH(A222,'جدول الجرد'!$B$2:$B$31,0)),""))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الجرد'!$A$2:$A$31,MATCH(A223,'جدول الجرد'!$B$2:$B$31,0)),""))</f>
        <v/>
      </c>
      <c r="C223" s="5" t="str">
        <f>IF(A223="","",IFERROR(INDEX('جدول الجرد'!$E$2:$E$31,MATCH(A223,'جدول الجرد'!$B$2:$B$31,0)),""))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الجرد'!$A$2:$A$31,MATCH(A224,'جدول الجرد'!$B$2:$B$31,0)),""))</f>
        <v/>
      </c>
      <c r="C224" s="5" t="str">
        <f>IF(A224="","",IFERROR(INDEX('جدول الجرد'!$E$2:$E$31,MATCH(A224,'جدول الجرد'!$B$2:$B$31,0)),""))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الجرد'!$A$2:$A$31,MATCH(A225,'جدول الجرد'!$B$2:$B$31,0)),""))</f>
        <v/>
      </c>
      <c r="C225" s="5" t="str">
        <f>IF(A225="","",IFERROR(INDEX('جدول الجرد'!$E$2:$E$31,MATCH(A225,'جدول الجرد'!$B$2:$B$31,0)),""))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الجرد'!$A$2:$A$31,MATCH(A226,'جدول الجرد'!$B$2:$B$31,0)),""))</f>
        <v/>
      </c>
      <c r="C226" s="5" t="str">
        <f>IF(A226="","",IFERROR(INDEX('جدول الجرد'!$E$2:$E$31,MATCH(A226,'جدول الجرد'!$B$2:$B$31,0)),""))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الجرد'!$A$2:$A$31,MATCH(A227,'جدول الجرد'!$B$2:$B$31,0)),""))</f>
        <v/>
      </c>
      <c r="C227" s="5" t="str">
        <f>IF(A227="","",IFERROR(INDEX('جدول الجرد'!$E$2:$E$31,MATCH(A227,'جدول الجرد'!$B$2:$B$31,0)),""))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الجرد'!$A$2:$A$31,MATCH(A228,'جدول الجرد'!$B$2:$B$31,0)),""))</f>
        <v/>
      </c>
      <c r="C228" s="5" t="str">
        <f>IF(A228="","",IFERROR(INDEX('جدول الجرد'!$E$2:$E$31,MATCH(A228,'جدول الجرد'!$B$2:$B$31,0)),""))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الجرد'!$A$2:$A$31,MATCH(A229,'جدول الجرد'!$B$2:$B$31,0)),""))</f>
        <v/>
      </c>
      <c r="C229" s="5" t="str">
        <f>IF(A229="","",IFERROR(INDEX('جدول الجرد'!$E$2:$E$31,MATCH(A229,'جدول الجرد'!$B$2:$B$31,0)),""))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الجرد'!$A$2:$A$31,MATCH(A230,'جدول الجرد'!$B$2:$B$31,0)),""))</f>
        <v/>
      </c>
      <c r="C230" s="5" t="str">
        <f>IF(A230="","",IFERROR(INDEX('جدول الجرد'!$E$2:$E$31,MATCH(A230,'جدول الجرد'!$B$2:$B$31,0)),""))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الجرد'!$A$2:$A$31,MATCH(A231,'جدول الجرد'!$B$2:$B$31,0)),""))</f>
        <v/>
      </c>
      <c r="C231" s="5" t="str">
        <f>IF(A231="","",IFERROR(INDEX('جدول الجرد'!$E$2:$E$31,MATCH(A231,'جدول الجرد'!$B$2:$B$31,0)),""))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الجرد'!$A$2:$A$31,MATCH(A232,'جدول الجرد'!$B$2:$B$31,0)),""))</f>
        <v/>
      </c>
      <c r="C232" s="5" t="str">
        <f>IF(A232="","",IFERROR(INDEX('جدول الجرد'!$E$2:$E$31,MATCH(A232,'جدول الجرد'!$B$2:$B$31,0)),""))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الجرد'!$A$2:$A$31,MATCH(A233,'جدول الجرد'!$B$2:$B$31,0)),""))</f>
        <v/>
      </c>
      <c r="C233" s="5" t="str">
        <f>IF(A233="","",IFERROR(INDEX('جدول الجرد'!$E$2:$E$31,MATCH(A233,'جدول الجرد'!$B$2:$B$31,0)),""))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الجرد'!$A$2:$A$31,MATCH(A234,'جدول الجرد'!$B$2:$B$31,0)),""))</f>
        <v/>
      </c>
      <c r="C234" s="5" t="str">
        <f>IF(A234="","",IFERROR(INDEX('جدول الجرد'!$E$2:$E$31,MATCH(A234,'جدول الجرد'!$B$2:$B$31,0)),""))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الجرد'!$A$2:$A$31,MATCH(A235,'جدول الجرد'!$B$2:$B$31,0)),""))</f>
        <v/>
      </c>
      <c r="C235" s="5" t="str">
        <f>IF(A235="","",IFERROR(INDEX('جدول الجرد'!$E$2:$E$31,MATCH(A235,'جدول الجرد'!$B$2:$B$31,0)),""))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الجرد'!$A$2:$A$31,MATCH(A236,'جدول الجرد'!$B$2:$B$31,0)),""))</f>
        <v/>
      </c>
      <c r="C236" s="5" t="str">
        <f>IF(A236="","",IFERROR(INDEX('جدول الجرد'!$E$2:$E$31,MATCH(A236,'جدول الجرد'!$B$2:$B$31,0)),""))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الجرد'!$A$2:$A$31,MATCH(A237,'جدول الجرد'!$B$2:$B$31,0)),""))</f>
        <v/>
      </c>
      <c r="C237" s="5" t="str">
        <f>IF(A237="","",IFERROR(INDEX('جدول الجرد'!$E$2:$E$31,MATCH(A237,'جدول الجرد'!$B$2:$B$31,0)),""))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الجرد'!$A$2:$A$31,MATCH(A238,'جدول الجرد'!$B$2:$B$31,0)),""))</f>
        <v/>
      </c>
      <c r="C238" s="5" t="str">
        <f>IF(A238="","",IFERROR(INDEX('جدول الجرد'!$E$2:$E$31,MATCH(A238,'جدول الجرد'!$B$2:$B$31,0)),""))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الجرد'!$A$2:$A$31,MATCH(A239,'جدول الجرد'!$B$2:$B$31,0)),""))</f>
        <v/>
      </c>
      <c r="C239" s="5" t="str">
        <f>IF(A239="","",IFERROR(INDEX('جدول الجرد'!$E$2:$E$31,MATCH(A239,'جدول الجرد'!$B$2:$B$31,0)),""))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الجرد'!$A$2:$A$31,MATCH(A240,'جدول الجرد'!$B$2:$B$31,0)),""))</f>
        <v/>
      </c>
      <c r="C240" s="5" t="str">
        <f>IF(A240="","",IFERROR(INDEX('جدول الجرد'!$E$2:$E$31,MATCH(A240,'جدول الجرد'!$B$2:$B$31,0)),""))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الجرد'!$A$2:$A$31,MATCH(A241,'جدول الجرد'!$B$2:$B$31,0)),""))</f>
        <v/>
      </c>
      <c r="C241" s="5" t="str">
        <f>IF(A241="","",IFERROR(INDEX('جدول الجرد'!$E$2:$E$31,MATCH(A241,'جدول الجرد'!$B$2:$B$31,0)),""))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الجرد'!$A$2:$A$31,MATCH(A242,'جدول الجرد'!$B$2:$B$31,0)),""))</f>
        <v/>
      </c>
      <c r="C242" s="5" t="str">
        <f>IF(A242="","",IFERROR(INDEX('جدول الجرد'!$E$2:$E$31,MATCH(A242,'جدول الجرد'!$B$2:$B$31,0)),""))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الجرد'!$A$2:$A$31,MATCH(A243,'جدول الجرد'!$B$2:$B$31,0)),""))</f>
        <v/>
      </c>
      <c r="C243" s="5" t="str">
        <f>IF(A243="","",IFERROR(INDEX('جدول الجرد'!$E$2:$E$31,MATCH(A243,'جدول الجرد'!$B$2:$B$31,0)),""))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الجرد'!$A$2:$A$31,MATCH(A244,'جدول الجرد'!$B$2:$B$31,0)),""))</f>
        <v/>
      </c>
      <c r="C244" s="5" t="str">
        <f>IF(A244="","",IFERROR(INDEX('جدول الجرد'!$E$2:$E$31,MATCH(A244,'جدول الجرد'!$B$2:$B$31,0)),""))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الجرد'!$A$2:$A$31,MATCH(A245,'جدول الجرد'!$B$2:$B$31,0)),""))</f>
        <v/>
      </c>
      <c r="C245" s="5" t="str">
        <f>IF(A245="","",IFERROR(INDEX('جدول الجرد'!$E$2:$E$31,MATCH(A245,'جدول الجرد'!$B$2:$B$31,0)),""))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الجرد'!$A$2:$A$31,MATCH(A246,'جدول الجرد'!$B$2:$B$31,0)),""))</f>
        <v/>
      </c>
      <c r="C246" s="5" t="str">
        <f>IF(A246="","",IFERROR(INDEX('جدول الجرد'!$E$2:$E$31,MATCH(A246,'جدول الجرد'!$B$2:$B$31,0)),""))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الجرد'!$A$2:$A$31,MATCH(A247,'جدول الجرد'!$B$2:$B$31,0)),""))</f>
        <v/>
      </c>
      <c r="C247" s="5" t="str">
        <f>IF(A247="","",IFERROR(INDEX('جدول الجرد'!$E$2:$E$31,MATCH(A247,'جدول الجرد'!$B$2:$B$31,0)),""))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الجرد'!$A$2:$A$31,MATCH(A248,'جدول الجرد'!$B$2:$B$31,0)),""))</f>
        <v/>
      </c>
      <c r="C248" s="5" t="str">
        <f>IF(A248="","",IFERROR(INDEX('جدول الجرد'!$E$2:$E$31,MATCH(A248,'جدول الجرد'!$B$2:$B$31,0)),""))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الجرد'!$A$2:$A$31,MATCH(A249,'جدول الجرد'!$B$2:$B$31,0)),""))</f>
        <v/>
      </c>
      <c r="C249" s="5" t="str">
        <f>IF(A249="","",IFERROR(INDEX('جدول الجرد'!$E$2:$E$31,MATCH(A249,'جدول الجرد'!$B$2:$B$31,0)),""))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الجرد'!$A$2:$A$31,MATCH(A250,'جدول الجرد'!$B$2:$B$31,0)),""))</f>
        <v/>
      </c>
      <c r="C250" s="5" t="str">
        <f>IF(A250="","",IFERROR(INDEX('جدول الجرد'!$E$2:$E$31,MATCH(A250,'جدول الجرد'!$B$2:$B$31,0)),""))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الجرد'!$A$2:$A$31,MATCH(A251,'جدول الجرد'!$B$2:$B$31,0)),""))</f>
        <v/>
      </c>
      <c r="C251" s="5" t="str">
        <f>IF(A251="","",IFERROR(INDEX('جدول الجرد'!$E$2:$E$31,MATCH(A251,'جدول الجرد'!$B$2:$B$31,0)),""))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الجرد'!$A$2:$A$31,MATCH(A252,'جدول الجرد'!$B$2:$B$31,0)),""))</f>
        <v/>
      </c>
      <c r="C252" s="5" t="str">
        <f>IF(A252="","",IFERROR(INDEX('جدول الجرد'!$E$2:$E$31,MATCH(A252,'جدول الجرد'!$B$2:$B$31,0)),""))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الجرد'!$A$2:$A$31,MATCH(A253,'جدول الجرد'!$B$2:$B$31,0)),""))</f>
        <v/>
      </c>
      <c r="C253" s="5" t="str">
        <f>IF(A253="","",IFERROR(INDEX('جدول الجرد'!$E$2:$E$31,MATCH(A253,'جدول الجرد'!$B$2:$B$31,0)),""))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الجرد'!$A$2:$A$31,MATCH(A254,'جدول الجرد'!$B$2:$B$31,0)),""))</f>
        <v/>
      </c>
      <c r="C254" s="5" t="str">
        <f>IF(A254="","",IFERROR(INDEX('جدول الجرد'!$E$2:$E$31,MATCH(A254,'جدول الجرد'!$B$2:$B$31,0)),""))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الجرد'!$A$2:$A$31,MATCH(A255,'جدول الجرد'!$B$2:$B$31,0)),""))</f>
        <v/>
      </c>
      <c r="C255" s="5" t="str">
        <f>IF(A255="","",IFERROR(INDEX('جدول الجرد'!$E$2:$E$31,MATCH(A255,'جدول الجرد'!$B$2:$B$31,0)),""))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الجرد'!$A$2:$A$31,MATCH(A256,'جدول الجرد'!$B$2:$B$31,0)),""))</f>
        <v/>
      </c>
      <c r="C256" s="5" t="str">
        <f>IF(A256="","",IFERROR(INDEX('جدول الجرد'!$E$2:$E$31,MATCH(A256,'جدول الجرد'!$B$2:$B$31,0)),""))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الجرد'!$A$2:$A$31,MATCH(A257,'جدول الجرد'!$B$2:$B$31,0)),""))</f>
        <v/>
      </c>
      <c r="C257" s="5" t="str">
        <f>IF(A257="","",IFERROR(INDEX('جدول الجرد'!$E$2:$E$31,MATCH(A257,'جدول الجرد'!$B$2:$B$31,0)),""))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الجرد'!$A$2:$A$31,MATCH(A258,'جدول الجرد'!$B$2:$B$31,0)),""))</f>
        <v/>
      </c>
      <c r="C258" s="5" t="str">
        <f>IF(A258="","",IFERROR(INDEX('جدول الجرد'!$E$2:$E$31,MATCH(A258,'جدول الجرد'!$B$2:$B$31,0)),""))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الجرد'!$A$2:$A$31,MATCH(A259,'جدول الجرد'!$B$2:$B$31,0)),""))</f>
        <v/>
      </c>
      <c r="C259" s="5" t="str">
        <f>IF(A259="","",IFERROR(INDEX('جدول الجرد'!$E$2:$E$31,MATCH(A259,'جدول الجرد'!$B$2:$B$31,0)),""))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الجرد'!$A$2:$A$31,MATCH(A260,'جدول الجرد'!$B$2:$B$31,0)),""))</f>
        <v/>
      </c>
      <c r="C260" s="5" t="str">
        <f>IF(A260="","",IFERROR(INDEX('جدول الجرد'!$E$2:$E$31,MATCH(A260,'جدول الجرد'!$B$2:$B$31,0)),""))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الجرد'!$A$2:$A$31,MATCH(A261,'جدول الجرد'!$B$2:$B$31,0)),""))</f>
        <v/>
      </c>
      <c r="C261" s="5" t="str">
        <f>IF(A261="","",IFERROR(INDEX('جدول الجرد'!$E$2:$E$31,MATCH(A261,'جدول الجرد'!$B$2:$B$31,0)),""))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الجرد'!$A$2:$A$31,MATCH(A262,'جدول الجرد'!$B$2:$B$31,0)),""))</f>
        <v/>
      </c>
      <c r="C262" s="5" t="str">
        <f>IF(A262="","",IFERROR(INDEX('جدول الجرد'!$E$2:$E$31,MATCH(A262,'جدول الجرد'!$B$2:$B$31,0)),""))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الجرد'!$A$2:$A$31,MATCH(A263,'جدول الجرد'!$B$2:$B$31,0)),""))</f>
        <v/>
      </c>
      <c r="C263" s="5" t="str">
        <f>IF(A263="","",IFERROR(INDEX('جدول الجرد'!$E$2:$E$31,MATCH(A263,'جدول الجرد'!$B$2:$B$31,0)),""))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الجرد'!$A$2:$A$31,MATCH(A264,'جدول الجرد'!$B$2:$B$31,0)),""))</f>
        <v/>
      </c>
      <c r="C264" s="5" t="str">
        <f>IF(A264="","",IFERROR(INDEX('جدول الجرد'!$E$2:$E$31,MATCH(A264,'جدول الجرد'!$B$2:$B$31,0)),""))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الجرد'!$A$2:$A$31,MATCH(A265,'جدول الجرد'!$B$2:$B$31,0)),""))</f>
        <v/>
      </c>
      <c r="C265" s="5" t="str">
        <f>IF(A265="","",IFERROR(INDEX('جدول الجرد'!$E$2:$E$31,MATCH(A265,'جدول الجرد'!$B$2:$B$31,0)),""))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الجرد'!$A$2:$A$31,MATCH(A266,'جدول الجرد'!$B$2:$B$31,0)),""))</f>
        <v/>
      </c>
      <c r="C266" s="5" t="str">
        <f>IF(A266="","",IFERROR(INDEX('جدول الجرد'!$E$2:$E$31,MATCH(A266,'جدول الجرد'!$B$2:$B$31,0)),""))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الجرد'!$A$2:$A$31,MATCH(A267,'جدول الجرد'!$B$2:$B$31,0)),""))</f>
        <v/>
      </c>
      <c r="C267" s="5" t="str">
        <f>IF(A267="","",IFERROR(INDEX('جدول الجرد'!$E$2:$E$31,MATCH(A267,'جدول الجرد'!$B$2:$B$31,0)),""))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الجرد'!$A$2:$A$31,MATCH(A268,'جدول الجرد'!$B$2:$B$31,0)),""))</f>
        <v/>
      </c>
      <c r="C268" s="5" t="str">
        <f>IF(A268="","",IFERROR(INDEX('جدول الجرد'!$E$2:$E$31,MATCH(A268,'جدول الجرد'!$B$2:$B$31,0)),""))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الجرد'!$A$2:$A$31,MATCH(A269,'جدول الجرد'!$B$2:$B$31,0)),""))</f>
        <v/>
      </c>
      <c r="C269" s="5" t="str">
        <f>IF(A269="","",IFERROR(INDEX('جدول الجرد'!$E$2:$E$31,MATCH(A269,'جدول الجرد'!$B$2:$B$31,0)),""))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الجرد'!$A$2:$A$31,MATCH(A270,'جدول الجرد'!$B$2:$B$31,0)),""))</f>
        <v/>
      </c>
      <c r="C270" s="5" t="str">
        <f>IF(A270="","",IFERROR(INDEX('جدول الجرد'!$E$2:$E$31,MATCH(A270,'جدول الجرد'!$B$2:$B$31,0)),""))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الجرد'!$A$2:$A$31,MATCH(A271,'جدول الجرد'!$B$2:$B$31,0)),""))</f>
        <v/>
      </c>
      <c r="C271" s="5" t="str">
        <f>IF(A271="","",IFERROR(INDEX('جدول الجرد'!$E$2:$E$31,MATCH(A271,'جدول الجرد'!$B$2:$B$31,0)),""))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الجرد'!$A$2:$A$31,MATCH(A272,'جدول الجرد'!$B$2:$B$31,0)),""))</f>
        <v/>
      </c>
      <c r="C272" s="5" t="str">
        <f>IF(A272="","",IFERROR(INDEX('جدول الجرد'!$E$2:$E$31,MATCH(A272,'جدول الجرد'!$B$2:$B$31,0)),""))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الجرد'!$A$2:$A$31,MATCH(A273,'جدول الجرد'!$B$2:$B$31,0)),""))</f>
        <v/>
      </c>
      <c r="C273" s="5" t="str">
        <f>IF(A273="","",IFERROR(INDEX('جدول الجرد'!$E$2:$E$31,MATCH(A273,'جدول الجرد'!$B$2:$B$31,0)),""))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الجرد'!$A$2:$A$31,MATCH(A274,'جدول الجرد'!$B$2:$B$31,0)),""))</f>
        <v/>
      </c>
      <c r="C274" s="5" t="str">
        <f>IF(A274="","",IFERROR(INDEX('جدول الجرد'!$E$2:$E$31,MATCH(A274,'جدول الجرد'!$B$2:$B$31,0)),""))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الجرد'!$A$2:$A$31,MATCH(A275,'جدول الجرد'!$B$2:$B$31,0)),""))</f>
        <v/>
      </c>
      <c r="C275" s="5" t="str">
        <f>IF(A275="","",IFERROR(INDEX('جدول الجرد'!$E$2:$E$31,MATCH(A275,'جدول الجرد'!$B$2:$B$31,0)),""))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الجرد'!$A$2:$A$31,MATCH(A276,'جدول الجرد'!$B$2:$B$31,0)),""))</f>
        <v/>
      </c>
      <c r="C276" s="5" t="str">
        <f>IF(A276="","",IFERROR(INDEX('جدول الجرد'!$E$2:$E$31,MATCH(A276,'جدول الجرد'!$B$2:$B$31,0)),""))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الجرد'!$A$2:$A$31,MATCH(A277,'جدول الجرد'!$B$2:$B$31,0)),""))</f>
        <v/>
      </c>
      <c r="C277" s="5" t="str">
        <f>IF(A277="","",IFERROR(INDEX('جدول الجرد'!$E$2:$E$31,MATCH(A277,'جدول الجرد'!$B$2:$B$31,0)),""))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الجرد'!$A$2:$A$31,MATCH(A278,'جدول الجرد'!$B$2:$B$31,0)),""))</f>
        <v/>
      </c>
      <c r="C278" s="5" t="str">
        <f>IF(A278="","",IFERROR(INDEX('جدول الجرد'!$E$2:$E$31,MATCH(A278,'جدول الجرد'!$B$2:$B$31,0)),""))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الجرد'!$A$2:$A$31,MATCH(A279,'جدول الجرد'!$B$2:$B$31,0)),""))</f>
        <v/>
      </c>
      <c r="C279" s="5" t="str">
        <f>IF(A279="","",IFERROR(INDEX('جدول الجرد'!$E$2:$E$31,MATCH(A279,'جدول الجرد'!$B$2:$B$31,0)),""))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الجرد'!$A$2:$A$31,MATCH(A280,'جدول الجرد'!$B$2:$B$31,0)),""))</f>
        <v/>
      </c>
      <c r="C280" s="5" t="str">
        <f>IF(A280="","",IFERROR(INDEX('جدول الجرد'!$E$2:$E$31,MATCH(A280,'جدول الجرد'!$B$2:$B$31,0)),""))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الجرد'!$A$2:$A$31,MATCH(A281,'جدول الجرد'!$B$2:$B$31,0)),""))</f>
        <v/>
      </c>
      <c r="C281" s="5" t="str">
        <f>IF(A281="","",IFERROR(INDEX('جدول الجرد'!$E$2:$E$31,MATCH(A281,'جدول الجرد'!$B$2:$B$31,0)),""))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الجرد'!$A$2:$A$31,MATCH(A282,'جدول الجرد'!$B$2:$B$31,0)),""))</f>
        <v/>
      </c>
      <c r="C282" s="5" t="str">
        <f>IF(A282="","",IFERROR(INDEX('جدول الجرد'!$E$2:$E$31,MATCH(A282,'جدول الجرد'!$B$2:$B$31,0)),""))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الجرد'!$A$2:$A$31,MATCH(A283,'جدول الجرد'!$B$2:$B$31,0)),""))</f>
        <v/>
      </c>
      <c r="C283" s="5" t="str">
        <f>IF(A283="","",IFERROR(INDEX('جدول الجرد'!$E$2:$E$31,MATCH(A283,'جدول الجرد'!$B$2:$B$31,0)),""))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الجرد'!$A$2:$A$31,MATCH(A284,'جدول الجرد'!$B$2:$B$31,0)),""))</f>
        <v/>
      </c>
      <c r="C284" s="5" t="str">
        <f>IF(A284="","",IFERROR(INDEX('جدول الجرد'!$E$2:$E$31,MATCH(A284,'جدول الجرد'!$B$2:$B$31,0)),""))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الجرد'!$A$2:$A$31,MATCH(A285,'جدول الجرد'!$B$2:$B$31,0)),""))</f>
        <v/>
      </c>
      <c r="C285" s="5" t="str">
        <f>IF(A285="","",IFERROR(INDEX('جدول الجرد'!$E$2:$E$31,MATCH(A285,'جدول الجرد'!$B$2:$B$31,0)),""))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الجرد'!$A$2:$A$31,MATCH(A286,'جدول الجرد'!$B$2:$B$31,0)),""))</f>
        <v/>
      </c>
      <c r="C286" s="5" t="str">
        <f>IF(A286="","",IFERROR(INDEX('جدول الجرد'!$E$2:$E$31,MATCH(A286,'جدول الجرد'!$B$2:$B$31,0)),""))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الجرد'!$A$2:$A$31,MATCH(A287,'جدول الجرد'!$B$2:$B$31,0)),""))</f>
        <v/>
      </c>
      <c r="C287" s="5" t="str">
        <f>IF(A287="","",IFERROR(INDEX('جدول الجرد'!$E$2:$E$31,MATCH(A287,'جدول الجرد'!$B$2:$B$31,0)),""))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الجرد'!$A$2:$A$31,MATCH(A288,'جدول الجرد'!$B$2:$B$31,0)),""))</f>
        <v/>
      </c>
      <c r="C288" s="5" t="str">
        <f>IF(A288="","",IFERROR(INDEX('جدول الجرد'!$E$2:$E$31,MATCH(A288,'جدول الجرد'!$B$2:$B$31,0)),""))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الجرد'!$A$2:$A$31,MATCH(A289,'جدول الجرد'!$B$2:$B$31,0)),""))</f>
        <v/>
      </c>
      <c r="C289" s="5" t="str">
        <f>IF(A289="","",IFERROR(INDEX('جدول الجرد'!$E$2:$E$31,MATCH(A289,'جدول الجرد'!$B$2:$B$31,0)),""))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الجرد'!$A$2:$A$31,MATCH(A290,'جدول الجرد'!$B$2:$B$31,0)),""))</f>
        <v/>
      </c>
      <c r="C290" s="5" t="str">
        <f>IF(A290="","",IFERROR(INDEX('جدول الجرد'!$E$2:$E$31,MATCH(A290,'جدول الجرد'!$B$2:$B$31,0)),""))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الجرد'!$A$2:$A$31,MATCH(A291,'جدول الجرد'!$B$2:$B$31,0)),""))</f>
        <v/>
      </c>
      <c r="C291" s="5" t="str">
        <f>IF(A291="","",IFERROR(INDEX('جدول الجرد'!$E$2:$E$31,MATCH(A291,'جدول الجرد'!$B$2:$B$31,0)),""))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الجرد'!$A$2:$A$31,MATCH(A292,'جدول الجرد'!$B$2:$B$31,0)),""))</f>
        <v/>
      </c>
      <c r="C292" s="5" t="str">
        <f>IF(A292="","",IFERROR(INDEX('جدول الجرد'!$E$2:$E$31,MATCH(A292,'جدول الجرد'!$B$2:$B$31,0)),""))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الجرد'!$A$2:$A$31,MATCH(A293,'جدول الجرد'!$B$2:$B$31,0)),""))</f>
        <v/>
      </c>
      <c r="C293" s="5" t="str">
        <f>IF(A293="","",IFERROR(INDEX('جدول الجرد'!$E$2:$E$31,MATCH(A293,'جدول الجرد'!$B$2:$B$31,0)),""))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الجرد'!$A$2:$A$31,MATCH(A294,'جدول الجرد'!$B$2:$B$31,0)),""))</f>
        <v/>
      </c>
      <c r="C294" s="5" t="str">
        <f>IF(A294="","",IFERROR(INDEX('جدول الجرد'!$E$2:$E$31,MATCH(A294,'جدول الجرد'!$B$2:$B$31,0)),""))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الجرد'!$A$2:$A$31,MATCH(A295,'جدول الجرد'!$B$2:$B$31,0)),""))</f>
        <v/>
      </c>
      <c r="C295" s="5" t="str">
        <f>IF(A295="","",IFERROR(INDEX('جدول الجرد'!$E$2:$E$31,MATCH(A295,'جدول الجرد'!$B$2:$B$31,0)),""))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الجرد'!$A$2:$A$31,MATCH(A296,'جدول الجرد'!$B$2:$B$31,0)),""))</f>
        <v/>
      </c>
      <c r="C296" s="5" t="str">
        <f>IF(A296="","",IFERROR(INDEX('جدول الجرد'!$E$2:$E$31,MATCH(A296,'جدول الجرد'!$B$2:$B$31,0)),""))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الجرد'!$A$2:$A$31,MATCH(A297,'جدول الجرد'!$B$2:$B$31,0)),""))</f>
        <v/>
      </c>
      <c r="C297" s="5" t="str">
        <f>IF(A297="","",IFERROR(INDEX('جدول الجرد'!$E$2:$E$31,MATCH(A297,'جدول الجرد'!$B$2:$B$31,0)),""))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الجرد'!$A$2:$A$31,MATCH(A298,'جدول الجرد'!$B$2:$B$31,0)),""))</f>
        <v/>
      </c>
      <c r="C298" s="5" t="str">
        <f>IF(A298="","",IFERROR(INDEX('جدول الجرد'!$E$2:$E$31,MATCH(A298,'جدول الجرد'!$B$2:$B$31,0)),""))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الجرد'!$A$2:$A$31,MATCH(A299,'جدول الجرد'!$B$2:$B$31,0)),""))</f>
        <v/>
      </c>
      <c r="C299" s="5" t="str">
        <f>IF(A299="","",IFERROR(INDEX('جدول الجرد'!$E$2:$E$31,MATCH(A299,'جدول الجرد'!$B$2:$B$31,0)),""))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الجرد'!$A$2:$A$31,MATCH(A300,'جدول الجرد'!$B$2:$B$31,0)),""))</f>
        <v/>
      </c>
      <c r="C300" s="5" t="str">
        <f>IF(A300="","",IFERROR(INDEX('جدول الجرد'!$E$2:$E$31,MATCH(A300,'جدول الجرد'!$B$2:$B$31,0)),""))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الجرد'!$A$2:$A$31,MATCH(A301,'جدول الجرد'!$B$2:$B$31,0)),""))</f>
        <v/>
      </c>
      <c r="C301" s="5" t="str">
        <f>IF(A301="","",IFERROR(INDEX('جدول الجرد'!$E$2:$E$31,MATCH(A301,'جدول الجرد'!$B$2:$B$31,0)),""))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الجرد'!$A$2:$A$31,MATCH(A302,'جدول الجرد'!$B$2:$B$31,0)),""))</f>
        <v/>
      </c>
      <c r="C302" s="5" t="str">
        <f>IF(A302="","",IFERROR(INDEX('جدول الجرد'!$E$2:$E$31,MATCH(A302,'جدول الجرد'!$B$2:$B$31,0)),""))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الجرد'!$A$2:$A$31,MATCH(A303,'جدول الجرد'!$B$2:$B$31,0)),""))</f>
        <v/>
      </c>
      <c r="C303" s="5" t="str">
        <f>IF(A303="","",IFERROR(INDEX('جدول الجرد'!$E$2:$E$31,MATCH(A303,'جدول الجرد'!$B$2:$B$31,0)),""))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الجرد'!$A$2:$A$31,MATCH(A304,'جدول الجرد'!$B$2:$B$31,0)),""))</f>
        <v/>
      </c>
      <c r="C304" s="5" t="str">
        <f>IF(A304="","",IFERROR(INDEX('جدول الجرد'!$E$2:$E$31,MATCH(A304,'جدول الجرد'!$B$2:$B$31,0)),""))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الجرد'!$A$2:$A$31,MATCH(A305,'جدول الجرد'!$B$2:$B$31,0)),""))</f>
        <v/>
      </c>
      <c r="C305" s="5" t="str">
        <f>IF(A305="","",IFERROR(INDEX('جدول الجرد'!$E$2:$E$31,MATCH(A305,'جدول الجرد'!$B$2:$B$31,0)),""))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الجرد'!$A$2:$A$31,MATCH(A306,'جدول الجرد'!$B$2:$B$31,0)),""))</f>
        <v/>
      </c>
      <c r="C306" s="5" t="str">
        <f>IF(A306="","",IFERROR(INDEX('جدول الجرد'!$E$2:$E$31,MATCH(A306,'جدول الجرد'!$B$2:$B$31,0)),""))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الجرد'!$A$2:$A$31,MATCH(A307,'جدول الجرد'!$B$2:$B$31,0)),""))</f>
        <v/>
      </c>
      <c r="C307" s="5" t="str">
        <f>IF(A307="","",IFERROR(INDEX('جدول الجرد'!$E$2:$E$31,MATCH(A307,'جدول الجرد'!$B$2:$B$31,0)),""))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الجرد'!$A$2:$A$31,MATCH(A308,'جدول الجرد'!$B$2:$B$31,0)),""))</f>
        <v/>
      </c>
      <c r="C308" s="5" t="str">
        <f>IF(A308="","",IFERROR(INDEX('جدول الجرد'!$E$2:$E$31,MATCH(A308,'جدول الجرد'!$B$2:$B$31,0)),""))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الجرد'!$A$2:$A$31,MATCH(A309,'جدول الجرد'!$B$2:$B$31,0)),""))</f>
        <v/>
      </c>
      <c r="C309" s="5" t="str">
        <f>IF(A309="","",IFERROR(INDEX('جدول الجرد'!$E$2:$E$31,MATCH(A309,'جدول الجرد'!$B$2:$B$31,0)),""))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الجرد'!$A$2:$A$31,MATCH(A310,'جدول الجرد'!$B$2:$B$31,0)),""))</f>
        <v/>
      </c>
      <c r="C310" s="5" t="str">
        <f>IF(A310="","",IFERROR(INDEX('جدول الجرد'!$E$2:$E$31,MATCH(A310,'جدول الجرد'!$B$2:$B$31,0)),""))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الجرد'!$A$2:$A$31,MATCH(A311,'جدول الجرد'!$B$2:$B$31,0)),""))</f>
        <v/>
      </c>
      <c r="C311" s="5" t="str">
        <f>IF(A311="","",IFERROR(INDEX('جدول الجرد'!$E$2:$E$31,MATCH(A311,'جدول الجرد'!$B$2:$B$31,0)),""))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الجرد'!$A$2:$A$31,MATCH(A312,'جدول الجرد'!$B$2:$B$31,0)),""))</f>
        <v/>
      </c>
      <c r="C312" s="5" t="str">
        <f>IF(A312="","",IFERROR(INDEX('جدول الجرد'!$E$2:$E$31,MATCH(A312,'جدول الجرد'!$B$2:$B$31,0)),""))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الجرد'!$A$2:$A$31,MATCH(A313,'جدول الجرد'!$B$2:$B$31,0)),""))</f>
        <v/>
      </c>
      <c r="C313" s="5" t="str">
        <f>IF(A313="","",IFERROR(INDEX('جدول الجرد'!$E$2:$E$31,MATCH(A313,'جدول الجرد'!$B$2:$B$31,0)),""))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الجرد'!$A$2:$A$31,MATCH(A314,'جدول الجرد'!$B$2:$B$31,0)),""))</f>
        <v/>
      </c>
      <c r="C314" s="5" t="str">
        <f>IF(A314="","",IFERROR(INDEX('جدول الجرد'!$E$2:$E$31,MATCH(A314,'جدول الجرد'!$B$2:$B$31,0)),""))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الجرد'!$A$2:$A$31,MATCH(A315,'جدول الجرد'!$B$2:$B$31,0)),""))</f>
        <v/>
      </c>
      <c r="C315" s="5" t="str">
        <f>IF(A315="","",IFERROR(INDEX('جدول الجرد'!$E$2:$E$31,MATCH(A315,'جدول الجرد'!$B$2:$B$31,0)),""))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الجرد'!$A$2:$A$31,MATCH(A316,'جدول الجرد'!$B$2:$B$31,0)),""))</f>
        <v/>
      </c>
      <c r="C316" s="5" t="str">
        <f>IF(A316="","",IFERROR(INDEX('جدول الجرد'!$E$2:$E$31,MATCH(A316,'جدول الجرد'!$B$2:$B$31,0)),""))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الجرد'!$A$2:$A$31,MATCH(A317,'جدول الجرد'!$B$2:$B$31,0)),""))</f>
        <v/>
      </c>
      <c r="C317" s="5" t="str">
        <f>IF(A317="","",IFERROR(INDEX('جدول الجرد'!$E$2:$E$31,MATCH(A317,'جدول الجرد'!$B$2:$B$31,0)),""))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الجرد'!$A$2:$A$31,MATCH(A318,'جدول الجرد'!$B$2:$B$31,0)),""))</f>
        <v/>
      </c>
      <c r="C318" s="5" t="str">
        <f>IF(A318="","",IFERROR(INDEX('جدول الجرد'!$E$2:$E$31,MATCH(A318,'جدول الجرد'!$B$2:$B$31,0)),""))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الجرد'!$A$2:$A$31,MATCH(A319,'جدول الجرد'!$B$2:$B$31,0)),""))</f>
        <v/>
      </c>
      <c r="C319" s="5" t="str">
        <f>IF(A319="","",IFERROR(INDEX('جدول الجرد'!$E$2:$E$31,MATCH(A319,'جدول الجرد'!$B$2:$B$31,0)),""))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الجرد'!$A$2:$A$31,MATCH(A320,'جدول الجرد'!$B$2:$B$31,0)),""))</f>
        <v/>
      </c>
      <c r="C320" s="5" t="str">
        <f>IF(A320="","",IFERROR(INDEX('جدول الجرد'!$E$2:$E$31,MATCH(A320,'جدول الجرد'!$B$2:$B$31,0)),""))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الجرد'!$A$2:$A$31,MATCH(A321,'جدول الجرد'!$B$2:$B$31,0)),""))</f>
        <v/>
      </c>
      <c r="C321" s="5" t="str">
        <f>IF(A321="","",IFERROR(INDEX('جدول الجرد'!$E$2:$E$31,MATCH(A321,'جدول الجرد'!$B$2:$B$31,0)),""))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الجرد'!$A$2:$A$31,MATCH(A322,'جدول الجرد'!$B$2:$B$31,0)),""))</f>
        <v/>
      </c>
      <c r="C322" s="5" t="str">
        <f>IF(A322="","",IFERROR(INDEX('جدول الجرد'!$E$2:$E$31,MATCH(A322,'جدول الجرد'!$B$2:$B$31,0)),""))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الجرد'!$A$2:$A$31,MATCH(A323,'جدول الجرد'!$B$2:$B$31,0)),""))</f>
        <v/>
      </c>
      <c r="C323" s="5" t="str">
        <f>IF(A323="","",IFERROR(INDEX('جدول الجرد'!$E$2:$E$31,MATCH(A323,'جدول الجرد'!$B$2:$B$31,0)),""))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الجرد'!$A$2:$A$31,MATCH(A324,'جدول الجرد'!$B$2:$B$31,0)),""))</f>
        <v/>
      </c>
      <c r="C324" s="5" t="str">
        <f>IF(A324="","",IFERROR(INDEX('جدول الجرد'!$E$2:$E$31,MATCH(A324,'جدول الجرد'!$B$2:$B$31,0)),""))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الجرد'!$A$2:$A$31,MATCH(A325,'جدول الجرد'!$B$2:$B$31,0)),""))</f>
        <v/>
      </c>
      <c r="C325" s="5" t="str">
        <f>IF(A325="","",IFERROR(INDEX('جدول الجرد'!$E$2:$E$31,MATCH(A325,'جدول الجرد'!$B$2:$B$31,0)),""))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الجرد'!$A$2:$A$31,MATCH(A326,'جدول الجرد'!$B$2:$B$31,0)),""))</f>
        <v/>
      </c>
      <c r="C326" s="5" t="str">
        <f>IF(A326="","",IFERROR(INDEX('جدول الجرد'!$E$2:$E$31,MATCH(A326,'جدول الجرد'!$B$2:$B$31,0)),""))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الجرد'!$A$2:$A$31,MATCH(A327,'جدول الجرد'!$B$2:$B$31,0)),""))</f>
        <v/>
      </c>
      <c r="C327" s="5" t="str">
        <f>IF(A327="","",IFERROR(INDEX('جدول الجرد'!$E$2:$E$31,MATCH(A327,'جدول الجرد'!$B$2:$B$31,0)),""))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الجرد'!$A$2:$A$31,MATCH(A328,'جدول الجرد'!$B$2:$B$31,0)),""))</f>
        <v/>
      </c>
      <c r="C328" s="5" t="str">
        <f>IF(A328="","",IFERROR(INDEX('جدول الجرد'!$E$2:$E$31,MATCH(A328,'جدول الجرد'!$B$2:$B$31,0)),""))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الجرد'!$A$2:$A$31,MATCH(A329,'جدول الجرد'!$B$2:$B$31,0)),""))</f>
        <v/>
      </c>
      <c r="C329" s="5" t="str">
        <f>IF(A329="","",IFERROR(INDEX('جدول الجرد'!$E$2:$E$31,MATCH(A329,'جدول الجرد'!$B$2:$B$31,0)),""))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الجرد'!$A$2:$A$31,MATCH(A330,'جدول الجرد'!$B$2:$B$31,0)),""))</f>
        <v/>
      </c>
      <c r="C330" s="5" t="str">
        <f>IF(A330="","",IFERROR(INDEX('جدول الجرد'!$E$2:$E$31,MATCH(A330,'جدول الجرد'!$B$2:$B$31,0)),""))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الجرد'!$A$2:$A$31,MATCH(A331,'جدول الجرد'!$B$2:$B$31,0)),""))</f>
        <v/>
      </c>
      <c r="C331" s="5" t="str">
        <f>IF(A331="","",IFERROR(INDEX('جدول الجرد'!$E$2:$E$31,MATCH(A331,'جدول الجرد'!$B$2:$B$31,0)),""))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الجرد'!$A$2:$A$31,MATCH(A332,'جدول الجرد'!$B$2:$B$31,0)),""))</f>
        <v/>
      </c>
      <c r="C332" s="5" t="str">
        <f>IF(A332="","",IFERROR(INDEX('جدول الجرد'!$E$2:$E$31,MATCH(A332,'جدول الجرد'!$B$2:$B$31,0)),""))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الجرد'!$A$2:$A$31,MATCH(A333,'جدول الجرد'!$B$2:$B$31,0)),""))</f>
        <v/>
      </c>
      <c r="C333" s="5" t="str">
        <f>IF(A333="","",IFERROR(INDEX('جدول الجرد'!$E$2:$E$31,MATCH(A333,'جدول الجرد'!$B$2:$B$31,0)),""))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الجرد'!$A$2:$A$31,MATCH(A334,'جدول الجرد'!$B$2:$B$31,0)),""))</f>
        <v/>
      </c>
      <c r="C334" s="5" t="str">
        <f>IF(A334="","",IFERROR(INDEX('جدول الجرد'!$E$2:$E$31,MATCH(A334,'جدول الجرد'!$B$2:$B$31,0)),""))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الجرد'!$A$2:$A$31,MATCH(A335,'جدول الجرد'!$B$2:$B$31,0)),""))</f>
        <v/>
      </c>
      <c r="C335" s="5" t="str">
        <f>IF(A335="","",IFERROR(INDEX('جدول الجرد'!$E$2:$E$31,MATCH(A335,'جدول الجرد'!$B$2:$B$31,0)),""))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الجرد'!$A$2:$A$31,MATCH(A336,'جدول الجرد'!$B$2:$B$31,0)),""))</f>
        <v/>
      </c>
      <c r="C336" s="5" t="str">
        <f>IF(A336="","",IFERROR(INDEX('جدول الجرد'!$E$2:$E$31,MATCH(A336,'جدول الجرد'!$B$2:$B$31,0)),""))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الجرد'!$A$2:$A$31,MATCH(A337,'جدول الجرد'!$B$2:$B$31,0)),""))</f>
        <v/>
      </c>
      <c r="C337" s="5" t="str">
        <f>IF(A337="","",IFERROR(INDEX('جدول الجرد'!$E$2:$E$31,MATCH(A337,'جدول الجرد'!$B$2:$B$31,0)),""))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الجرد'!$A$2:$A$31,MATCH(A338,'جدول الجرد'!$B$2:$B$31,0)),""))</f>
        <v/>
      </c>
      <c r="C338" s="5" t="str">
        <f>IF(A338="","",IFERROR(INDEX('جدول الجرد'!$E$2:$E$31,MATCH(A338,'جدول الجرد'!$B$2:$B$31,0)),""))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الجرد'!$A$2:$A$31,MATCH(A339,'جدول الجرد'!$B$2:$B$31,0)),""))</f>
        <v/>
      </c>
      <c r="C339" s="5" t="str">
        <f>IF(A339="","",IFERROR(INDEX('جدول الجرد'!$E$2:$E$31,MATCH(A339,'جدول الجرد'!$B$2:$B$31,0)),""))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الجرد'!$A$2:$A$31,MATCH(A340,'جدول الجرد'!$B$2:$B$31,0)),""))</f>
        <v/>
      </c>
      <c r="C340" s="5" t="str">
        <f>IF(A340="","",IFERROR(INDEX('جدول الجرد'!$E$2:$E$31,MATCH(A340,'جدول الجرد'!$B$2:$B$31,0)),""))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الجرد'!$A$2:$A$31,MATCH(A341,'جدول الجرد'!$B$2:$B$31,0)),""))</f>
        <v/>
      </c>
      <c r="C341" s="5" t="str">
        <f>IF(A341="","",IFERROR(INDEX('جدول الجرد'!$E$2:$E$31,MATCH(A341,'جدول الجرد'!$B$2:$B$31,0)),""))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الجرد'!$A$2:$A$31,MATCH(A342,'جدول الجرد'!$B$2:$B$31,0)),""))</f>
        <v/>
      </c>
      <c r="C342" s="5" t="str">
        <f>IF(A342="","",IFERROR(INDEX('جدول الجرد'!$E$2:$E$31,MATCH(A342,'جدول الجرد'!$B$2:$B$31,0)),""))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الجرد'!$A$2:$A$31,MATCH(A343,'جدول الجرد'!$B$2:$B$31,0)),""))</f>
        <v/>
      </c>
      <c r="C343" s="5" t="str">
        <f>IF(A343="","",IFERROR(INDEX('جدول الجرد'!$E$2:$E$31,MATCH(A343,'جدول الجرد'!$B$2:$B$31,0)),""))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الجرد'!$A$2:$A$31,MATCH(A344,'جدول الجرد'!$B$2:$B$31,0)),""))</f>
        <v/>
      </c>
      <c r="C344" s="5" t="str">
        <f>IF(A344="","",IFERROR(INDEX('جدول الجرد'!$E$2:$E$31,MATCH(A344,'جدول الجرد'!$B$2:$B$31,0)),""))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الجرد'!$A$2:$A$31,MATCH(A345,'جدول الجرد'!$B$2:$B$31,0)),""))</f>
        <v/>
      </c>
      <c r="C345" s="5" t="str">
        <f>IF(A345="","",IFERROR(INDEX('جدول الجرد'!$E$2:$E$31,MATCH(A345,'جدول الجرد'!$B$2:$B$31,0)),""))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الجرد'!$A$2:$A$31,MATCH(A346,'جدول الجرد'!$B$2:$B$31,0)),""))</f>
        <v/>
      </c>
      <c r="C346" s="5" t="str">
        <f>IF(A346="","",IFERROR(INDEX('جدول الجرد'!$E$2:$E$31,MATCH(A346,'جدول الجرد'!$B$2:$B$31,0)),""))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الجرد'!$A$2:$A$31,MATCH(A347,'جدول الجرد'!$B$2:$B$31,0)),""))</f>
        <v/>
      </c>
      <c r="C347" s="5" t="str">
        <f>IF(A347="","",IFERROR(INDEX('جدول الجرد'!$E$2:$E$31,MATCH(A347,'جدول الجرد'!$B$2:$B$31,0)),""))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الجرد'!$A$2:$A$31,MATCH(A348,'جدول الجرد'!$B$2:$B$31,0)),""))</f>
        <v/>
      </c>
      <c r="C348" s="5" t="str">
        <f>IF(A348="","",IFERROR(INDEX('جدول الجرد'!$E$2:$E$31,MATCH(A348,'جدول الجرد'!$B$2:$B$31,0)),""))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الجرد'!$A$2:$A$31,MATCH(A349,'جدول الجرد'!$B$2:$B$31,0)),""))</f>
        <v/>
      </c>
      <c r="C349" s="5" t="str">
        <f>IF(A349="","",IFERROR(INDEX('جدول الجرد'!$E$2:$E$31,MATCH(A349,'جدول الجرد'!$B$2:$B$31,0)),""))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الجرد'!$A$2:$A$31,MATCH(A350,'جدول الجرد'!$B$2:$B$31,0)),""))</f>
        <v/>
      </c>
      <c r="C350" s="5" t="str">
        <f>IF(A350="","",IFERROR(INDEX('جدول الجرد'!$E$2:$E$31,MATCH(A350,'جدول الجرد'!$B$2:$B$31,0)),""))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الجرد'!$A$2:$A$31,MATCH(A351,'جدول الجرد'!$B$2:$B$31,0)),""))</f>
        <v/>
      </c>
      <c r="C351" s="5" t="str">
        <f>IF(A351="","",IFERROR(INDEX('جدول الجرد'!$E$2:$E$31,MATCH(A351,'جدول الجرد'!$B$2:$B$31,0)),""))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الجرد'!$A$2:$A$31,MATCH(A352,'جدول الجرد'!$B$2:$B$31,0)),""))</f>
        <v/>
      </c>
      <c r="C352" s="5" t="str">
        <f>IF(A352="","",IFERROR(INDEX('جدول الجرد'!$E$2:$E$31,MATCH(A352,'جدول الجرد'!$B$2:$B$31,0)),""))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الجرد'!$A$2:$A$31,MATCH(A353,'جدول الجرد'!$B$2:$B$31,0)),""))</f>
        <v/>
      </c>
      <c r="C353" s="5" t="str">
        <f>IF(A353="","",IFERROR(INDEX('جدول الجرد'!$E$2:$E$31,MATCH(A353,'جدول الجرد'!$B$2:$B$31,0)),""))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الجرد'!$A$2:$A$31,MATCH(A354,'جدول الجرد'!$B$2:$B$31,0)),""))</f>
        <v/>
      </c>
      <c r="C354" s="5" t="str">
        <f>IF(A354="","",IFERROR(INDEX('جدول الجرد'!$E$2:$E$31,MATCH(A354,'جدول الجرد'!$B$2:$B$31,0)),""))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الجرد'!$A$2:$A$31,MATCH(A355,'جدول الجرد'!$B$2:$B$31,0)),""))</f>
        <v/>
      </c>
      <c r="C355" s="5" t="str">
        <f>IF(A355="","",IFERROR(INDEX('جدول الجرد'!$E$2:$E$31,MATCH(A355,'جدول الجرد'!$B$2:$B$31,0)),""))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الجرد'!$A$2:$A$31,MATCH(A356,'جدول الجرد'!$B$2:$B$31,0)),""))</f>
        <v/>
      </c>
      <c r="C356" s="5" t="str">
        <f>IF(A356="","",IFERROR(INDEX('جدول الجرد'!$E$2:$E$31,MATCH(A356,'جدول الجرد'!$B$2:$B$31,0)),""))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الجرد'!$A$2:$A$31,MATCH(A357,'جدول الجرد'!$B$2:$B$31,0)),""))</f>
        <v/>
      </c>
      <c r="C357" s="5" t="str">
        <f>IF(A357="","",IFERROR(INDEX('جدول الجرد'!$E$2:$E$31,MATCH(A357,'جدول الجرد'!$B$2:$B$31,0)),""))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الجرد'!$A$2:$A$31,MATCH(A358,'جدول الجرد'!$B$2:$B$31,0)),""))</f>
        <v/>
      </c>
      <c r="C358" s="5" t="str">
        <f>IF(A358="","",IFERROR(INDEX('جدول الجرد'!$E$2:$E$31,MATCH(A358,'جدول الجرد'!$B$2:$B$31,0)),""))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الجرد'!$A$2:$A$31,MATCH(A359,'جدول الجرد'!$B$2:$B$31,0)),""))</f>
        <v/>
      </c>
      <c r="C359" s="5" t="str">
        <f>IF(A359="","",IFERROR(INDEX('جدول الجرد'!$E$2:$E$31,MATCH(A359,'جدول الجرد'!$B$2:$B$31,0)),""))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الجرد'!$A$2:$A$31,MATCH(A360,'جدول الجرد'!$B$2:$B$31,0)),""))</f>
        <v/>
      </c>
      <c r="C360" s="5" t="str">
        <f>IF(A360="","",IFERROR(INDEX('جدول الجرد'!$E$2:$E$31,MATCH(A360,'جدول الجرد'!$B$2:$B$31,0)),""))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الجرد'!$A$2:$A$31,MATCH(A361,'جدول الجرد'!$B$2:$B$31,0)),""))</f>
        <v/>
      </c>
      <c r="C361" s="5" t="str">
        <f>IF(A361="","",IFERROR(INDEX('جدول الجرد'!$E$2:$E$31,MATCH(A361,'جدول الجرد'!$B$2:$B$31,0)),""))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الجرد'!$A$2:$A$31,MATCH(A362,'جدول الجرد'!$B$2:$B$31,0)),""))</f>
        <v/>
      </c>
      <c r="C362" s="5" t="str">
        <f>IF(A362="","",IFERROR(INDEX('جدول الجرد'!$E$2:$E$31,MATCH(A362,'جدول الجرد'!$B$2:$B$31,0)),""))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الجرد'!$A$2:$A$31,MATCH(A363,'جدول الجرد'!$B$2:$B$31,0)),""))</f>
        <v/>
      </c>
      <c r="C363" s="5" t="str">
        <f>IF(A363="","",IFERROR(INDEX('جدول الجرد'!$E$2:$E$31,MATCH(A363,'جدول الجرد'!$B$2:$B$31,0)),""))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الجرد'!$A$2:$A$31,MATCH(A364,'جدول الجرد'!$B$2:$B$31,0)),""))</f>
        <v/>
      </c>
      <c r="C364" s="5" t="str">
        <f>IF(A364="","",IFERROR(INDEX('جدول الجرد'!$E$2:$E$31,MATCH(A364,'جدول الجرد'!$B$2:$B$31,0)),""))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الجرد'!$A$2:$A$31,MATCH(A365,'جدول الجرد'!$B$2:$B$31,0)),""))</f>
        <v/>
      </c>
      <c r="C365" s="5" t="str">
        <f>IF(A365="","",IFERROR(INDEX('جدول الجرد'!$E$2:$E$31,MATCH(A365,'جدول الجرد'!$B$2:$B$31,0)),""))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الجرد'!$A$2:$A$31,MATCH(A366,'جدول الجرد'!$B$2:$B$31,0)),""))</f>
        <v/>
      </c>
      <c r="C366" s="5" t="str">
        <f>IF(A366="","",IFERROR(INDEX('جدول الجرد'!$E$2:$E$31,MATCH(A366,'جدول الجرد'!$B$2:$B$31,0)),""))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الجرد'!$A$2:$A$31,MATCH(A367,'جدول الجرد'!$B$2:$B$31,0)),""))</f>
        <v/>
      </c>
      <c r="C367" s="5" t="str">
        <f>IF(A367="","",IFERROR(INDEX('جدول الجرد'!$E$2:$E$31,MATCH(A367,'جدول الجرد'!$B$2:$B$31,0)),""))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الجرد'!$A$2:$A$31,MATCH(A368,'جدول الجرد'!$B$2:$B$31,0)),""))</f>
        <v/>
      </c>
      <c r="C368" s="5" t="str">
        <f>IF(A368="","",IFERROR(INDEX('جدول الجرد'!$E$2:$E$31,MATCH(A368,'جدول الجرد'!$B$2:$B$31,0)),""))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الجرد'!$A$2:$A$31,MATCH(A369,'جدول الجرد'!$B$2:$B$31,0)),""))</f>
        <v/>
      </c>
      <c r="C369" s="5" t="str">
        <f>IF(A369="","",IFERROR(INDEX('جدول الجرد'!$E$2:$E$31,MATCH(A369,'جدول الجرد'!$B$2:$B$31,0)),""))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الجرد'!$A$2:$A$31,MATCH(A370,'جدول الجرد'!$B$2:$B$31,0)),""))</f>
        <v/>
      </c>
      <c r="C370" s="5" t="str">
        <f>IF(A370="","",IFERROR(INDEX('جدول الجرد'!$E$2:$E$31,MATCH(A370,'جدول الجرد'!$B$2:$B$31,0)),""))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الجرد'!$A$2:$A$31,MATCH(A371,'جدول الجرد'!$B$2:$B$31,0)),""))</f>
        <v/>
      </c>
      <c r="C371" s="5" t="str">
        <f>IF(A371="","",IFERROR(INDEX('جدول الجرد'!$E$2:$E$31,MATCH(A371,'جدول الجرد'!$B$2:$B$31,0)),""))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الجرد'!$A$2:$A$31,MATCH(A372,'جدول الجرد'!$B$2:$B$31,0)),""))</f>
        <v/>
      </c>
      <c r="C372" s="5" t="str">
        <f>IF(A372="","",IFERROR(INDEX('جدول الجرد'!$E$2:$E$31,MATCH(A372,'جدول الجرد'!$B$2:$B$31,0)),""))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الجرد'!$A$2:$A$31,MATCH(A373,'جدول الجرد'!$B$2:$B$31,0)),""))</f>
        <v/>
      </c>
      <c r="C373" s="5" t="str">
        <f>IF(A373="","",IFERROR(INDEX('جدول الجرد'!$E$2:$E$31,MATCH(A373,'جدول الجرد'!$B$2:$B$31,0)),""))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الجرد'!$A$2:$A$31,MATCH(A374,'جدول الجرد'!$B$2:$B$31,0)),""))</f>
        <v/>
      </c>
      <c r="C374" s="5" t="str">
        <f>IF(A374="","",IFERROR(INDEX('جدول الجرد'!$E$2:$E$31,MATCH(A374,'جدول الجرد'!$B$2:$B$31,0)),""))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الجرد'!$A$2:$A$31,MATCH(A375,'جدول الجرد'!$B$2:$B$31,0)),""))</f>
        <v/>
      </c>
      <c r="C375" s="5" t="str">
        <f>IF(A375="","",IFERROR(INDEX('جدول الجرد'!$E$2:$E$31,MATCH(A375,'جدول الجرد'!$B$2:$B$31,0)),""))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الجرد'!$A$2:$A$31,MATCH(A376,'جدول الجرد'!$B$2:$B$31,0)),""))</f>
        <v/>
      </c>
      <c r="C376" s="5" t="str">
        <f>IF(A376="","",IFERROR(INDEX('جدول الجرد'!$E$2:$E$31,MATCH(A376,'جدول الجرد'!$B$2:$B$31,0)),""))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الجرد'!$A$2:$A$31,MATCH(A377,'جدول الجرد'!$B$2:$B$31,0)),""))</f>
        <v/>
      </c>
      <c r="C377" s="5" t="str">
        <f>IF(A377="","",IFERROR(INDEX('جدول الجرد'!$E$2:$E$31,MATCH(A377,'جدول الجرد'!$B$2:$B$31,0)),""))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الجرد'!$A$2:$A$31,MATCH(A378,'جدول الجرد'!$B$2:$B$31,0)),""))</f>
        <v/>
      </c>
      <c r="C378" s="5" t="str">
        <f>IF(A378="","",IFERROR(INDEX('جدول الجرد'!$E$2:$E$31,MATCH(A378,'جدول الجرد'!$B$2:$B$31,0)),""))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الجرد'!$A$2:$A$31,MATCH(A379,'جدول الجرد'!$B$2:$B$31,0)),""))</f>
        <v/>
      </c>
      <c r="C379" s="5" t="str">
        <f>IF(A379="","",IFERROR(INDEX('جدول الجرد'!$E$2:$E$31,MATCH(A379,'جدول الجرد'!$B$2:$B$31,0)),""))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الجرد'!$A$2:$A$31,MATCH(A380,'جدول الجرد'!$B$2:$B$31,0)),""))</f>
        <v/>
      </c>
      <c r="C380" s="5" t="str">
        <f>IF(A380="","",IFERROR(INDEX('جدول الجرد'!$E$2:$E$31,MATCH(A380,'جدول الجرد'!$B$2:$B$31,0)),""))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الجرد'!$A$2:$A$31,MATCH(A381,'جدول الجرد'!$B$2:$B$31,0)),""))</f>
        <v/>
      </c>
      <c r="C381" s="5" t="str">
        <f>IF(A381="","",IFERROR(INDEX('جدول الجرد'!$E$2:$E$31,MATCH(A381,'جدول الجرد'!$B$2:$B$31,0)),""))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الجرد'!$A$2:$A$31,MATCH(A382,'جدول الجرد'!$B$2:$B$31,0)),""))</f>
        <v/>
      </c>
      <c r="C382" s="5" t="str">
        <f>IF(A382="","",IFERROR(INDEX('جدول الجرد'!$E$2:$E$31,MATCH(A382,'جدول الجرد'!$B$2:$B$31,0)),""))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الجرد'!$A$2:$A$31,MATCH(A383,'جدول الجرد'!$B$2:$B$31,0)),""))</f>
        <v/>
      </c>
      <c r="C383" s="5" t="str">
        <f>IF(A383="","",IFERROR(INDEX('جدول الجرد'!$E$2:$E$31,MATCH(A383,'جدول الجرد'!$B$2:$B$31,0)),""))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الجرد'!$A$2:$A$31,MATCH(A384,'جدول الجرد'!$B$2:$B$31,0)),""))</f>
        <v/>
      </c>
      <c r="C384" s="5" t="str">
        <f>IF(A384="","",IFERROR(INDEX('جدول الجرد'!$E$2:$E$31,MATCH(A384,'جدول الجرد'!$B$2:$B$31,0)),""))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الجرد'!$A$2:$A$31,MATCH(A385,'جدول الجرد'!$B$2:$B$31,0)),""))</f>
        <v/>
      </c>
      <c r="C385" s="5" t="str">
        <f>IF(A385="","",IFERROR(INDEX('جدول الجرد'!$E$2:$E$31,MATCH(A385,'جدول الجرد'!$B$2:$B$31,0)),""))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الجرد'!$A$2:$A$31,MATCH(A386,'جدول الجرد'!$B$2:$B$31,0)),""))</f>
        <v/>
      </c>
      <c r="C386" s="5" t="str">
        <f>IF(A386="","",IFERROR(INDEX('جدول الجرد'!$E$2:$E$31,MATCH(A386,'جدول الجرد'!$B$2:$B$31,0)),""))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الجرد'!$A$2:$A$31,MATCH(A387,'جدول الجرد'!$B$2:$B$31,0)),""))</f>
        <v/>
      </c>
      <c r="C387" s="5" t="str">
        <f>IF(A387="","",IFERROR(INDEX('جدول الجرد'!$E$2:$E$31,MATCH(A387,'جدول الجرد'!$B$2:$B$31,0)),""))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الجرد'!$A$2:$A$31,MATCH(A388,'جدول الجرد'!$B$2:$B$31,0)),""))</f>
        <v/>
      </c>
      <c r="C388" s="5" t="str">
        <f>IF(A388="","",IFERROR(INDEX('جدول الجرد'!$E$2:$E$31,MATCH(A388,'جدول الجرد'!$B$2:$B$31,0)),""))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الجرد'!$A$2:$A$31,MATCH(A389,'جدول الجرد'!$B$2:$B$31,0)),""))</f>
        <v/>
      </c>
      <c r="C389" s="5" t="str">
        <f>IF(A389="","",IFERROR(INDEX('جدول الجرد'!$E$2:$E$31,MATCH(A389,'جدول الجرد'!$B$2:$B$31,0)),""))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الجرد'!$A$2:$A$31,MATCH(A390,'جدول الجرد'!$B$2:$B$31,0)),""))</f>
        <v/>
      </c>
      <c r="C390" s="5" t="str">
        <f>IF(A390="","",IFERROR(INDEX('جدول الجرد'!$E$2:$E$31,MATCH(A390,'جدول الجرد'!$B$2:$B$31,0)),""))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الجرد'!$A$2:$A$31,MATCH(A391,'جدول الجرد'!$B$2:$B$31,0)),""))</f>
        <v/>
      </c>
      <c r="C391" s="5" t="str">
        <f>IF(A391="","",IFERROR(INDEX('جدول الجرد'!$E$2:$E$31,MATCH(A391,'جدول الجرد'!$B$2:$B$31,0)),""))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الجرد'!$A$2:$A$31,MATCH(A392,'جدول الجرد'!$B$2:$B$31,0)),""))</f>
        <v/>
      </c>
      <c r="C392" s="5" t="str">
        <f>IF(A392="","",IFERROR(INDEX('جدول الجرد'!$E$2:$E$31,MATCH(A392,'جدول الجرد'!$B$2:$B$31,0)),""))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الجرد'!$A$2:$A$31,MATCH(A393,'جدول الجرد'!$B$2:$B$31,0)),""))</f>
        <v/>
      </c>
      <c r="C393" s="5" t="str">
        <f>IF(A393="","",IFERROR(INDEX('جدول الجرد'!$E$2:$E$31,MATCH(A393,'جدول الجرد'!$B$2:$B$31,0)),""))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الجرد'!$A$2:$A$31,MATCH(A394,'جدول الجرد'!$B$2:$B$31,0)),""))</f>
        <v/>
      </c>
      <c r="C394" s="5" t="str">
        <f>IF(A394="","",IFERROR(INDEX('جدول الجرد'!$E$2:$E$31,MATCH(A394,'جدول الجرد'!$B$2:$B$31,0)),""))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الجرد'!$A$2:$A$31,MATCH(A395,'جدول الجرد'!$B$2:$B$31,0)),""))</f>
        <v/>
      </c>
      <c r="C395" s="5" t="str">
        <f>IF(A395="","",IFERROR(INDEX('جدول الجرد'!$E$2:$E$31,MATCH(A395,'جدول الجرد'!$B$2:$B$31,0)),""))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الجرد'!$A$2:$A$31,MATCH(A396,'جدول الجرد'!$B$2:$B$31,0)),""))</f>
        <v/>
      </c>
      <c r="C396" s="5" t="str">
        <f>IF(A396="","",IFERROR(INDEX('جدول الجرد'!$E$2:$E$31,MATCH(A396,'جدول الجرد'!$B$2:$B$31,0)),""))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الجرد'!$A$2:$A$31,MATCH(A397,'جدول الجرد'!$B$2:$B$31,0)),""))</f>
        <v/>
      </c>
      <c r="C397" s="5" t="str">
        <f>IF(A397="","",IFERROR(INDEX('جدول الجرد'!$E$2:$E$31,MATCH(A397,'جدول الجرد'!$B$2:$B$31,0)),""))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الجرد'!$A$2:$A$31,MATCH(A398,'جدول الجرد'!$B$2:$B$31,0)),""))</f>
        <v/>
      </c>
      <c r="C398" s="5" t="str">
        <f>IF(A398="","",IFERROR(INDEX('جدول الجرد'!$E$2:$E$31,MATCH(A398,'جدول الجرد'!$B$2:$B$31,0)),""))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الجرد'!$A$2:$A$31,MATCH(A399,'جدول الجرد'!$B$2:$B$31,0)),""))</f>
        <v/>
      </c>
      <c r="C399" s="5" t="str">
        <f>IF(A399="","",IFERROR(INDEX('جدول الجرد'!$E$2:$E$31,MATCH(A399,'جدول الجرد'!$B$2:$B$31,0)),""))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الجرد'!$A$2:$A$31,MATCH(A400,'جدول الجرد'!$B$2:$B$31,0)),""))</f>
        <v/>
      </c>
      <c r="C400" s="5" t="str">
        <f>IF(A400="","",IFERROR(INDEX('جدول الجرد'!$E$2:$E$31,MATCH(A400,'جدول الجرد'!$B$2:$B$31,0)),""))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الجرد'!$A$2:$A$31,MATCH(A401,'جدول الجرد'!$B$2:$B$31,0)),""))</f>
        <v/>
      </c>
      <c r="C401" s="5" t="str">
        <f>IF(A401="","",IFERROR(INDEX('جدول الجرد'!$E$2:$E$31,MATCH(A401,'جدول الجرد'!$B$2:$B$31,0)),""))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الجرد'!$A$2:$A$31,MATCH(A402,'جدول الجرد'!$B$2:$B$31,0)),""))</f>
        <v/>
      </c>
      <c r="C402" s="5" t="str">
        <f>IF(A402="","",IFERROR(INDEX('جدول الجرد'!$E$2:$E$31,MATCH(A402,'جدول الجرد'!$B$2:$B$31,0)),""))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الجرد'!$A$2:$A$31,MATCH(A403,'جدول الجرد'!$B$2:$B$31,0)),""))</f>
        <v/>
      </c>
      <c r="C403" s="5" t="str">
        <f>IF(A403="","",IFERROR(INDEX('جدول الجرد'!$E$2:$E$31,MATCH(A403,'جدول الجرد'!$B$2:$B$31,0)),""))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الجرد'!$A$2:$A$31,MATCH(A404,'جدول الجرد'!$B$2:$B$31,0)),""))</f>
        <v/>
      </c>
      <c r="C404" s="5" t="str">
        <f>IF(A404="","",IFERROR(INDEX('جدول الجرد'!$E$2:$E$31,MATCH(A404,'جدول الجرد'!$B$2:$B$31,0)),""))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الجرد'!$A$2:$A$31,MATCH(A405,'جدول الجرد'!$B$2:$B$31,0)),""))</f>
        <v/>
      </c>
      <c r="C405" s="5" t="str">
        <f>IF(A405="","",IFERROR(INDEX('جدول الجرد'!$E$2:$E$31,MATCH(A405,'جدول الجرد'!$B$2:$B$31,0)),""))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الجرد'!$A$2:$A$31,MATCH(A406,'جدول الجرد'!$B$2:$B$31,0)),""))</f>
        <v/>
      </c>
      <c r="C406" s="5" t="str">
        <f>IF(A406="","",IFERROR(INDEX('جدول الجرد'!$E$2:$E$31,MATCH(A406,'جدول الجرد'!$B$2:$B$31,0)),""))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الجرد'!$A$2:$A$31,MATCH(A407,'جدول الجرد'!$B$2:$B$31,0)),""))</f>
        <v/>
      </c>
      <c r="C407" s="5" t="str">
        <f>IF(A407="","",IFERROR(INDEX('جدول الجرد'!$E$2:$E$31,MATCH(A407,'جدول الجرد'!$B$2:$B$31,0)),""))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الجرد'!$A$2:$A$31,MATCH(A408,'جدول الجرد'!$B$2:$B$31,0)),""))</f>
        <v/>
      </c>
      <c r="C408" s="5" t="str">
        <f>IF(A408="","",IFERROR(INDEX('جدول الجرد'!$E$2:$E$31,MATCH(A408,'جدول الجرد'!$B$2:$B$31,0)),""))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الجرد'!$A$2:$A$31,MATCH(A409,'جدول الجرد'!$B$2:$B$31,0)),""))</f>
        <v/>
      </c>
      <c r="C409" s="5" t="str">
        <f>IF(A409="","",IFERROR(INDEX('جدول الجرد'!$E$2:$E$31,MATCH(A409,'جدول الجرد'!$B$2:$B$31,0)),""))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الجرد'!$A$2:$A$31,MATCH(A410,'جدول الجرد'!$B$2:$B$31,0)),""))</f>
        <v/>
      </c>
      <c r="C410" s="5" t="str">
        <f>IF(A410="","",IFERROR(INDEX('جدول الجرد'!$E$2:$E$31,MATCH(A410,'جدول الجرد'!$B$2:$B$31,0)),""))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الجرد'!$A$2:$A$31,MATCH(A411,'جدول الجرد'!$B$2:$B$31,0)),""))</f>
        <v/>
      </c>
      <c r="C411" s="5" t="str">
        <f>IF(A411="","",IFERROR(INDEX('جدول الجرد'!$E$2:$E$31,MATCH(A411,'جدول الجرد'!$B$2:$B$31,0)),""))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الجرد'!$A$2:$A$31,MATCH(A412,'جدول الجرد'!$B$2:$B$31,0)),""))</f>
        <v/>
      </c>
      <c r="C412" s="5" t="str">
        <f>IF(A412="","",IFERROR(INDEX('جدول الجرد'!$E$2:$E$31,MATCH(A412,'جدول الجرد'!$B$2:$B$31,0)),""))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الجرد'!$A$2:$A$31,MATCH(A413,'جدول الجرد'!$B$2:$B$31,0)),""))</f>
        <v/>
      </c>
      <c r="C413" s="5" t="str">
        <f>IF(A413="","",IFERROR(INDEX('جدول الجرد'!$E$2:$E$31,MATCH(A413,'جدول الجرد'!$B$2:$B$31,0)),""))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الجرد'!$A$2:$A$31,MATCH(A414,'جدول الجرد'!$B$2:$B$31,0)),""))</f>
        <v/>
      </c>
      <c r="C414" s="5" t="str">
        <f>IF(A414="","",IFERROR(INDEX('جدول الجرد'!$E$2:$E$31,MATCH(A414,'جدول الجرد'!$B$2:$B$31,0)),""))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الجرد'!$A$2:$A$31,MATCH(A415,'جدول الجرد'!$B$2:$B$31,0)),""))</f>
        <v/>
      </c>
      <c r="C415" s="5" t="str">
        <f>IF(A415="","",IFERROR(INDEX('جدول الجرد'!$E$2:$E$31,MATCH(A415,'جدول الجرد'!$B$2:$B$31,0)),""))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الجرد'!$A$2:$A$31,MATCH(A416,'جدول الجرد'!$B$2:$B$31,0)),""))</f>
        <v/>
      </c>
      <c r="C416" s="5" t="str">
        <f>IF(A416="","",IFERROR(INDEX('جدول الجرد'!$E$2:$E$31,MATCH(A416,'جدول الجرد'!$B$2:$B$31,0)),""))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الجرد'!$A$2:$A$31,MATCH(A417,'جدول الجرد'!$B$2:$B$31,0)),""))</f>
        <v/>
      </c>
      <c r="C417" s="5" t="str">
        <f>IF(A417="","",IFERROR(INDEX('جدول الجرد'!$E$2:$E$31,MATCH(A417,'جدول الجرد'!$B$2:$B$31,0)),""))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الجرد'!$A$2:$A$31,MATCH(A418,'جدول الجرد'!$B$2:$B$31,0)),""))</f>
        <v/>
      </c>
      <c r="C418" s="5" t="str">
        <f>IF(A418="","",IFERROR(INDEX('جدول الجرد'!$E$2:$E$31,MATCH(A418,'جدول الجرد'!$B$2:$B$31,0)),""))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الجرد'!$A$2:$A$31,MATCH(A419,'جدول الجرد'!$B$2:$B$31,0)),""))</f>
        <v/>
      </c>
      <c r="C419" s="5" t="str">
        <f>IF(A419="","",IFERROR(INDEX('جدول الجرد'!$E$2:$E$31,MATCH(A419,'جدول الجرد'!$B$2:$B$31,0)),""))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الجرد'!$A$2:$A$31,MATCH(A420,'جدول الجرد'!$B$2:$B$31,0)),""))</f>
        <v/>
      </c>
      <c r="C420" s="5" t="str">
        <f>IF(A420="","",IFERROR(INDEX('جدول الجرد'!$E$2:$E$31,MATCH(A420,'جدول الجرد'!$B$2:$B$31,0)),""))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الجرد'!$A$2:$A$31,MATCH(A421,'جدول الجرد'!$B$2:$B$31,0)),""))</f>
        <v/>
      </c>
      <c r="C421" s="5" t="str">
        <f>IF(A421="","",IFERROR(INDEX('جدول الجرد'!$E$2:$E$31,MATCH(A421,'جدول الجرد'!$B$2:$B$31,0)),""))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الجرد'!$A$2:$A$31,MATCH(A422,'جدول الجرد'!$B$2:$B$31,0)),""))</f>
        <v/>
      </c>
      <c r="C422" s="5" t="str">
        <f>IF(A422="","",IFERROR(INDEX('جدول الجرد'!$E$2:$E$31,MATCH(A422,'جدول الجرد'!$B$2:$B$31,0)),""))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الجرد'!$A$2:$A$31,MATCH(A423,'جدول الجرد'!$B$2:$B$31,0)),""))</f>
        <v/>
      </c>
      <c r="C423" s="5" t="str">
        <f>IF(A423="","",IFERROR(INDEX('جدول الجرد'!$E$2:$E$31,MATCH(A423,'جدول الجرد'!$B$2:$B$31,0)),""))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الجرد'!$A$2:$A$31,MATCH(A424,'جدول الجرد'!$B$2:$B$31,0)),""))</f>
        <v/>
      </c>
      <c r="C424" s="5" t="str">
        <f>IF(A424="","",IFERROR(INDEX('جدول الجرد'!$E$2:$E$31,MATCH(A424,'جدول الجرد'!$B$2:$B$31,0)),""))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الجرد'!$A$2:$A$31,MATCH(A425,'جدول الجرد'!$B$2:$B$31,0)),""))</f>
        <v/>
      </c>
      <c r="C425" s="5" t="str">
        <f>IF(A425="","",IFERROR(INDEX('جدول الجرد'!$E$2:$E$31,MATCH(A425,'جدول الجرد'!$B$2:$B$31,0)),""))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الجرد'!$A$2:$A$31,MATCH(A426,'جدول الجرد'!$B$2:$B$31,0)),""))</f>
        <v/>
      </c>
      <c r="C426" s="5" t="str">
        <f>IF(A426="","",IFERROR(INDEX('جدول الجرد'!$E$2:$E$31,MATCH(A426,'جدول الجرد'!$B$2:$B$31,0)),""))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الجرد'!$A$2:$A$31,MATCH(A427,'جدول الجرد'!$B$2:$B$31,0)),""))</f>
        <v/>
      </c>
      <c r="C427" s="5" t="str">
        <f>IF(A427="","",IFERROR(INDEX('جدول الجرد'!$E$2:$E$31,MATCH(A427,'جدول الجرد'!$B$2:$B$31,0)),""))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الجرد'!$A$2:$A$31,MATCH(A428,'جدول الجرد'!$B$2:$B$31,0)),""))</f>
        <v/>
      </c>
      <c r="C428" s="5" t="str">
        <f>IF(A428="","",IFERROR(INDEX('جدول الجرد'!$E$2:$E$31,MATCH(A428,'جدول الجرد'!$B$2:$B$31,0)),""))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الجرد'!$A$2:$A$31,MATCH(A429,'جدول الجرد'!$B$2:$B$31,0)),""))</f>
        <v/>
      </c>
      <c r="C429" s="5" t="str">
        <f>IF(A429="","",IFERROR(INDEX('جدول الجرد'!$E$2:$E$31,MATCH(A429,'جدول الجرد'!$B$2:$B$31,0)),""))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الجرد'!$A$2:$A$31,MATCH(A430,'جدول الجرد'!$B$2:$B$31,0)),""))</f>
        <v/>
      </c>
      <c r="C430" s="5" t="str">
        <f>IF(A430="","",IFERROR(INDEX('جدول الجرد'!$E$2:$E$31,MATCH(A430,'جدول الجرد'!$B$2:$B$31,0)),""))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الجرد'!$A$2:$A$31,MATCH(A431,'جدول الجرد'!$B$2:$B$31,0)),""))</f>
        <v/>
      </c>
      <c r="C431" s="5" t="str">
        <f>IF(A431="","",IFERROR(INDEX('جدول الجرد'!$E$2:$E$31,MATCH(A431,'جدول الجرد'!$B$2:$B$31,0)),""))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الجرد'!$A$2:$A$31,MATCH(A432,'جدول الجرد'!$B$2:$B$31,0)),""))</f>
        <v/>
      </c>
      <c r="C432" s="5" t="str">
        <f>IF(A432="","",IFERROR(INDEX('جدول الجرد'!$E$2:$E$31,MATCH(A432,'جدول الجرد'!$B$2:$B$31,0)),""))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الجرد'!$A$2:$A$31,MATCH(A433,'جدول الجرد'!$B$2:$B$31,0)),""))</f>
        <v/>
      </c>
      <c r="C433" s="5" t="str">
        <f>IF(A433="","",IFERROR(INDEX('جدول الجرد'!$E$2:$E$31,MATCH(A433,'جدول الجرد'!$B$2:$B$31,0)),""))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الجرد'!$A$2:$A$31,MATCH(A434,'جدول الجرد'!$B$2:$B$31,0)),""))</f>
        <v/>
      </c>
      <c r="C434" s="5" t="str">
        <f>IF(A434="","",IFERROR(INDEX('جدول الجرد'!$E$2:$E$31,MATCH(A434,'جدول الجرد'!$B$2:$B$31,0)),""))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الجرد'!$A$2:$A$31,MATCH(A435,'جدول الجرد'!$B$2:$B$31,0)),""))</f>
        <v/>
      </c>
      <c r="C435" s="5" t="str">
        <f>IF(A435="","",IFERROR(INDEX('جدول الجرد'!$E$2:$E$31,MATCH(A435,'جدول الجرد'!$B$2:$B$31,0)),""))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الجرد'!$A$2:$A$31,MATCH(A436,'جدول الجرد'!$B$2:$B$31,0)),""))</f>
        <v/>
      </c>
      <c r="C436" s="5" t="str">
        <f>IF(A436="","",IFERROR(INDEX('جدول الجرد'!$E$2:$E$31,MATCH(A436,'جدول الجرد'!$B$2:$B$31,0)),""))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الجرد'!$A$2:$A$31,MATCH(A437,'جدول الجرد'!$B$2:$B$31,0)),""))</f>
        <v/>
      </c>
      <c r="C437" s="5" t="str">
        <f>IF(A437="","",IFERROR(INDEX('جدول الجرد'!$E$2:$E$31,MATCH(A437,'جدول الجرد'!$B$2:$B$31,0)),""))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الجرد'!$A$2:$A$31,MATCH(A438,'جدول الجرد'!$B$2:$B$31,0)),""))</f>
        <v/>
      </c>
      <c r="C438" s="5" t="str">
        <f>IF(A438="","",IFERROR(INDEX('جدول الجرد'!$E$2:$E$31,MATCH(A438,'جدول الجرد'!$B$2:$B$31,0)),""))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الجرد'!$A$2:$A$31,MATCH(A439,'جدول الجرد'!$B$2:$B$31,0)),""))</f>
        <v/>
      </c>
      <c r="C439" s="5" t="str">
        <f>IF(A439="","",IFERROR(INDEX('جدول الجرد'!$E$2:$E$31,MATCH(A439,'جدول الجرد'!$B$2:$B$31,0)),""))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الجرد'!$A$2:$A$31,MATCH(A440,'جدول الجرد'!$B$2:$B$31,0)),""))</f>
        <v/>
      </c>
      <c r="C440" s="5" t="str">
        <f>IF(A440="","",IFERROR(INDEX('جدول الجرد'!$E$2:$E$31,MATCH(A440,'جدول الجرد'!$B$2:$B$31,0)),""))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الجرد'!$A$2:$A$31,MATCH(A441,'جدول الجرد'!$B$2:$B$31,0)),""))</f>
        <v/>
      </c>
      <c r="C441" s="5" t="str">
        <f>IF(A441="","",IFERROR(INDEX('جدول الجرد'!$E$2:$E$31,MATCH(A441,'جدول الجرد'!$B$2:$B$31,0)),""))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الجرد'!$A$2:$A$31,MATCH(A442,'جدول الجرد'!$B$2:$B$31,0)),""))</f>
        <v/>
      </c>
      <c r="C442" s="5" t="str">
        <f>IF(A442="","",IFERROR(INDEX('جدول الجرد'!$E$2:$E$31,MATCH(A442,'جدول الجرد'!$B$2:$B$31,0)),""))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الجرد'!$A$2:$A$31,MATCH(A443,'جدول الجرد'!$B$2:$B$31,0)),""))</f>
        <v/>
      </c>
      <c r="C443" s="5" t="str">
        <f>IF(A443="","",IFERROR(INDEX('جدول الجرد'!$E$2:$E$31,MATCH(A443,'جدول الجرد'!$B$2:$B$31,0)),""))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الجرد'!$A$2:$A$31,MATCH(A444,'جدول الجرد'!$B$2:$B$31,0)),""))</f>
        <v/>
      </c>
      <c r="C444" s="5" t="str">
        <f>IF(A444="","",IFERROR(INDEX('جدول الجرد'!$E$2:$E$31,MATCH(A444,'جدول الجرد'!$B$2:$B$31,0)),""))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الجرد'!$A$2:$A$31,MATCH(A445,'جدول الجرد'!$B$2:$B$31,0)),""))</f>
        <v/>
      </c>
      <c r="C445" s="5" t="str">
        <f>IF(A445="","",IFERROR(INDEX('جدول الجرد'!$E$2:$E$31,MATCH(A445,'جدول الجرد'!$B$2:$B$31,0)),""))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الجرد'!$A$2:$A$31,MATCH(A446,'جدول الجرد'!$B$2:$B$31,0)),""))</f>
        <v/>
      </c>
      <c r="C446" s="5" t="str">
        <f>IF(A446="","",IFERROR(INDEX('جدول الجرد'!$E$2:$E$31,MATCH(A446,'جدول الجرد'!$B$2:$B$31,0)),""))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الجرد'!$A$2:$A$31,MATCH(A447,'جدول الجرد'!$B$2:$B$31,0)),""))</f>
        <v/>
      </c>
      <c r="C447" s="5" t="str">
        <f>IF(A447="","",IFERROR(INDEX('جدول الجرد'!$E$2:$E$31,MATCH(A447,'جدول الجرد'!$B$2:$B$31,0)),""))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الجرد'!$A$2:$A$31,MATCH(A448,'جدول الجرد'!$B$2:$B$31,0)),""))</f>
        <v/>
      </c>
      <c r="C448" s="5" t="str">
        <f>IF(A448="","",IFERROR(INDEX('جدول الجرد'!$E$2:$E$31,MATCH(A448,'جدول الجرد'!$B$2:$B$31,0)),""))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الجرد'!$A$2:$A$31,MATCH(A449,'جدول الجرد'!$B$2:$B$31,0)),""))</f>
        <v/>
      </c>
      <c r="C449" s="5" t="str">
        <f>IF(A449="","",IFERROR(INDEX('جدول الجرد'!$E$2:$E$31,MATCH(A449,'جدول الجرد'!$B$2:$B$31,0)),""))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الجرد'!$A$2:$A$31,MATCH(A450,'جدول الجرد'!$B$2:$B$31,0)),""))</f>
        <v/>
      </c>
      <c r="C450" s="5" t="str">
        <f>IF(A450="","",IFERROR(INDEX('جدول الجرد'!$E$2:$E$31,MATCH(A450,'جدول الجرد'!$B$2:$B$31,0)),""))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الجرد'!$A$2:$A$31,MATCH(A451,'جدول الجرد'!$B$2:$B$31,0)),""))</f>
        <v/>
      </c>
      <c r="C451" s="5" t="str">
        <f>IF(A451="","",IFERROR(INDEX('جدول الجرد'!$E$2:$E$31,MATCH(A451,'جدول الجرد'!$B$2:$B$31,0)),""))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الجرد'!$A$2:$A$31,MATCH(A452,'جدول الجرد'!$B$2:$B$31,0)),""))</f>
        <v/>
      </c>
      <c r="C452" s="5" t="str">
        <f>IF(A452="","",IFERROR(INDEX('جدول الجرد'!$E$2:$E$31,MATCH(A452,'جدول الجرد'!$B$2:$B$31,0)),""))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الجرد'!$A$2:$A$31,MATCH(A453,'جدول الجرد'!$B$2:$B$31,0)),""))</f>
        <v/>
      </c>
      <c r="C453" s="5" t="str">
        <f>IF(A453="","",IFERROR(INDEX('جدول الجرد'!$E$2:$E$31,MATCH(A453,'جدول الجرد'!$B$2:$B$31,0)),""))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الجرد'!$A$2:$A$31,MATCH(A454,'جدول الجرد'!$B$2:$B$31,0)),""))</f>
        <v/>
      </c>
      <c r="C454" s="5" t="str">
        <f>IF(A454="","",IFERROR(INDEX('جدول الجرد'!$E$2:$E$31,MATCH(A454,'جدول الجرد'!$B$2:$B$31,0)),""))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الجرد'!$A$2:$A$31,MATCH(A455,'جدول الجرد'!$B$2:$B$31,0)),""))</f>
        <v/>
      </c>
      <c r="C455" s="5" t="str">
        <f>IF(A455="","",IFERROR(INDEX('جدول الجرد'!$E$2:$E$31,MATCH(A455,'جدول الجرد'!$B$2:$B$31,0)),""))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الجرد'!$A$2:$A$31,MATCH(A456,'جدول الجرد'!$B$2:$B$31,0)),""))</f>
        <v/>
      </c>
      <c r="C456" s="5" t="str">
        <f>IF(A456="","",IFERROR(INDEX('جدول الجرد'!$E$2:$E$31,MATCH(A456,'جدول الجرد'!$B$2:$B$31,0)),""))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الجرد'!$A$2:$A$31,MATCH(A457,'جدول الجرد'!$B$2:$B$31,0)),""))</f>
        <v/>
      </c>
      <c r="C457" s="5" t="str">
        <f>IF(A457="","",IFERROR(INDEX('جدول الجرد'!$E$2:$E$31,MATCH(A457,'جدول الجرد'!$B$2:$B$31,0)),""))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الجرد'!$A$2:$A$31,MATCH(A458,'جدول الجرد'!$B$2:$B$31,0)),""))</f>
        <v/>
      </c>
      <c r="C458" s="5" t="str">
        <f>IF(A458="","",IFERROR(INDEX('جدول الجرد'!$E$2:$E$31,MATCH(A458,'جدول الجرد'!$B$2:$B$31,0)),""))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الجرد'!$A$2:$A$31,MATCH(A459,'جدول الجرد'!$B$2:$B$31,0)),""))</f>
        <v/>
      </c>
      <c r="C459" s="5" t="str">
        <f>IF(A459="","",IFERROR(INDEX('جدول الجرد'!$E$2:$E$31,MATCH(A459,'جدول الجرد'!$B$2:$B$31,0)),""))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الجرد'!$A$2:$A$31,MATCH(A460,'جدول الجرد'!$B$2:$B$31,0)),""))</f>
        <v/>
      </c>
      <c r="C460" s="5" t="str">
        <f>IF(A460="","",IFERROR(INDEX('جدول الجرد'!$E$2:$E$31,MATCH(A460,'جدول الجرد'!$B$2:$B$31,0)),""))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الجرد'!$A$2:$A$31,MATCH(A461,'جدول الجرد'!$B$2:$B$31,0)),""))</f>
        <v/>
      </c>
      <c r="C461" s="5" t="str">
        <f>IF(A461="","",IFERROR(INDEX('جدول الجرد'!$E$2:$E$31,MATCH(A461,'جدول الجرد'!$B$2:$B$31,0)),""))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الجرد'!$A$2:$A$31,MATCH(A462,'جدول الجرد'!$B$2:$B$31,0)),""))</f>
        <v/>
      </c>
      <c r="C462" s="5" t="str">
        <f>IF(A462="","",IFERROR(INDEX('جدول الجرد'!$E$2:$E$31,MATCH(A462,'جدول الجرد'!$B$2:$B$31,0)),""))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الجرد'!$A$2:$A$31,MATCH(A463,'جدول الجرد'!$B$2:$B$31,0)),""))</f>
        <v/>
      </c>
      <c r="C463" s="5" t="str">
        <f>IF(A463="","",IFERROR(INDEX('جدول الجرد'!$E$2:$E$31,MATCH(A463,'جدول الجرد'!$B$2:$B$31,0)),""))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الجرد'!$A$2:$A$31,MATCH(A464,'جدول الجرد'!$B$2:$B$31,0)),""))</f>
        <v/>
      </c>
      <c r="C464" s="5" t="str">
        <f>IF(A464="","",IFERROR(INDEX('جدول الجرد'!$E$2:$E$31,MATCH(A464,'جدول الجرد'!$B$2:$B$31,0)),""))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الجرد'!$A$2:$A$31,MATCH(A465,'جدول الجرد'!$B$2:$B$31,0)),""))</f>
        <v/>
      </c>
      <c r="C465" s="5" t="str">
        <f>IF(A465="","",IFERROR(INDEX('جدول الجرد'!$E$2:$E$31,MATCH(A465,'جدول الجرد'!$B$2:$B$31,0)),""))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الجرد'!$A$2:$A$31,MATCH(A466,'جدول الجرد'!$B$2:$B$31,0)),""))</f>
        <v/>
      </c>
      <c r="C466" s="5" t="str">
        <f>IF(A466="","",IFERROR(INDEX('جدول الجرد'!$E$2:$E$31,MATCH(A466,'جدول الجرد'!$B$2:$B$31,0)),""))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الجرد'!$A$2:$A$31,MATCH(A467,'جدول الجرد'!$B$2:$B$31,0)),""))</f>
        <v/>
      </c>
      <c r="C467" s="5" t="str">
        <f>IF(A467="","",IFERROR(INDEX('جدول الجرد'!$E$2:$E$31,MATCH(A467,'جدول الجرد'!$B$2:$B$31,0)),""))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الجرد'!$A$2:$A$31,MATCH(A468,'جدول الجرد'!$B$2:$B$31,0)),""))</f>
        <v/>
      </c>
      <c r="C468" s="5" t="str">
        <f>IF(A468="","",IFERROR(INDEX('جدول الجرد'!$E$2:$E$31,MATCH(A468,'جدول الجرد'!$B$2:$B$31,0)),""))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الجرد'!$A$2:$A$31,MATCH(A469,'جدول الجرد'!$B$2:$B$31,0)),""))</f>
        <v/>
      </c>
      <c r="C469" s="5" t="str">
        <f>IF(A469="","",IFERROR(INDEX('جدول الجرد'!$E$2:$E$31,MATCH(A469,'جدول الجرد'!$B$2:$B$31,0)),""))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الجرد'!$A$2:$A$31,MATCH(A470,'جدول الجرد'!$B$2:$B$31,0)),""))</f>
        <v/>
      </c>
      <c r="C470" s="5" t="str">
        <f>IF(A470="","",IFERROR(INDEX('جدول الجرد'!$E$2:$E$31,MATCH(A470,'جدول الجرد'!$B$2:$B$31,0)),""))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الجرد'!$A$2:$A$31,MATCH(A471,'جدول الجرد'!$B$2:$B$31,0)),""))</f>
        <v/>
      </c>
      <c r="C471" s="5" t="str">
        <f>IF(A471="","",IFERROR(INDEX('جدول الجرد'!$E$2:$E$31,MATCH(A471,'جدول الجرد'!$B$2:$B$31,0)),""))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الجرد'!$A$2:$A$31,MATCH(A472,'جدول الجرد'!$B$2:$B$31,0)),""))</f>
        <v/>
      </c>
      <c r="C472" s="5" t="str">
        <f>IF(A472="","",IFERROR(INDEX('جدول الجرد'!$E$2:$E$31,MATCH(A472,'جدول الجرد'!$B$2:$B$31,0)),""))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الجرد'!$A$2:$A$31,MATCH(A473,'جدول الجرد'!$B$2:$B$31,0)),""))</f>
        <v/>
      </c>
      <c r="C473" s="5" t="str">
        <f>IF(A473="","",IFERROR(INDEX('جدول الجرد'!$E$2:$E$31,MATCH(A473,'جدول الجرد'!$B$2:$B$31,0)),""))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الجرد'!$A$2:$A$31,MATCH(A474,'جدول الجرد'!$B$2:$B$31,0)),""))</f>
        <v/>
      </c>
      <c r="C474" s="5" t="str">
        <f>IF(A474="","",IFERROR(INDEX('جدول الجرد'!$E$2:$E$31,MATCH(A474,'جدول الجرد'!$B$2:$B$31,0)),""))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الجرد'!$A$2:$A$31,MATCH(A475,'جدول الجرد'!$B$2:$B$31,0)),""))</f>
        <v/>
      </c>
      <c r="C475" s="5" t="str">
        <f>IF(A475="","",IFERROR(INDEX('جدول الجرد'!$E$2:$E$31,MATCH(A475,'جدول الجرد'!$B$2:$B$31,0)),""))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الجرد'!$A$2:$A$31,MATCH(A476,'جدول الجرد'!$B$2:$B$31,0)),""))</f>
        <v/>
      </c>
      <c r="C476" s="5" t="str">
        <f>IF(A476="","",IFERROR(INDEX('جدول الجرد'!$E$2:$E$31,MATCH(A476,'جدول الجرد'!$B$2:$B$31,0)),""))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الجرد'!$A$2:$A$31,MATCH(A477,'جدول الجرد'!$B$2:$B$31,0)),""))</f>
        <v/>
      </c>
      <c r="C477" s="5" t="str">
        <f>IF(A477="","",IFERROR(INDEX('جدول الجرد'!$E$2:$E$31,MATCH(A477,'جدول الجرد'!$B$2:$B$31,0)),""))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الجرد'!$A$2:$A$31,MATCH(A478,'جدول الجرد'!$B$2:$B$31,0)),""))</f>
        <v/>
      </c>
      <c r="C478" s="5" t="str">
        <f>IF(A478="","",IFERROR(INDEX('جدول الجرد'!$E$2:$E$31,MATCH(A478,'جدول الجرد'!$B$2:$B$31,0)),""))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الجرد'!$A$2:$A$31,MATCH(A479,'جدول الجرد'!$B$2:$B$31,0)),""))</f>
        <v/>
      </c>
      <c r="C479" s="5" t="str">
        <f>IF(A479="","",IFERROR(INDEX('جدول الجرد'!$E$2:$E$31,MATCH(A479,'جدول الجرد'!$B$2:$B$31,0)),""))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الجرد'!$A$2:$A$31,MATCH(A480,'جدول الجرد'!$B$2:$B$31,0)),""))</f>
        <v/>
      </c>
      <c r="C480" s="5" t="str">
        <f>IF(A480="","",IFERROR(INDEX('جدول الجرد'!$E$2:$E$31,MATCH(A480,'جدول الجرد'!$B$2:$B$31,0)),""))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الجرد'!$A$2:$A$31,MATCH(A481,'جدول الجرد'!$B$2:$B$31,0)),""))</f>
        <v/>
      </c>
      <c r="C481" s="5" t="str">
        <f>IF(A481="","",IFERROR(INDEX('جدول الجرد'!$E$2:$E$31,MATCH(A481,'جدول الجرد'!$B$2:$B$31,0)),""))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الجرد'!$A$2:$A$31,MATCH(A482,'جدول الجرد'!$B$2:$B$31,0)),""))</f>
        <v/>
      </c>
      <c r="C482" s="5" t="str">
        <f>IF(A482="","",IFERROR(INDEX('جدول الجرد'!$E$2:$E$31,MATCH(A482,'جدول الجرد'!$B$2:$B$31,0)),""))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الجرد'!$A$2:$A$31,MATCH(A483,'جدول الجرد'!$B$2:$B$31,0)),""))</f>
        <v/>
      </c>
      <c r="C483" s="5" t="str">
        <f>IF(A483="","",IFERROR(INDEX('جدول الجرد'!$E$2:$E$31,MATCH(A483,'جدول الجرد'!$B$2:$B$31,0)),""))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الجرد'!$A$2:$A$31,MATCH(A484,'جدول الجرد'!$B$2:$B$31,0)),""))</f>
        <v/>
      </c>
      <c r="C484" s="5" t="str">
        <f>IF(A484="","",IFERROR(INDEX('جدول الجرد'!$E$2:$E$31,MATCH(A484,'جدول الجرد'!$B$2:$B$31,0)),""))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الجرد'!$A$2:$A$31,MATCH(A485,'جدول الجرد'!$B$2:$B$31,0)),""))</f>
        <v/>
      </c>
      <c r="C485" s="5" t="str">
        <f>IF(A485="","",IFERROR(INDEX('جدول الجرد'!$E$2:$E$31,MATCH(A485,'جدول الجرد'!$B$2:$B$31,0)),""))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الجرد'!$A$2:$A$31,MATCH(A486,'جدول الجرد'!$B$2:$B$31,0)),""))</f>
        <v/>
      </c>
      <c r="C486" s="5" t="str">
        <f>IF(A486="","",IFERROR(INDEX('جدول الجرد'!$E$2:$E$31,MATCH(A486,'جدول الجرد'!$B$2:$B$31,0)),""))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الجرد'!$A$2:$A$31,MATCH(A487,'جدول الجرد'!$B$2:$B$31,0)),""))</f>
        <v/>
      </c>
      <c r="C487" s="5" t="str">
        <f>IF(A487="","",IFERROR(INDEX('جدول الجرد'!$E$2:$E$31,MATCH(A487,'جدول الجرد'!$B$2:$B$31,0)),""))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الجرد'!$A$2:$A$31,MATCH(A488,'جدول الجرد'!$B$2:$B$31,0)),""))</f>
        <v/>
      </c>
      <c r="C488" s="5" t="str">
        <f>IF(A488="","",IFERROR(INDEX('جدول الجرد'!$E$2:$E$31,MATCH(A488,'جدول الجرد'!$B$2:$B$31,0)),""))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الجرد'!$A$2:$A$31,MATCH(A489,'جدول الجرد'!$B$2:$B$31,0)),""))</f>
        <v/>
      </c>
      <c r="C489" s="5" t="str">
        <f>IF(A489="","",IFERROR(INDEX('جدول الجرد'!$E$2:$E$31,MATCH(A489,'جدول الجرد'!$B$2:$B$31,0)),""))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الجرد'!$A$2:$A$31,MATCH(A490,'جدول الجرد'!$B$2:$B$31,0)),""))</f>
        <v/>
      </c>
      <c r="C490" s="5" t="str">
        <f>IF(A490="","",IFERROR(INDEX('جدول الجرد'!$E$2:$E$31,MATCH(A490,'جدول الجرد'!$B$2:$B$31,0)),""))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الجرد'!$A$2:$A$31,MATCH(A491,'جدول الجرد'!$B$2:$B$31,0)),""))</f>
        <v/>
      </c>
      <c r="C491" s="5" t="str">
        <f>IF(A491="","",IFERROR(INDEX('جدول الجرد'!$E$2:$E$31,MATCH(A491,'جدول الجرد'!$B$2:$B$31,0)),""))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الجرد'!$A$2:$A$31,MATCH(A492,'جدول الجرد'!$B$2:$B$31,0)),""))</f>
        <v/>
      </c>
      <c r="C492" s="5" t="str">
        <f>IF(A492="","",IFERROR(INDEX('جدول الجرد'!$E$2:$E$31,MATCH(A492,'جدول الجرد'!$B$2:$B$31,0)),""))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الجرد'!$A$2:$A$31,MATCH(A493,'جدول الجرد'!$B$2:$B$31,0)),""))</f>
        <v/>
      </c>
      <c r="C493" s="5" t="str">
        <f>IF(A493="","",IFERROR(INDEX('جدول الجرد'!$E$2:$E$31,MATCH(A493,'جدول الجرد'!$B$2:$B$31,0)),""))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الجرد'!$A$2:$A$31,MATCH(A494,'جدول الجرد'!$B$2:$B$31,0)),""))</f>
        <v/>
      </c>
      <c r="C494" s="5" t="str">
        <f>IF(A494="","",IFERROR(INDEX('جدول الجرد'!$E$2:$E$31,MATCH(A494,'جدول الجرد'!$B$2:$B$31,0)),""))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الجرد'!$A$2:$A$31,MATCH(A495,'جدول الجرد'!$B$2:$B$31,0)),""))</f>
        <v/>
      </c>
      <c r="C495" s="5" t="str">
        <f>IF(A495="","",IFERROR(INDEX('جدول الجرد'!$E$2:$E$31,MATCH(A495,'جدول الجرد'!$B$2:$B$31,0)),""))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الجرد'!$A$2:$A$31,MATCH(A496,'جدول الجرد'!$B$2:$B$31,0)),""))</f>
        <v/>
      </c>
      <c r="C496" s="5" t="str">
        <f>IF(A496="","",IFERROR(INDEX('جدول الجرد'!$E$2:$E$31,MATCH(A496,'جدول الجرد'!$B$2:$B$31,0)),""))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الجرد'!$A$2:$A$31,MATCH(A497,'جدول الجرد'!$B$2:$B$31,0)),""))</f>
        <v/>
      </c>
      <c r="C497" s="5" t="str">
        <f>IF(A497="","",IFERROR(INDEX('جدول الجرد'!$E$2:$E$31,MATCH(A497,'جدول الجرد'!$B$2:$B$31,0)),""))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الجرد'!$A$2:$A$31,MATCH(A498,'جدول الجرد'!$B$2:$B$31,0)),""))</f>
        <v/>
      </c>
      <c r="C498" s="5" t="str">
        <f>IF(A498="","",IFERROR(INDEX('جدول الجرد'!$E$2:$E$31,MATCH(A498,'جدول الجرد'!$B$2:$B$31,0)),""))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الجرد'!$A$2:$A$31,MATCH(A499,'جدول الجرد'!$B$2:$B$31,0)),""))</f>
        <v/>
      </c>
      <c r="C499" s="5" t="str">
        <f>IF(A499="","",IFERROR(INDEX('جدول الجرد'!$E$2:$E$31,MATCH(A499,'جدول الجرد'!$B$2:$B$31,0)),""))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الجرد'!$A$2:$A$31,MATCH(A500,'جدول الجرد'!$B$2:$B$31,0)),""))</f>
        <v/>
      </c>
      <c r="C500" s="5" t="str">
        <f>IF(A500="","",IFERROR(INDEX('جدول الجرد'!$E$2:$E$31,MATCH(A500,'جدول الجرد'!$B$2:$B$31,0)),""))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الجرد'!$A$2:$A$31,MATCH(A501,'جدول الجرد'!$B$2:$B$31,0)),""))</f>
        <v/>
      </c>
      <c r="C501" s="5" t="str">
        <f>IF(A501="","",IFERROR(INDEX('جدول الجرد'!$E$2:$E$31,MATCH(A501,'جدول الجرد'!$B$2:$B$31,0)),""))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الجرد'!$A$2:$A$31,MATCH(A502,'جدول الجرد'!$B$2:$B$31,0)),""))</f>
        <v/>
      </c>
      <c r="C502" s="5" t="str">
        <f>IF(A502="","",IFERROR(INDEX('جدول الجرد'!$E$2:$E$31,MATCH(A502,'جدول الجرد'!$B$2:$B$31,0)),""))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الجرد'!$A$2:$A$31,MATCH(A503,'جدول الجرد'!$B$2:$B$31,0)),""))</f>
        <v/>
      </c>
      <c r="C503" s="5" t="str">
        <f>IF(A503="","",IFERROR(INDEX('جدول الجرد'!$E$2:$E$31,MATCH(A503,'جدول الجرد'!$B$2:$B$31,0)),""))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الجرد'!$A$2:$A$31,MATCH(A504,'جدول الجرد'!$B$2:$B$31,0)),""))</f>
        <v/>
      </c>
      <c r="C504" s="5" t="str">
        <f>IF(A504="","",IFERROR(INDEX('جدول الجرد'!$E$2:$E$31,MATCH(A504,'جدول الجرد'!$B$2:$B$31,0)),""))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الجرد'!$A$2:$A$31,MATCH(A505,'جدول الجرد'!$B$2:$B$31,0)),""))</f>
        <v/>
      </c>
      <c r="C505" s="5" t="str">
        <f>IF(A505="","",IFERROR(INDEX('جدول الجرد'!$E$2:$E$31,MATCH(A505,'جدول الجرد'!$B$2:$B$31,0)),""))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الجرد'!$A$2:$A$31,MATCH(A506,'جدول الجرد'!$B$2:$B$31,0)),""))</f>
        <v/>
      </c>
      <c r="C506" s="5" t="str">
        <f>IF(A506="","",IFERROR(INDEX('جدول الجرد'!$E$2:$E$31,MATCH(A506,'جدول الجرد'!$B$2:$B$31,0)),""))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الجرد'!$A$2:$A$31,MATCH(A507,'جدول الجرد'!$B$2:$B$31,0)),""))</f>
        <v/>
      </c>
      <c r="C507" s="5" t="str">
        <f>IF(A507="","",IFERROR(INDEX('جدول الجرد'!$E$2:$E$31,MATCH(A507,'جدول الجرد'!$B$2:$B$31,0)),""))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الجرد'!$A$2:$A$31,MATCH(A508,'جدول الجرد'!$B$2:$B$31,0)),""))</f>
        <v/>
      </c>
      <c r="C508" s="5" t="str">
        <f>IF(A508="","",IFERROR(INDEX('جدول الجرد'!$E$2:$E$31,MATCH(A508,'جدول الجرد'!$B$2:$B$31,0)),""))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الجرد'!$A$2:$A$31,MATCH(A509,'جدول الجرد'!$B$2:$B$31,0)),""))</f>
        <v/>
      </c>
      <c r="C509" s="5" t="str">
        <f>IF(A509="","",IFERROR(INDEX('جدول الجرد'!$E$2:$E$31,MATCH(A509,'جدول الجرد'!$B$2:$B$31,0)),""))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الجرد'!$A$2:$A$31,MATCH(A510,'جدول الجرد'!$B$2:$B$31,0)),""))</f>
        <v/>
      </c>
      <c r="C510" s="5" t="str">
        <f>IF(A510="","",IFERROR(INDEX('جدول الجرد'!$E$2:$E$31,MATCH(A510,'جدول الجرد'!$B$2:$B$31,0)),""))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الجرد'!$A$2:$A$31,MATCH(A511,'جدول الجرد'!$B$2:$B$31,0)),""))</f>
        <v/>
      </c>
      <c r="C511" s="5" t="str">
        <f>IF(A511="","",IFERROR(INDEX('جدول الجرد'!$E$2:$E$31,MATCH(A511,'جدول الجرد'!$B$2:$B$31,0)),""))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الجرد'!$A$2:$A$31,MATCH(A512,'جدول الجرد'!$B$2:$B$31,0)),""))</f>
        <v/>
      </c>
      <c r="C512" s="5" t="str">
        <f>IF(A512="","",IFERROR(INDEX('جدول الجرد'!$E$2:$E$31,MATCH(A512,'جدول الجرد'!$B$2:$B$31,0)),""))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الجرد'!$A$2:$A$31,MATCH(A513,'جدول الجرد'!$B$2:$B$31,0)),""))</f>
        <v/>
      </c>
      <c r="C513" s="5" t="str">
        <f>IF(A513="","",IFERROR(INDEX('جدول الجرد'!$E$2:$E$31,MATCH(A513,'جدول الجرد'!$B$2:$B$31,0)),""))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الجرد'!$A$2:$A$31,MATCH(A514,'جدول الجرد'!$B$2:$B$31,0)),""))</f>
        <v/>
      </c>
      <c r="C514" s="5" t="str">
        <f>IF(A514="","",IFERROR(INDEX('جدول الجرد'!$E$2:$E$31,MATCH(A514,'جدول الجرد'!$B$2:$B$31,0)),""))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الجرد'!$A$2:$A$31,MATCH(A515,'جدول الجرد'!$B$2:$B$31,0)),""))</f>
        <v/>
      </c>
      <c r="C515" s="5" t="str">
        <f>IF(A515="","",IFERROR(INDEX('جدول الجرد'!$E$2:$E$31,MATCH(A515,'جدول الجرد'!$B$2:$B$31,0)),""))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الجرد'!$A$2:$A$31,MATCH(A516,'جدول الجرد'!$B$2:$B$31,0)),""))</f>
        <v/>
      </c>
      <c r="C516" s="5" t="str">
        <f>IF(A516="","",IFERROR(INDEX('جدول الجرد'!$E$2:$E$31,MATCH(A516,'جدول الجرد'!$B$2:$B$31,0)),""))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الجرد'!$A$2:$A$31,MATCH(A517,'جدول الجرد'!$B$2:$B$31,0)),""))</f>
        <v/>
      </c>
      <c r="C517" s="5" t="str">
        <f>IF(A517="","",IFERROR(INDEX('جدول الجرد'!$E$2:$E$31,MATCH(A517,'جدول الجرد'!$B$2:$B$31,0)),""))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الجرد'!$A$2:$A$31,MATCH(A518,'جدول الجرد'!$B$2:$B$31,0)),""))</f>
        <v/>
      </c>
      <c r="C518" s="5" t="str">
        <f>IF(A518="","",IFERROR(INDEX('جدول الجرد'!$E$2:$E$31,MATCH(A518,'جدول الجرد'!$B$2:$B$31,0)),""))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الجرد'!$A$2:$A$31,MATCH(A519,'جدول الجرد'!$B$2:$B$31,0)),""))</f>
        <v/>
      </c>
      <c r="C519" s="5" t="str">
        <f>IF(A519="","",IFERROR(INDEX('جدول الجرد'!$E$2:$E$31,MATCH(A519,'جدول الجرد'!$B$2:$B$31,0)),""))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الجرد'!$A$2:$A$31,MATCH(A520,'جدول الجرد'!$B$2:$B$31,0)),""))</f>
        <v/>
      </c>
      <c r="C520" s="5" t="str">
        <f>IF(A520="","",IFERROR(INDEX('جدول الجرد'!$E$2:$E$31,MATCH(A520,'جدول الجرد'!$B$2:$B$31,0)),""))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الجرد'!$A$2:$A$31,MATCH(A521,'جدول الجرد'!$B$2:$B$31,0)),""))</f>
        <v/>
      </c>
      <c r="C521" s="5" t="str">
        <f>IF(A521="","",IFERROR(INDEX('جدول الجرد'!$E$2:$E$31,MATCH(A521,'جدول الجرد'!$B$2:$B$31,0)),""))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الجرد'!$A$2:$A$31,MATCH(A522,'جدول الجرد'!$B$2:$B$31,0)),""))</f>
        <v/>
      </c>
      <c r="C522" s="5" t="str">
        <f>IF(A522="","",IFERROR(INDEX('جدول الجرد'!$E$2:$E$31,MATCH(A522,'جدول الجرد'!$B$2:$B$31,0)),""))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الجرد'!$A$2:$A$31,MATCH(A523,'جدول الجرد'!$B$2:$B$31,0)),""))</f>
        <v/>
      </c>
      <c r="C523" s="5" t="str">
        <f>IF(A523="","",IFERROR(INDEX('جدول الجرد'!$E$2:$E$31,MATCH(A523,'جدول الجرد'!$B$2:$B$31,0)),""))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الجرد'!$A$2:$A$31,MATCH(A524,'جدول الجرد'!$B$2:$B$31,0)),""))</f>
        <v/>
      </c>
      <c r="C524" s="5" t="str">
        <f>IF(A524="","",IFERROR(INDEX('جدول الجرد'!$E$2:$E$31,MATCH(A524,'جدول الجرد'!$B$2:$B$31,0)),""))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الجرد'!$A$2:$A$31,MATCH(A525,'جدول الجرد'!$B$2:$B$31,0)),""))</f>
        <v/>
      </c>
      <c r="C525" s="5" t="str">
        <f>IF(A525="","",IFERROR(INDEX('جدول الجرد'!$E$2:$E$31,MATCH(A525,'جدول الجرد'!$B$2:$B$31,0)),""))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الجرد'!$A$2:$A$31,MATCH(A526,'جدول الجرد'!$B$2:$B$31,0)),""))</f>
        <v/>
      </c>
      <c r="C526" s="5" t="str">
        <f>IF(A526="","",IFERROR(INDEX('جدول الجرد'!$E$2:$E$31,MATCH(A526,'جدول الجرد'!$B$2:$B$31,0)),""))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الجرد'!$A$2:$A$31,MATCH(A527,'جدول الجرد'!$B$2:$B$31,0)),""))</f>
        <v/>
      </c>
      <c r="C527" s="5" t="str">
        <f>IF(A527="","",IFERROR(INDEX('جدول الجرد'!$E$2:$E$31,MATCH(A527,'جدول الجرد'!$B$2:$B$31,0)),""))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الجرد'!$A$2:$A$31,MATCH(A528,'جدول الجرد'!$B$2:$B$31,0)),""))</f>
        <v/>
      </c>
      <c r="C528" s="5" t="str">
        <f>IF(A528="","",IFERROR(INDEX('جدول الجرد'!$E$2:$E$31,MATCH(A528,'جدول الجرد'!$B$2:$B$31,0)),""))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الجرد'!$A$2:$A$31,MATCH(A529,'جدول الجرد'!$B$2:$B$31,0)),""))</f>
        <v/>
      </c>
      <c r="C529" s="5" t="str">
        <f>IF(A529="","",IFERROR(INDEX('جدول الجرد'!$E$2:$E$31,MATCH(A529,'جدول الجرد'!$B$2:$B$31,0)),""))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الجرد'!$A$2:$A$31,MATCH(A530,'جدول الجرد'!$B$2:$B$31,0)),""))</f>
        <v/>
      </c>
      <c r="C530" s="5" t="str">
        <f>IF(A530="","",IFERROR(INDEX('جدول الجرد'!$E$2:$E$31,MATCH(A530,'جدول الجرد'!$B$2:$B$31,0)),""))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الجرد'!$A$2:$A$31,MATCH(A531,'جدول الجرد'!$B$2:$B$31,0)),""))</f>
        <v/>
      </c>
      <c r="C531" s="5" t="str">
        <f>IF(A531="","",IFERROR(INDEX('جدول الجرد'!$E$2:$E$31,MATCH(A531,'جدول الجرد'!$B$2:$B$31,0)),""))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الجرد'!$A$2:$A$31,MATCH(A532,'جدول الجرد'!$B$2:$B$31,0)),""))</f>
        <v/>
      </c>
      <c r="C532" s="5" t="str">
        <f>IF(A532="","",IFERROR(INDEX('جدول الجرد'!$E$2:$E$31,MATCH(A532,'جدول الجرد'!$B$2:$B$31,0)),""))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الجرد'!$A$2:$A$31,MATCH(A533,'جدول الجرد'!$B$2:$B$31,0)),""))</f>
        <v/>
      </c>
      <c r="C533" s="5" t="str">
        <f>IF(A533="","",IFERROR(INDEX('جدول الجرد'!$E$2:$E$31,MATCH(A533,'جدول الجرد'!$B$2:$B$31,0)),""))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الجرد'!$A$2:$A$31,MATCH(A534,'جدول الجرد'!$B$2:$B$31,0)),""))</f>
        <v/>
      </c>
      <c r="C534" s="5" t="str">
        <f>IF(A534="","",IFERROR(INDEX('جدول الجرد'!$E$2:$E$31,MATCH(A534,'جدول الجرد'!$B$2:$B$31,0)),""))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الجرد'!$A$2:$A$31,MATCH(A535,'جدول الجرد'!$B$2:$B$31,0)),""))</f>
        <v/>
      </c>
      <c r="C535" s="5" t="str">
        <f>IF(A535="","",IFERROR(INDEX('جدول الجرد'!$E$2:$E$31,MATCH(A535,'جدول الجرد'!$B$2:$B$31,0)),""))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الجرد'!$A$2:$A$31,MATCH(A536,'جدول الجرد'!$B$2:$B$31,0)),""))</f>
        <v/>
      </c>
      <c r="C536" s="5" t="str">
        <f>IF(A536="","",IFERROR(INDEX('جدول الجرد'!$E$2:$E$31,MATCH(A536,'جدول الجرد'!$B$2:$B$31,0)),""))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الجرد'!$A$2:$A$31,MATCH(A537,'جدول الجرد'!$B$2:$B$31,0)),""))</f>
        <v/>
      </c>
      <c r="C537" s="5" t="str">
        <f>IF(A537="","",IFERROR(INDEX('جدول الجرد'!$E$2:$E$31,MATCH(A537,'جدول الجرد'!$B$2:$B$31,0)),""))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الجرد'!$A$2:$A$31,MATCH(A538,'جدول الجرد'!$B$2:$B$31,0)),""))</f>
        <v/>
      </c>
      <c r="C538" s="5" t="str">
        <f>IF(A538="","",IFERROR(INDEX('جدول الجرد'!$E$2:$E$31,MATCH(A538,'جدول الجرد'!$B$2:$B$31,0)),""))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الجرد'!$A$2:$A$31,MATCH(A539,'جدول الجرد'!$B$2:$B$31,0)),""))</f>
        <v/>
      </c>
      <c r="C539" s="5" t="str">
        <f>IF(A539="","",IFERROR(INDEX('جدول الجرد'!$E$2:$E$31,MATCH(A539,'جدول الجرد'!$B$2:$B$31,0)),""))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الجرد'!$A$2:$A$31,MATCH(A540,'جدول الجرد'!$B$2:$B$31,0)),""))</f>
        <v/>
      </c>
      <c r="C540" s="5" t="str">
        <f>IF(A540="","",IFERROR(INDEX('جدول الجرد'!$E$2:$E$31,MATCH(A540,'جدول الجرد'!$B$2:$B$31,0)),""))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الجرد'!$A$2:$A$31,MATCH(A541,'جدول الجرد'!$B$2:$B$31,0)),""))</f>
        <v/>
      </c>
      <c r="C541" s="5" t="str">
        <f>IF(A541="","",IFERROR(INDEX('جدول الجرد'!$E$2:$E$31,MATCH(A541,'جدول الجرد'!$B$2:$B$31,0)),""))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الجرد'!$A$2:$A$31,MATCH(A542,'جدول الجرد'!$B$2:$B$31,0)),""))</f>
        <v/>
      </c>
      <c r="C542" s="5" t="str">
        <f>IF(A542="","",IFERROR(INDEX('جدول الجرد'!$E$2:$E$31,MATCH(A542,'جدول الجرد'!$B$2:$B$31,0)),""))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الجرد'!$A$2:$A$31,MATCH(A543,'جدول الجرد'!$B$2:$B$31,0)),""))</f>
        <v/>
      </c>
      <c r="C543" s="5" t="str">
        <f>IF(A543="","",IFERROR(INDEX('جدول الجرد'!$E$2:$E$31,MATCH(A543,'جدول الجرد'!$B$2:$B$31,0)),""))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الجرد'!$A$2:$A$31,MATCH(A544,'جدول الجرد'!$B$2:$B$31,0)),""))</f>
        <v/>
      </c>
      <c r="C544" s="5" t="str">
        <f>IF(A544="","",IFERROR(INDEX('جدول الجرد'!$E$2:$E$31,MATCH(A544,'جدول الجرد'!$B$2:$B$31,0)),""))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الجرد'!$A$2:$A$31,MATCH(A545,'جدول الجرد'!$B$2:$B$31,0)),""))</f>
        <v/>
      </c>
      <c r="C545" s="5" t="str">
        <f>IF(A545="","",IFERROR(INDEX('جدول الجرد'!$E$2:$E$31,MATCH(A545,'جدول الجرد'!$B$2:$B$31,0)),""))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الجرد'!$A$2:$A$31,MATCH(A546,'جدول الجرد'!$B$2:$B$31,0)),""))</f>
        <v/>
      </c>
      <c r="C546" s="5" t="str">
        <f>IF(A546="","",IFERROR(INDEX('جدول الجرد'!$E$2:$E$31,MATCH(A546,'جدول الجرد'!$B$2:$B$31,0)),""))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الجرد'!$A$2:$A$31,MATCH(A547,'جدول الجرد'!$B$2:$B$31,0)),""))</f>
        <v/>
      </c>
      <c r="C547" s="5" t="str">
        <f>IF(A547="","",IFERROR(INDEX('جدول الجرد'!$E$2:$E$31,MATCH(A547,'جدول الجرد'!$B$2:$B$31,0)),""))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الجرد'!$A$2:$A$31,MATCH(A548,'جدول الجرد'!$B$2:$B$31,0)),""))</f>
        <v/>
      </c>
      <c r="C548" s="5" t="str">
        <f>IF(A548="","",IFERROR(INDEX('جدول الجرد'!$E$2:$E$31,MATCH(A548,'جدول الجرد'!$B$2:$B$31,0)),""))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الجرد'!$A$2:$A$31,MATCH(A549,'جدول الجرد'!$B$2:$B$31,0)),""))</f>
        <v/>
      </c>
      <c r="C549" s="5" t="str">
        <f>IF(A549="","",IFERROR(INDEX('جدول الجرد'!$E$2:$E$31,MATCH(A549,'جدول الجرد'!$B$2:$B$31,0)),""))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الجرد'!$A$2:$A$31,MATCH(A550,'جدول الجرد'!$B$2:$B$31,0)),""))</f>
        <v/>
      </c>
      <c r="C550" s="5" t="str">
        <f>IF(A550="","",IFERROR(INDEX('جدول الجرد'!$E$2:$E$31,MATCH(A550,'جدول الجرد'!$B$2:$B$31,0)),""))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الجرد'!$A$2:$A$31,MATCH(A551,'جدول الجرد'!$B$2:$B$31,0)),""))</f>
        <v/>
      </c>
      <c r="C551" s="5" t="str">
        <f>IF(A551="","",IFERROR(INDEX('جدول الجرد'!$E$2:$E$31,MATCH(A551,'جدول الجرد'!$B$2:$B$31,0)),""))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الجرد'!$A$2:$A$31,MATCH(A552,'جدول الجرد'!$B$2:$B$31,0)),""))</f>
        <v/>
      </c>
      <c r="C552" s="5" t="str">
        <f>IF(A552="","",IFERROR(INDEX('جدول الجرد'!$E$2:$E$31,MATCH(A552,'جدول الجرد'!$B$2:$B$31,0)),""))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الجرد'!$A$2:$A$31,MATCH(A553,'جدول الجرد'!$B$2:$B$31,0)),""))</f>
        <v/>
      </c>
      <c r="C553" s="5" t="str">
        <f>IF(A553="","",IFERROR(INDEX('جدول الجرد'!$E$2:$E$31,MATCH(A553,'جدول الجرد'!$B$2:$B$31,0)),""))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الجرد'!$A$2:$A$31,MATCH(A554,'جدول الجرد'!$B$2:$B$31,0)),""))</f>
        <v/>
      </c>
      <c r="C554" s="5" t="str">
        <f>IF(A554="","",IFERROR(INDEX('جدول الجرد'!$E$2:$E$31,MATCH(A554,'جدول الجرد'!$B$2:$B$31,0)),""))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الجرد'!$A$2:$A$31,MATCH(A555,'جدول الجرد'!$B$2:$B$31,0)),""))</f>
        <v/>
      </c>
      <c r="C555" s="5" t="str">
        <f>IF(A555="","",IFERROR(INDEX('جدول الجرد'!$E$2:$E$31,MATCH(A555,'جدول الجرد'!$B$2:$B$31,0)),""))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الجرد'!$A$2:$A$31,MATCH(A556,'جدول الجرد'!$B$2:$B$31,0)),""))</f>
        <v/>
      </c>
      <c r="C556" s="5" t="str">
        <f>IF(A556="","",IFERROR(INDEX('جدول الجرد'!$E$2:$E$31,MATCH(A556,'جدول الجرد'!$B$2:$B$31,0)),""))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الجرد'!$A$2:$A$31,MATCH(A557,'جدول الجرد'!$B$2:$B$31,0)),""))</f>
        <v/>
      </c>
      <c r="C557" s="5" t="str">
        <f>IF(A557="","",IFERROR(INDEX('جدول الجرد'!$E$2:$E$31,MATCH(A557,'جدول الجرد'!$B$2:$B$31,0)),""))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الجرد'!$A$2:$A$31,MATCH(A558,'جدول الجرد'!$B$2:$B$31,0)),""))</f>
        <v/>
      </c>
      <c r="C558" s="5" t="str">
        <f>IF(A558="","",IFERROR(INDEX('جدول الجرد'!$E$2:$E$31,MATCH(A558,'جدول الجرد'!$B$2:$B$31,0)),""))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الجرد'!$A$2:$A$31,MATCH(A559,'جدول الجرد'!$B$2:$B$31,0)),""))</f>
        <v/>
      </c>
      <c r="C559" s="5" t="str">
        <f>IF(A559="","",IFERROR(INDEX('جدول الجرد'!$E$2:$E$31,MATCH(A559,'جدول الجرد'!$B$2:$B$31,0)),""))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الجرد'!$A$2:$A$31,MATCH(A560,'جدول الجرد'!$B$2:$B$31,0)),""))</f>
        <v/>
      </c>
      <c r="C560" s="5" t="str">
        <f>IF(A560="","",IFERROR(INDEX('جدول الجرد'!$E$2:$E$31,MATCH(A560,'جدول الجرد'!$B$2:$B$31,0)),""))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الجرد'!$A$2:$A$31,MATCH(A561,'جدول الجرد'!$B$2:$B$31,0)),""))</f>
        <v/>
      </c>
      <c r="C561" s="5" t="str">
        <f>IF(A561="","",IFERROR(INDEX('جدول الجرد'!$E$2:$E$31,MATCH(A561,'جدول الجرد'!$B$2:$B$31,0)),""))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الجرد'!$A$2:$A$31,MATCH(A562,'جدول الجرد'!$B$2:$B$31,0)),""))</f>
        <v/>
      </c>
      <c r="C562" s="5" t="str">
        <f>IF(A562="","",IFERROR(INDEX('جدول الجرد'!$E$2:$E$31,MATCH(A562,'جدول الجرد'!$B$2:$B$31,0)),""))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الجرد'!$A$2:$A$31,MATCH(A563,'جدول الجرد'!$B$2:$B$31,0)),""))</f>
        <v/>
      </c>
      <c r="C563" s="5" t="str">
        <f>IF(A563="","",IFERROR(INDEX('جدول الجرد'!$E$2:$E$31,MATCH(A563,'جدول الجرد'!$B$2:$B$31,0)),""))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الجرد'!$A$2:$A$31,MATCH(A564,'جدول الجرد'!$B$2:$B$31,0)),""))</f>
        <v/>
      </c>
      <c r="C564" s="5" t="str">
        <f>IF(A564="","",IFERROR(INDEX('جدول الجرد'!$E$2:$E$31,MATCH(A564,'جدول الجرد'!$B$2:$B$31,0)),""))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الجرد'!$A$2:$A$31,MATCH(A565,'جدول الجرد'!$B$2:$B$31,0)),""))</f>
        <v/>
      </c>
      <c r="C565" s="5" t="str">
        <f>IF(A565="","",IFERROR(INDEX('جدول الجرد'!$E$2:$E$31,MATCH(A565,'جدول الجرد'!$B$2:$B$31,0)),""))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الجرد'!$A$2:$A$31,MATCH(A566,'جدول الجرد'!$B$2:$B$31,0)),""))</f>
        <v/>
      </c>
      <c r="C566" s="5" t="str">
        <f>IF(A566="","",IFERROR(INDEX('جدول الجرد'!$E$2:$E$31,MATCH(A566,'جدول الجرد'!$B$2:$B$31,0)),""))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الجرد'!$A$2:$A$31,MATCH(A567,'جدول الجرد'!$B$2:$B$31,0)),""))</f>
        <v/>
      </c>
      <c r="C567" s="5" t="str">
        <f>IF(A567="","",IFERROR(INDEX('جدول الجرد'!$E$2:$E$31,MATCH(A567,'جدول الجرد'!$B$2:$B$31,0)),""))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الجرد'!$A$2:$A$31,MATCH(A568,'جدول الجرد'!$B$2:$B$31,0)),""))</f>
        <v/>
      </c>
      <c r="C568" s="5" t="str">
        <f>IF(A568="","",IFERROR(INDEX('جدول الجرد'!$E$2:$E$31,MATCH(A568,'جدول الجرد'!$B$2:$B$31,0)),""))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الجرد'!$A$2:$A$31,MATCH(A569,'جدول الجرد'!$B$2:$B$31,0)),""))</f>
        <v/>
      </c>
      <c r="C569" s="5" t="str">
        <f>IF(A569="","",IFERROR(INDEX('جدول الجرد'!$E$2:$E$31,MATCH(A569,'جدول الجرد'!$B$2:$B$31,0)),""))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الجرد'!$A$2:$A$31,MATCH(A570,'جدول الجرد'!$B$2:$B$31,0)),""))</f>
        <v/>
      </c>
      <c r="C570" s="5" t="str">
        <f>IF(A570="","",IFERROR(INDEX('جدول الجرد'!$E$2:$E$31,MATCH(A570,'جدول الجرد'!$B$2:$B$31,0)),""))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الجرد'!$A$2:$A$31,MATCH(A571,'جدول الجرد'!$B$2:$B$31,0)),""))</f>
        <v/>
      </c>
      <c r="C571" s="5" t="str">
        <f>IF(A571="","",IFERROR(INDEX('جدول الجرد'!$E$2:$E$31,MATCH(A571,'جدول الجرد'!$B$2:$B$31,0)),""))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الجرد'!$A$2:$A$31,MATCH(A572,'جدول الجرد'!$B$2:$B$31,0)),""))</f>
        <v/>
      </c>
      <c r="C572" s="5" t="str">
        <f>IF(A572="","",IFERROR(INDEX('جدول الجرد'!$E$2:$E$31,MATCH(A572,'جدول الجرد'!$B$2:$B$31,0)),""))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الجرد'!$A$2:$A$31,MATCH(A573,'جدول الجرد'!$B$2:$B$31,0)),""))</f>
        <v/>
      </c>
      <c r="C573" s="5" t="str">
        <f>IF(A573="","",IFERROR(INDEX('جدول الجرد'!$E$2:$E$31,MATCH(A573,'جدول الجرد'!$B$2:$B$31,0)),""))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الجرد'!$A$2:$A$31,MATCH(A574,'جدول الجرد'!$B$2:$B$31,0)),""))</f>
        <v/>
      </c>
      <c r="C574" s="5" t="str">
        <f>IF(A574="","",IFERROR(INDEX('جدول الجرد'!$E$2:$E$31,MATCH(A574,'جدول الجرد'!$B$2:$B$31,0)),""))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الجرد'!$A$2:$A$31,MATCH(A575,'جدول الجرد'!$B$2:$B$31,0)),""))</f>
        <v/>
      </c>
      <c r="C575" s="5" t="str">
        <f>IF(A575="","",IFERROR(INDEX('جدول الجرد'!$E$2:$E$31,MATCH(A575,'جدول الجرد'!$B$2:$B$31,0)),""))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الجرد'!$A$2:$A$31,MATCH(A576,'جدول الجرد'!$B$2:$B$31,0)),""))</f>
        <v/>
      </c>
      <c r="C576" s="5" t="str">
        <f>IF(A576="","",IFERROR(INDEX('جدول الجرد'!$E$2:$E$31,MATCH(A576,'جدول الجرد'!$B$2:$B$31,0)),""))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الجرد'!$A$2:$A$31,MATCH(A577,'جدول الجرد'!$B$2:$B$31,0)),""))</f>
        <v/>
      </c>
      <c r="C577" s="5" t="str">
        <f>IF(A577="","",IFERROR(INDEX('جدول الجرد'!$E$2:$E$31,MATCH(A577,'جدول الجرد'!$B$2:$B$31,0)),""))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الجرد'!$A$2:$A$31,MATCH(A578,'جدول الجرد'!$B$2:$B$31,0)),""))</f>
        <v/>
      </c>
      <c r="C578" s="5" t="str">
        <f>IF(A578="","",IFERROR(INDEX('جدول الجرد'!$E$2:$E$31,MATCH(A578,'جدول الجرد'!$B$2:$B$31,0)),""))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الجرد'!$A$2:$A$31,MATCH(A579,'جدول الجرد'!$B$2:$B$31,0)),""))</f>
        <v/>
      </c>
      <c r="C579" s="5" t="str">
        <f>IF(A579="","",IFERROR(INDEX('جدول الجرد'!$E$2:$E$31,MATCH(A579,'جدول الجرد'!$B$2:$B$31,0)),""))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الجرد'!$A$2:$A$31,MATCH(A580,'جدول الجرد'!$B$2:$B$31,0)),""))</f>
        <v/>
      </c>
      <c r="C580" s="5" t="str">
        <f>IF(A580="","",IFERROR(INDEX('جدول الجرد'!$E$2:$E$31,MATCH(A580,'جدول الجرد'!$B$2:$B$31,0)),""))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الجرد'!$A$2:$A$31,MATCH(A581,'جدول الجرد'!$B$2:$B$31,0)),""))</f>
        <v/>
      </c>
      <c r="C581" s="5" t="str">
        <f>IF(A581="","",IFERROR(INDEX('جدول الجرد'!$E$2:$E$31,MATCH(A581,'جدول الجرد'!$B$2:$B$31,0)),""))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الجرد'!$A$2:$A$31,MATCH(A582,'جدول الجرد'!$B$2:$B$31,0)),""))</f>
        <v/>
      </c>
      <c r="C582" s="5" t="str">
        <f>IF(A582="","",IFERROR(INDEX('جدول الجرد'!$E$2:$E$31,MATCH(A582,'جدول الجرد'!$B$2:$B$31,0)),""))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الجرد'!$A$2:$A$31,MATCH(A583,'جدول الجرد'!$B$2:$B$31,0)),""))</f>
        <v/>
      </c>
      <c r="C583" s="5" t="str">
        <f>IF(A583="","",IFERROR(INDEX('جدول الجرد'!$E$2:$E$31,MATCH(A583,'جدول الجرد'!$B$2:$B$31,0)),""))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الجرد'!$A$2:$A$31,MATCH(A584,'جدول الجرد'!$B$2:$B$31,0)),""))</f>
        <v/>
      </c>
      <c r="C584" s="5" t="str">
        <f>IF(A584="","",IFERROR(INDEX('جدول الجرد'!$E$2:$E$31,MATCH(A584,'جدول الجرد'!$B$2:$B$31,0)),""))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الجرد'!$A$2:$A$31,MATCH(A585,'جدول الجرد'!$B$2:$B$31,0)),""))</f>
        <v/>
      </c>
      <c r="C585" s="5" t="str">
        <f>IF(A585="","",IFERROR(INDEX('جدول الجرد'!$E$2:$E$31,MATCH(A585,'جدول الجرد'!$B$2:$B$31,0)),""))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الجرد'!$A$2:$A$31,MATCH(A586,'جدول الجرد'!$B$2:$B$31,0)),""))</f>
        <v/>
      </c>
      <c r="C586" s="5" t="str">
        <f>IF(A586="","",IFERROR(INDEX('جدول الجرد'!$E$2:$E$31,MATCH(A586,'جدول الجرد'!$B$2:$B$31,0)),""))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الجرد'!$A$2:$A$31,MATCH(A587,'جدول الجرد'!$B$2:$B$31,0)),""))</f>
        <v/>
      </c>
      <c r="C587" s="5" t="str">
        <f>IF(A587="","",IFERROR(INDEX('جدول الجرد'!$E$2:$E$31,MATCH(A587,'جدول الجرد'!$B$2:$B$31,0)),""))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الجرد'!$A$2:$A$31,MATCH(A588,'جدول الجرد'!$B$2:$B$31,0)),""))</f>
        <v/>
      </c>
      <c r="C588" s="5" t="str">
        <f>IF(A588="","",IFERROR(INDEX('جدول الجرد'!$E$2:$E$31,MATCH(A588,'جدول الجرد'!$B$2:$B$31,0)),""))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الجرد'!$A$2:$A$31,MATCH(A589,'جدول الجرد'!$B$2:$B$31,0)),""))</f>
        <v/>
      </c>
      <c r="C589" s="5" t="str">
        <f>IF(A589="","",IFERROR(INDEX('جدول الجرد'!$E$2:$E$31,MATCH(A589,'جدول الجرد'!$B$2:$B$31,0)),""))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الجرد'!$A$2:$A$31,MATCH(A590,'جدول الجرد'!$B$2:$B$31,0)),""))</f>
        <v/>
      </c>
      <c r="C590" s="5" t="str">
        <f>IF(A590="","",IFERROR(INDEX('جدول الجرد'!$E$2:$E$31,MATCH(A590,'جدول الجرد'!$B$2:$B$31,0)),""))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الجرد'!$A$2:$A$31,MATCH(A591,'جدول الجرد'!$B$2:$B$31,0)),""))</f>
        <v/>
      </c>
      <c r="C591" s="5" t="str">
        <f>IF(A591="","",IFERROR(INDEX('جدول الجرد'!$E$2:$E$31,MATCH(A591,'جدول الجرد'!$B$2:$B$31,0)),""))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الجرد'!$A$2:$A$31,MATCH(A592,'جدول الجرد'!$B$2:$B$31,0)),""))</f>
        <v/>
      </c>
      <c r="C592" s="5" t="str">
        <f>IF(A592="","",IFERROR(INDEX('جدول الجرد'!$E$2:$E$31,MATCH(A592,'جدول الجرد'!$B$2:$B$31,0)),""))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الجرد'!$A$2:$A$31,MATCH(A593,'جدول الجرد'!$B$2:$B$31,0)),""))</f>
        <v/>
      </c>
      <c r="C593" s="5" t="str">
        <f>IF(A593="","",IFERROR(INDEX('جدول الجرد'!$E$2:$E$31,MATCH(A593,'جدول الجرد'!$B$2:$B$31,0)),""))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الجرد'!$A$2:$A$31,MATCH(A594,'جدول الجرد'!$B$2:$B$31,0)),""))</f>
        <v/>
      </c>
      <c r="C594" s="5" t="str">
        <f>IF(A594="","",IFERROR(INDEX('جدول الجرد'!$E$2:$E$31,MATCH(A594,'جدول الجرد'!$B$2:$B$31,0)),""))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الجرد'!$A$2:$A$31,MATCH(A595,'جدول الجرد'!$B$2:$B$31,0)),""))</f>
        <v/>
      </c>
      <c r="C595" s="5" t="str">
        <f>IF(A595="","",IFERROR(INDEX('جدول الجرد'!$E$2:$E$31,MATCH(A595,'جدول الجرد'!$B$2:$B$31,0)),""))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الجرد'!$A$2:$A$31,MATCH(A596,'جدول الجرد'!$B$2:$B$31,0)),""))</f>
        <v/>
      </c>
      <c r="C596" s="5" t="str">
        <f>IF(A596="","",IFERROR(INDEX('جدول الجرد'!$E$2:$E$31,MATCH(A596,'جدول الجرد'!$B$2:$B$31,0)),""))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الجرد'!$A$2:$A$31,MATCH(A597,'جدول الجرد'!$B$2:$B$31,0)),""))</f>
        <v/>
      </c>
      <c r="C597" s="5" t="str">
        <f>IF(A597="","",IFERROR(INDEX('جدول الجرد'!$E$2:$E$31,MATCH(A597,'جدول الجرد'!$B$2:$B$31,0)),""))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الجرد'!$A$2:$A$31,MATCH(A598,'جدول الجرد'!$B$2:$B$31,0)),""))</f>
        <v/>
      </c>
      <c r="C598" s="5" t="str">
        <f>IF(A598="","",IFERROR(INDEX('جدول الجرد'!$E$2:$E$31,MATCH(A598,'جدول الجرد'!$B$2:$B$31,0)),""))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الجرد'!$A$2:$A$31,MATCH(A599,'جدول الجرد'!$B$2:$B$31,0)),""))</f>
        <v/>
      </c>
      <c r="C599" s="5" t="str">
        <f>IF(A599="","",IFERROR(INDEX('جدول الجرد'!$E$2:$E$31,MATCH(A599,'جدول الجرد'!$B$2:$B$31,0)),""))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الجرد'!$A$2:$A$31,MATCH(A600,'جدول الجرد'!$B$2:$B$31,0)),""))</f>
        <v/>
      </c>
      <c r="C600" s="5" t="str">
        <f>IF(A600="","",IFERROR(INDEX('جدول الجرد'!$E$2:$E$31,MATCH(A600,'جدول الجرد'!$B$2:$B$31,0)),""))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الجرد'!$A$2:$A$31,MATCH(A601,'جدول الجرد'!$B$2:$B$31,0)),""))</f>
        <v/>
      </c>
      <c r="C601" s="5" t="str">
        <f>IF(A601="","",IFERROR(INDEX('جدول الجرد'!$E$2:$E$31,MATCH(A601,'جدول الجرد'!$B$2:$B$31,0)),""))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الجرد'!$A$2:$A$31,MATCH(A602,'جدول الجرد'!$B$2:$B$31,0)),""))</f>
        <v/>
      </c>
      <c r="C602" s="5" t="str">
        <f>IF(A602="","",IFERROR(INDEX('جدول الجرد'!$E$2:$E$31,MATCH(A602,'جدول الجرد'!$B$2:$B$31,0)),""))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الجرد'!$A$2:$A$31,MATCH(A603,'جدول الجرد'!$B$2:$B$31,0)),""))</f>
        <v/>
      </c>
      <c r="C603" s="5" t="str">
        <f>IF(A603="","",IFERROR(INDEX('جدول الجرد'!$E$2:$E$31,MATCH(A603,'جدول الجرد'!$B$2:$B$31,0)),""))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الجرد'!$A$2:$A$31,MATCH(A604,'جدول الجرد'!$B$2:$B$31,0)),""))</f>
        <v/>
      </c>
      <c r="C604" s="5" t="str">
        <f>IF(A604="","",IFERROR(INDEX('جدول الجرد'!$E$2:$E$31,MATCH(A604,'جدول الجرد'!$B$2:$B$31,0)),""))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الجرد'!$A$2:$A$31,MATCH(A605,'جدول الجرد'!$B$2:$B$31,0)),""))</f>
        <v/>
      </c>
      <c r="C605" s="5" t="str">
        <f>IF(A605="","",IFERROR(INDEX('جدول الجرد'!$E$2:$E$31,MATCH(A605,'جدول الجرد'!$B$2:$B$31,0)),""))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الجرد'!$A$2:$A$31,MATCH(A606,'جدول الجرد'!$B$2:$B$31,0)),""))</f>
        <v/>
      </c>
      <c r="C606" s="5" t="str">
        <f>IF(A606="","",IFERROR(INDEX('جدول الجرد'!$E$2:$E$31,MATCH(A606,'جدول الجرد'!$B$2:$B$31,0)),""))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الجرد'!$A$2:$A$31,MATCH(A607,'جدول الجرد'!$B$2:$B$31,0)),""))</f>
        <v/>
      </c>
      <c r="C607" s="5" t="str">
        <f>IF(A607="","",IFERROR(INDEX('جدول الجرد'!$E$2:$E$31,MATCH(A607,'جدول الجرد'!$B$2:$B$31,0)),""))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الجرد'!$A$2:$A$31,MATCH(A608,'جدول الجرد'!$B$2:$B$31,0)),""))</f>
        <v/>
      </c>
      <c r="C608" s="5" t="str">
        <f>IF(A608="","",IFERROR(INDEX('جدول الجرد'!$E$2:$E$31,MATCH(A608,'جدول الجرد'!$B$2:$B$31,0)),""))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الجرد'!$A$2:$A$31,MATCH(A609,'جدول الجرد'!$B$2:$B$31,0)),""))</f>
        <v/>
      </c>
      <c r="C609" s="5" t="str">
        <f>IF(A609="","",IFERROR(INDEX('جدول الجرد'!$E$2:$E$31,MATCH(A609,'جدول الجرد'!$B$2:$B$31,0)),""))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الجرد'!$A$2:$A$31,MATCH(A610,'جدول الجرد'!$B$2:$B$31,0)),""))</f>
        <v/>
      </c>
      <c r="C610" s="5" t="str">
        <f>IF(A610="","",IFERROR(INDEX('جدول الجرد'!$E$2:$E$31,MATCH(A610,'جدول الجرد'!$B$2:$B$31,0)),""))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الجرد'!$A$2:$A$31,MATCH(A611,'جدول الجرد'!$B$2:$B$31,0)),""))</f>
        <v/>
      </c>
      <c r="C611" s="5" t="str">
        <f>IF(A611="","",IFERROR(INDEX('جدول الجرد'!$E$2:$E$31,MATCH(A611,'جدول الجرد'!$B$2:$B$31,0)),""))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الجرد'!$A$2:$A$31,MATCH(A612,'جدول الجرد'!$B$2:$B$31,0)),""))</f>
        <v/>
      </c>
      <c r="C612" s="5" t="str">
        <f>IF(A612="","",IFERROR(INDEX('جدول الجرد'!$E$2:$E$31,MATCH(A612,'جدول الجرد'!$B$2:$B$31,0)),""))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الجرد'!$A$2:$A$31,MATCH(A613,'جدول الجرد'!$B$2:$B$31,0)),""))</f>
        <v/>
      </c>
      <c r="C613" s="5" t="str">
        <f>IF(A613="","",IFERROR(INDEX('جدول الجرد'!$E$2:$E$31,MATCH(A613,'جدول الجرد'!$B$2:$B$31,0)),""))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الجرد'!$A$2:$A$31,MATCH(A614,'جدول الجرد'!$B$2:$B$31,0)),""))</f>
        <v/>
      </c>
      <c r="C614" s="5" t="str">
        <f>IF(A614="","",IFERROR(INDEX('جدول الجرد'!$E$2:$E$31,MATCH(A614,'جدول الجرد'!$B$2:$B$31,0)),""))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الجرد'!$A$2:$A$31,MATCH(A615,'جدول الجرد'!$B$2:$B$31,0)),""))</f>
        <v/>
      </c>
      <c r="C615" s="5" t="str">
        <f>IF(A615="","",IFERROR(INDEX('جدول الجرد'!$E$2:$E$31,MATCH(A615,'جدول الجرد'!$B$2:$B$31,0)),""))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الجرد'!$A$2:$A$31,MATCH(A616,'جدول الجرد'!$B$2:$B$31,0)),""))</f>
        <v/>
      </c>
      <c r="C616" s="5" t="str">
        <f>IF(A616="","",IFERROR(INDEX('جدول الجرد'!$E$2:$E$31,MATCH(A616,'جدول الجرد'!$B$2:$B$31,0)),""))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الجرد'!$A$2:$A$31,MATCH(A617,'جدول الجرد'!$B$2:$B$31,0)),""))</f>
        <v/>
      </c>
      <c r="C617" s="5" t="str">
        <f>IF(A617="","",IFERROR(INDEX('جدول الجرد'!$E$2:$E$31,MATCH(A617,'جدول الجرد'!$B$2:$B$31,0)),""))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الجرد'!$A$2:$A$31,MATCH(A618,'جدول الجرد'!$B$2:$B$31,0)),""))</f>
        <v/>
      </c>
      <c r="C618" s="5" t="str">
        <f>IF(A618="","",IFERROR(INDEX('جدول الجرد'!$E$2:$E$31,MATCH(A618,'جدول الجرد'!$B$2:$B$31,0)),""))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الجرد'!$A$2:$A$31,MATCH(A619,'جدول الجرد'!$B$2:$B$31,0)),""))</f>
        <v/>
      </c>
      <c r="C619" s="5" t="str">
        <f>IF(A619="","",IFERROR(INDEX('جدول الجرد'!$E$2:$E$31,MATCH(A619,'جدول الجرد'!$B$2:$B$31,0)),""))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الجرد'!$A$2:$A$31,MATCH(A620,'جدول الجرد'!$B$2:$B$31,0)),""))</f>
        <v/>
      </c>
      <c r="C620" s="5" t="str">
        <f>IF(A620="","",IFERROR(INDEX('جدول الجرد'!$E$2:$E$31,MATCH(A620,'جدول الجرد'!$B$2:$B$31,0)),""))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الجرد'!$A$2:$A$31,MATCH(A621,'جدول الجرد'!$B$2:$B$31,0)),""))</f>
        <v/>
      </c>
      <c r="C621" s="5" t="str">
        <f>IF(A621="","",IFERROR(INDEX('جدول الجرد'!$E$2:$E$31,MATCH(A621,'جدول الجرد'!$B$2:$B$31,0)),""))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الجرد'!$A$2:$A$31,MATCH(A622,'جدول الجرد'!$B$2:$B$31,0)),""))</f>
        <v/>
      </c>
      <c r="C622" s="5" t="str">
        <f>IF(A622="","",IFERROR(INDEX('جدول الجرد'!$E$2:$E$31,MATCH(A622,'جدول الجرد'!$B$2:$B$31,0)),""))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الجرد'!$A$2:$A$31,MATCH(A623,'جدول الجرد'!$B$2:$B$31,0)),""))</f>
        <v/>
      </c>
      <c r="C623" s="5" t="str">
        <f>IF(A623="","",IFERROR(INDEX('جدول الجرد'!$E$2:$E$31,MATCH(A623,'جدول الجرد'!$B$2:$B$31,0)),""))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الجرد'!$A$2:$A$31,MATCH(A624,'جدول الجرد'!$B$2:$B$31,0)),""))</f>
        <v/>
      </c>
      <c r="C624" s="5" t="str">
        <f>IF(A624="","",IFERROR(INDEX('جدول الجرد'!$E$2:$E$31,MATCH(A624,'جدول الجرد'!$B$2:$B$31,0)),""))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الجرد'!$A$2:$A$31,MATCH(A625,'جدول الجرد'!$B$2:$B$31,0)),""))</f>
        <v/>
      </c>
      <c r="C625" s="5" t="str">
        <f>IF(A625="","",IFERROR(INDEX('جدول الجرد'!$E$2:$E$31,MATCH(A625,'جدول الجرد'!$B$2:$B$31,0)),""))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الجرد'!$A$2:$A$31,MATCH(A626,'جدول الجرد'!$B$2:$B$31,0)),""))</f>
        <v/>
      </c>
      <c r="C626" s="5" t="str">
        <f>IF(A626="","",IFERROR(INDEX('جدول الجرد'!$E$2:$E$31,MATCH(A626,'جدول الجرد'!$B$2:$B$31,0)),""))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الجرد'!$A$2:$A$31,MATCH(A627,'جدول الجرد'!$B$2:$B$31,0)),""))</f>
        <v/>
      </c>
      <c r="C627" s="5" t="str">
        <f>IF(A627="","",IFERROR(INDEX('جدول الجرد'!$E$2:$E$31,MATCH(A627,'جدول الجرد'!$B$2:$B$31,0)),""))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الجرد'!$A$2:$A$31,MATCH(A628,'جدول الجرد'!$B$2:$B$31,0)),""))</f>
        <v/>
      </c>
      <c r="C628" s="5" t="str">
        <f>IF(A628="","",IFERROR(INDEX('جدول الجرد'!$E$2:$E$31,MATCH(A628,'جدول الجرد'!$B$2:$B$31,0)),""))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الجرد'!$A$2:$A$31,MATCH(A629,'جدول الجرد'!$B$2:$B$31,0)),""))</f>
        <v/>
      </c>
      <c r="C629" s="5" t="str">
        <f>IF(A629="","",IFERROR(INDEX('جدول الجرد'!$E$2:$E$31,MATCH(A629,'جدول الجرد'!$B$2:$B$31,0)),""))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الجرد'!$A$2:$A$31,MATCH(A630,'جدول الجرد'!$B$2:$B$31,0)),""))</f>
        <v/>
      </c>
      <c r="C630" s="5" t="str">
        <f>IF(A630="","",IFERROR(INDEX('جدول الجرد'!$E$2:$E$31,MATCH(A630,'جدول الجرد'!$B$2:$B$31,0)),""))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الجرد'!$A$2:$A$31,MATCH(A631,'جدول الجرد'!$B$2:$B$31,0)),""))</f>
        <v/>
      </c>
      <c r="C631" s="5" t="str">
        <f>IF(A631="","",IFERROR(INDEX('جدول الجرد'!$E$2:$E$31,MATCH(A631,'جدول الجرد'!$B$2:$B$31,0)),""))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الجرد'!$A$2:$A$31,MATCH(A632,'جدول الجرد'!$B$2:$B$31,0)),""))</f>
        <v/>
      </c>
      <c r="C632" s="5" t="str">
        <f>IF(A632="","",IFERROR(INDEX('جدول الجرد'!$E$2:$E$31,MATCH(A632,'جدول الجرد'!$B$2:$B$31,0)),""))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الجرد'!$A$2:$A$31,MATCH(A633,'جدول الجرد'!$B$2:$B$31,0)),""))</f>
        <v/>
      </c>
      <c r="C633" s="5" t="str">
        <f>IF(A633="","",IFERROR(INDEX('جدول الجرد'!$E$2:$E$31,MATCH(A633,'جدول الجرد'!$B$2:$B$31,0)),""))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الجرد'!$A$2:$A$31,MATCH(A634,'جدول الجرد'!$B$2:$B$31,0)),""))</f>
        <v/>
      </c>
      <c r="C634" s="5" t="str">
        <f>IF(A634="","",IFERROR(INDEX('جدول الجرد'!$E$2:$E$31,MATCH(A634,'جدول الجرد'!$B$2:$B$31,0)),""))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الجرد'!$A$2:$A$31,MATCH(A635,'جدول الجرد'!$B$2:$B$31,0)),""))</f>
        <v/>
      </c>
      <c r="C635" s="5" t="str">
        <f>IF(A635="","",IFERROR(INDEX('جدول الجرد'!$E$2:$E$31,MATCH(A635,'جدول الجرد'!$B$2:$B$31,0)),""))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الجرد'!$A$2:$A$31,MATCH(A636,'جدول الجرد'!$B$2:$B$31,0)),""))</f>
        <v/>
      </c>
      <c r="C636" s="5" t="str">
        <f>IF(A636="","",IFERROR(INDEX('جدول الجرد'!$E$2:$E$31,MATCH(A636,'جدول الجرد'!$B$2:$B$31,0)),""))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الجرد'!$A$2:$A$31,MATCH(A637,'جدول الجرد'!$B$2:$B$31,0)),""))</f>
        <v/>
      </c>
      <c r="C637" s="5" t="str">
        <f>IF(A637="","",IFERROR(INDEX('جدول الجرد'!$E$2:$E$31,MATCH(A637,'جدول الجرد'!$B$2:$B$31,0)),""))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الجرد'!$A$2:$A$31,MATCH(A638,'جدول الجرد'!$B$2:$B$31,0)),""))</f>
        <v/>
      </c>
      <c r="C638" s="5" t="str">
        <f>IF(A638="","",IFERROR(INDEX('جدول الجرد'!$E$2:$E$31,MATCH(A638,'جدول الجرد'!$B$2:$B$31,0)),""))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الجرد'!$A$2:$A$31,MATCH(A639,'جدول الجرد'!$B$2:$B$31,0)),""))</f>
        <v/>
      </c>
      <c r="C639" s="5" t="str">
        <f>IF(A639="","",IFERROR(INDEX('جدول الجرد'!$E$2:$E$31,MATCH(A639,'جدول الجرد'!$B$2:$B$31,0)),""))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الجرد'!$A$2:$A$31,MATCH(A640,'جدول الجرد'!$B$2:$B$31,0)),""))</f>
        <v/>
      </c>
      <c r="C640" s="5" t="str">
        <f>IF(A640="","",IFERROR(INDEX('جدول الجرد'!$E$2:$E$31,MATCH(A640,'جدول الجرد'!$B$2:$B$31,0)),""))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الجرد'!$A$2:$A$31,MATCH(A641,'جدول الجرد'!$B$2:$B$31,0)),""))</f>
        <v/>
      </c>
      <c r="C641" s="5" t="str">
        <f>IF(A641="","",IFERROR(INDEX('جدول الجرد'!$E$2:$E$31,MATCH(A641,'جدول الجرد'!$B$2:$B$31,0)),""))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الجرد'!$A$2:$A$31,MATCH(A642,'جدول الجرد'!$B$2:$B$31,0)),""))</f>
        <v/>
      </c>
      <c r="C642" s="5" t="str">
        <f>IF(A642="","",IFERROR(INDEX('جدول الجرد'!$E$2:$E$31,MATCH(A642,'جدول الجرد'!$B$2:$B$31,0)),""))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الجرد'!$A$2:$A$31,MATCH(A643,'جدول الجرد'!$B$2:$B$31,0)),""))</f>
        <v/>
      </c>
      <c r="C643" s="5" t="str">
        <f>IF(A643="","",IFERROR(INDEX('جدول الجرد'!$E$2:$E$31,MATCH(A643,'جدول الجرد'!$B$2:$B$31,0)),""))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الجرد'!$A$2:$A$31,MATCH(A644,'جدول الجرد'!$B$2:$B$31,0)),""))</f>
        <v/>
      </c>
      <c r="C644" s="5" t="str">
        <f>IF(A644="","",IFERROR(INDEX('جدول الجرد'!$E$2:$E$31,MATCH(A644,'جدول الجرد'!$B$2:$B$31,0)),""))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الجرد'!$A$2:$A$31,MATCH(A645,'جدول الجرد'!$B$2:$B$31,0)),""))</f>
        <v/>
      </c>
      <c r="C645" s="5" t="str">
        <f>IF(A645="","",IFERROR(INDEX('جدول الجرد'!$E$2:$E$31,MATCH(A645,'جدول الجرد'!$B$2:$B$31,0)),""))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الجرد'!$A$2:$A$31,MATCH(A646,'جدول الجرد'!$B$2:$B$31,0)),""))</f>
        <v/>
      </c>
      <c r="C646" s="5" t="str">
        <f>IF(A646="","",IFERROR(INDEX('جدول الجرد'!$E$2:$E$31,MATCH(A646,'جدول الجرد'!$B$2:$B$31,0)),""))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الجرد'!$A$2:$A$31,MATCH(A647,'جدول الجرد'!$B$2:$B$31,0)),""))</f>
        <v/>
      </c>
      <c r="C647" s="5" t="str">
        <f>IF(A647="","",IFERROR(INDEX('جدول الجرد'!$E$2:$E$31,MATCH(A647,'جدول الجرد'!$B$2:$B$31,0)),""))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الجرد'!$A$2:$A$31,MATCH(A648,'جدول الجرد'!$B$2:$B$31,0)),""))</f>
        <v/>
      </c>
      <c r="C648" s="5" t="str">
        <f>IF(A648="","",IFERROR(INDEX('جدول الجرد'!$E$2:$E$31,MATCH(A648,'جدول الجرد'!$B$2:$B$31,0)),""))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الجرد'!$A$2:$A$31,MATCH(A649,'جدول الجرد'!$B$2:$B$31,0)),""))</f>
        <v/>
      </c>
      <c r="C649" s="5" t="str">
        <f>IF(A649="","",IFERROR(INDEX('جدول الجرد'!$E$2:$E$31,MATCH(A649,'جدول الجرد'!$B$2:$B$31,0)),""))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الجرد'!$A$2:$A$31,MATCH(A650,'جدول الجرد'!$B$2:$B$31,0)),""))</f>
        <v/>
      </c>
      <c r="C650" s="5" t="str">
        <f>IF(A650="","",IFERROR(INDEX('جدول الجرد'!$E$2:$E$31,MATCH(A650,'جدول الجرد'!$B$2:$B$31,0)),""))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الجرد'!$A$2:$A$31,MATCH(A651,'جدول الجرد'!$B$2:$B$31,0)),""))</f>
        <v/>
      </c>
      <c r="C651" s="5" t="str">
        <f>IF(A651="","",IFERROR(INDEX('جدول الجرد'!$E$2:$E$31,MATCH(A651,'جدول الجرد'!$B$2:$B$31,0)),""))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الجرد'!$A$2:$A$31,MATCH(A652,'جدول الجرد'!$B$2:$B$31,0)),""))</f>
        <v/>
      </c>
      <c r="C652" s="5" t="str">
        <f>IF(A652="","",IFERROR(INDEX('جدول الجرد'!$E$2:$E$31,MATCH(A652,'جدول الجرد'!$B$2:$B$31,0)),""))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الجرد'!$A$2:$A$31,MATCH(A653,'جدول الجرد'!$B$2:$B$31,0)),""))</f>
        <v/>
      </c>
      <c r="C653" s="5" t="str">
        <f>IF(A653="","",IFERROR(INDEX('جدول الجرد'!$E$2:$E$31,MATCH(A653,'جدول الجرد'!$B$2:$B$31,0)),""))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الجرد'!$A$2:$A$31,MATCH(A654,'جدول الجرد'!$B$2:$B$31,0)),""))</f>
        <v/>
      </c>
      <c r="C654" s="5" t="str">
        <f>IF(A654="","",IFERROR(INDEX('جدول الجرد'!$E$2:$E$31,MATCH(A654,'جدول الجرد'!$B$2:$B$31,0)),""))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الجرد'!$A$2:$A$31,MATCH(A655,'جدول الجرد'!$B$2:$B$31,0)),""))</f>
        <v/>
      </c>
      <c r="C655" s="5" t="str">
        <f>IF(A655="","",IFERROR(INDEX('جدول الجرد'!$E$2:$E$31,MATCH(A655,'جدول الجرد'!$B$2:$B$31,0)),""))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الجرد'!$A$2:$A$31,MATCH(A656,'جدول الجرد'!$B$2:$B$31,0)),""))</f>
        <v/>
      </c>
      <c r="C656" s="5" t="str">
        <f>IF(A656="","",IFERROR(INDEX('جدول الجرد'!$E$2:$E$31,MATCH(A656,'جدول الجرد'!$B$2:$B$31,0)),""))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الجرد'!$A$2:$A$31,MATCH(A657,'جدول الجرد'!$B$2:$B$31,0)),""))</f>
        <v/>
      </c>
      <c r="C657" s="5" t="str">
        <f>IF(A657="","",IFERROR(INDEX('جدول الجرد'!$E$2:$E$31,MATCH(A657,'جدول الجرد'!$B$2:$B$31,0)),""))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الجرد'!$A$2:$A$31,MATCH(A658,'جدول الجرد'!$B$2:$B$31,0)),""))</f>
        <v/>
      </c>
      <c r="C658" s="5" t="str">
        <f>IF(A658="","",IFERROR(INDEX('جدول الجرد'!$E$2:$E$31,MATCH(A658,'جدول الجرد'!$B$2:$B$31,0)),""))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الجرد'!$A$2:$A$31,MATCH(A659,'جدول الجرد'!$B$2:$B$31,0)),""))</f>
        <v/>
      </c>
      <c r="C659" s="5" t="str">
        <f>IF(A659="","",IFERROR(INDEX('جدول الجرد'!$E$2:$E$31,MATCH(A659,'جدول الجرد'!$B$2:$B$31,0)),""))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الجرد'!$A$2:$A$31,MATCH(A660,'جدول الجرد'!$B$2:$B$31,0)),""))</f>
        <v/>
      </c>
      <c r="C660" s="5" t="str">
        <f>IF(A660="","",IFERROR(INDEX('جدول الجرد'!$E$2:$E$31,MATCH(A660,'جدول الجرد'!$B$2:$B$31,0)),""))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الجرد'!$A$2:$A$31,MATCH(A661,'جدول الجرد'!$B$2:$B$31,0)),""))</f>
        <v/>
      </c>
      <c r="C661" s="5" t="str">
        <f>IF(A661="","",IFERROR(INDEX('جدول الجرد'!$E$2:$E$31,MATCH(A661,'جدول الجرد'!$B$2:$B$31,0)),""))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الجرد'!$A$2:$A$31,MATCH(A662,'جدول الجرد'!$B$2:$B$31,0)),""))</f>
        <v/>
      </c>
      <c r="C662" s="5" t="str">
        <f>IF(A662="","",IFERROR(INDEX('جدول الجرد'!$E$2:$E$31,MATCH(A662,'جدول الجرد'!$B$2:$B$31,0)),""))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الجرد'!$A$2:$A$31,MATCH(A663,'جدول الجرد'!$B$2:$B$31,0)),""))</f>
        <v/>
      </c>
      <c r="C663" s="5" t="str">
        <f>IF(A663="","",IFERROR(INDEX('جدول الجرد'!$E$2:$E$31,MATCH(A663,'جدول الجرد'!$B$2:$B$31,0)),""))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الجرد'!$A$2:$A$31,MATCH(A664,'جدول الجرد'!$B$2:$B$31,0)),""))</f>
        <v/>
      </c>
      <c r="C664" s="5" t="str">
        <f>IF(A664="","",IFERROR(INDEX('جدول الجرد'!$E$2:$E$31,MATCH(A664,'جدول الجرد'!$B$2:$B$31,0)),""))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الجرد'!$A$2:$A$31,MATCH(A665,'جدول الجرد'!$B$2:$B$31,0)),""))</f>
        <v/>
      </c>
      <c r="C665" s="5" t="str">
        <f>IF(A665="","",IFERROR(INDEX('جدول الجرد'!$E$2:$E$31,MATCH(A665,'جدول الجرد'!$B$2:$B$31,0)),""))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الجرد'!$A$2:$A$31,MATCH(A666,'جدول الجرد'!$B$2:$B$31,0)),""))</f>
        <v/>
      </c>
      <c r="C666" s="5" t="str">
        <f>IF(A666="","",IFERROR(INDEX('جدول الجرد'!$E$2:$E$31,MATCH(A666,'جدول الجرد'!$B$2:$B$31,0)),""))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الجرد'!$A$2:$A$31,MATCH(A667,'جدول الجرد'!$B$2:$B$31,0)),""))</f>
        <v/>
      </c>
      <c r="C667" s="5" t="str">
        <f>IF(A667="","",IFERROR(INDEX('جدول الجرد'!$E$2:$E$31,MATCH(A667,'جدول الجرد'!$B$2:$B$31,0)),""))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الجرد'!$A$2:$A$31,MATCH(A668,'جدول الجرد'!$B$2:$B$31,0)),""))</f>
        <v/>
      </c>
      <c r="C668" s="5" t="str">
        <f>IF(A668="","",IFERROR(INDEX('جدول الجرد'!$E$2:$E$31,MATCH(A668,'جدول الجرد'!$B$2:$B$31,0)),""))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الجرد'!$A$2:$A$31,MATCH(A669,'جدول الجرد'!$B$2:$B$31,0)),""))</f>
        <v/>
      </c>
      <c r="C669" s="5" t="str">
        <f>IF(A669="","",IFERROR(INDEX('جدول الجرد'!$E$2:$E$31,MATCH(A669,'جدول الجرد'!$B$2:$B$31,0)),""))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الجرد'!$A$2:$A$31,MATCH(A670,'جدول الجرد'!$B$2:$B$31,0)),""))</f>
        <v/>
      </c>
      <c r="C670" s="5" t="str">
        <f>IF(A670="","",IFERROR(INDEX('جدول الجرد'!$E$2:$E$31,MATCH(A670,'جدول الجرد'!$B$2:$B$31,0)),""))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الجرد'!$A$2:$A$31,MATCH(A671,'جدول الجرد'!$B$2:$B$31,0)),""))</f>
        <v/>
      </c>
      <c r="C671" s="5" t="str">
        <f>IF(A671="","",IFERROR(INDEX('جدول الجرد'!$E$2:$E$31,MATCH(A671,'جدول الجرد'!$B$2:$B$31,0)),""))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الجرد'!$A$2:$A$31,MATCH(A672,'جدول الجرد'!$B$2:$B$31,0)),""))</f>
        <v/>
      </c>
      <c r="C672" s="5" t="str">
        <f>IF(A672="","",IFERROR(INDEX('جدول الجرد'!$E$2:$E$31,MATCH(A672,'جدول الجرد'!$B$2:$B$31,0)),""))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الجرد'!$A$2:$A$31,MATCH(A673,'جدول الجرد'!$B$2:$B$31,0)),""))</f>
        <v/>
      </c>
      <c r="C673" s="5" t="str">
        <f>IF(A673="","",IFERROR(INDEX('جدول الجرد'!$E$2:$E$31,MATCH(A673,'جدول الجرد'!$B$2:$B$31,0)),""))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الجرد'!$A$2:$A$31,MATCH(A674,'جدول الجرد'!$B$2:$B$31,0)),""))</f>
        <v/>
      </c>
      <c r="C674" s="5" t="str">
        <f>IF(A674="","",IFERROR(INDEX('جدول الجرد'!$E$2:$E$31,MATCH(A674,'جدول الجرد'!$B$2:$B$31,0)),""))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الجرد'!$A$2:$A$31,MATCH(A675,'جدول الجرد'!$B$2:$B$31,0)),""))</f>
        <v/>
      </c>
      <c r="C675" s="5" t="str">
        <f>IF(A675="","",IFERROR(INDEX('جدول الجرد'!$E$2:$E$31,MATCH(A675,'جدول الجرد'!$B$2:$B$31,0)),""))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الجرد'!$A$2:$A$31,MATCH(A676,'جدول الجرد'!$B$2:$B$31,0)),""))</f>
        <v/>
      </c>
      <c r="C676" s="5" t="str">
        <f>IF(A676="","",IFERROR(INDEX('جدول الجرد'!$E$2:$E$31,MATCH(A676,'جدول الجرد'!$B$2:$B$31,0)),""))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الجرد'!$A$2:$A$31,MATCH(A677,'جدول الجرد'!$B$2:$B$31,0)),""))</f>
        <v/>
      </c>
      <c r="C677" s="5" t="str">
        <f>IF(A677="","",IFERROR(INDEX('جدول الجرد'!$E$2:$E$31,MATCH(A677,'جدول الجرد'!$B$2:$B$31,0)),""))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الجرد'!$A$2:$A$31,MATCH(A678,'جدول الجرد'!$B$2:$B$31,0)),""))</f>
        <v/>
      </c>
      <c r="C678" s="5" t="str">
        <f>IF(A678="","",IFERROR(INDEX('جدول الجرد'!$E$2:$E$31,MATCH(A678,'جدول الجرد'!$B$2:$B$31,0)),""))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الجرد'!$A$2:$A$31,MATCH(A679,'جدول الجرد'!$B$2:$B$31,0)),""))</f>
        <v/>
      </c>
      <c r="C679" s="5" t="str">
        <f>IF(A679="","",IFERROR(INDEX('جدول الجرد'!$E$2:$E$31,MATCH(A679,'جدول الجرد'!$B$2:$B$31,0)),""))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الجرد'!$A$2:$A$31,MATCH(A680,'جدول الجرد'!$B$2:$B$31,0)),""))</f>
        <v/>
      </c>
      <c r="C680" s="5" t="str">
        <f>IF(A680="","",IFERROR(INDEX('جدول الجرد'!$E$2:$E$31,MATCH(A680,'جدول الجرد'!$B$2:$B$31,0)),""))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الجرد'!$A$2:$A$31,MATCH(A681,'جدول الجرد'!$B$2:$B$31,0)),""))</f>
        <v/>
      </c>
      <c r="C681" s="5" t="str">
        <f>IF(A681="","",IFERROR(INDEX('جدول الجرد'!$E$2:$E$31,MATCH(A681,'جدول الجرد'!$B$2:$B$31,0)),""))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الجرد'!$A$2:$A$31,MATCH(A682,'جدول الجرد'!$B$2:$B$31,0)),""))</f>
        <v/>
      </c>
      <c r="C682" s="5" t="str">
        <f>IF(A682="","",IFERROR(INDEX('جدول الجرد'!$E$2:$E$31,MATCH(A682,'جدول الجرد'!$B$2:$B$31,0)),""))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الجرد'!$A$2:$A$31,MATCH(A683,'جدول الجرد'!$B$2:$B$31,0)),""))</f>
        <v/>
      </c>
      <c r="C683" s="5" t="str">
        <f>IF(A683="","",IFERROR(INDEX('جدول الجرد'!$E$2:$E$31,MATCH(A683,'جدول الجرد'!$B$2:$B$31,0)),""))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الجرد'!$A$2:$A$31,MATCH(A684,'جدول الجرد'!$B$2:$B$31,0)),""))</f>
        <v/>
      </c>
      <c r="C684" s="5" t="str">
        <f>IF(A684="","",IFERROR(INDEX('جدول الجرد'!$E$2:$E$31,MATCH(A684,'جدول الجرد'!$B$2:$B$31,0)),""))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الجرد'!$A$2:$A$31,MATCH(A685,'جدول الجرد'!$B$2:$B$31,0)),""))</f>
        <v/>
      </c>
      <c r="C685" s="5" t="str">
        <f>IF(A685="","",IFERROR(INDEX('جدول الجرد'!$E$2:$E$31,MATCH(A685,'جدول الجرد'!$B$2:$B$31,0)),""))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الجرد'!$A$2:$A$31,MATCH(A686,'جدول الجرد'!$B$2:$B$31,0)),""))</f>
        <v/>
      </c>
      <c r="C686" s="5" t="str">
        <f>IF(A686="","",IFERROR(INDEX('جدول الجرد'!$E$2:$E$31,MATCH(A686,'جدول الجرد'!$B$2:$B$31,0)),""))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الجرد'!$A$2:$A$31,MATCH(A687,'جدول الجرد'!$B$2:$B$31,0)),""))</f>
        <v/>
      </c>
      <c r="C687" s="5" t="str">
        <f>IF(A687="","",IFERROR(INDEX('جدول الجرد'!$E$2:$E$31,MATCH(A687,'جدول الجرد'!$B$2:$B$31,0)),""))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الجرد'!$A$2:$A$31,MATCH(A688,'جدول الجرد'!$B$2:$B$31,0)),""))</f>
        <v/>
      </c>
      <c r="C688" s="5" t="str">
        <f>IF(A688="","",IFERROR(INDEX('جدول الجرد'!$E$2:$E$31,MATCH(A688,'جدول الجرد'!$B$2:$B$31,0)),""))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الجرد'!$A$2:$A$31,MATCH(A689,'جدول الجرد'!$B$2:$B$31,0)),""))</f>
        <v/>
      </c>
      <c r="C689" s="5" t="str">
        <f>IF(A689="","",IFERROR(INDEX('جدول الجرد'!$E$2:$E$31,MATCH(A689,'جدول الجرد'!$B$2:$B$31,0)),""))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الجرد'!$A$2:$A$31,MATCH(A690,'جدول الجرد'!$B$2:$B$31,0)),""))</f>
        <v/>
      </c>
      <c r="C690" s="5" t="str">
        <f>IF(A690="","",IFERROR(INDEX('جدول الجرد'!$E$2:$E$31,MATCH(A690,'جدول الجرد'!$B$2:$B$31,0)),""))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الجرد'!$A$2:$A$31,MATCH(A691,'جدول الجرد'!$B$2:$B$31,0)),""))</f>
        <v/>
      </c>
      <c r="C691" s="5" t="str">
        <f>IF(A691="","",IFERROR(INDEX('جدول الجرد'!$E$2:$E$31,MATCH(A691,'جدول الجرد'!$B$2:$B$31,0)),""))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الجرد'!$A$2:$A$31,MATCH(A692,'جدول الجرد'!$B$2:$B$31,0)),""))</f>
        <v/>
      </c>
      <c r="C692" s="5" t="str">
        <f>IF(A692="","",IFERROR(INDEX('جدول الجرد'!$E$2:$E$31,MATCH(A692,'جدول الجرد'!$B$2:$B$31,0)),""))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الجرد'!$A$2:$A$31,MATCH(A693,'جدول الجرد'!$B$2:$B$31,0)),""))</f>
        <v/>
      </c>
      <c r="C693" s="5" t="str">
        <f>IF(A693="","",IFERROR(INDEX('جدول الجرد'!$E$2:$E$31,MATCH(A693,'جدول الجرد'!$B$2:$B$31,0)),""))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الجرد'!$A$2:$A$31,MATCH(A694,'جدول الجرد'!$B$2:$B$31,0)),""))</f>
        <v/>
      </c>
      <c r="C694" s="5" t="str">
        <f>IF(A694="","",IFERROR(INDEX('جدول الجرد'!$E$2:$E$31,MATCH(A694,'جدول الجرد'!$B$2:$B$31,0)),""))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الجرد'!$A$2:$A$31,MATCH(A695,'جدول الجرد'!$B$2:$B$31,0)),""))</f>
        <v/>
      </c>
      <c r="C695" s="5" t="str">
        <f>IF(A695="","",IFERROR(INDEX('جدول الجرد'!$E$2:$E$31,MATCH(A695,'جدول الجرد'!$B$2:$B$31,0)),""))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الجرد'!$A$2:$A$31,MATCH(A696,'جدول الجرد'!$B$2:$B$31,0)),""))</f>
        <v/>
      </c>
      <c r="C696" s="5" t="str">
        <f>IF(A696="","",IFERROR(INDEX('جدول الجرد'!$E$2:$E$31,MATCH(A696,'جدول الجرد'!$B$2:$B$31,0)),""))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الجرد'!$A$2:$A$31,MATCH(A697,'جدول الجرد'!$B$2:$B$31,0)),""))</f>
        <v/>
      </c>
      <c r="C697" s="5" t="str">
        <f>IF(A697="","",IFERROR(INDEX('جدول الجرد'!$E$2:$E$31,MATCH(A697,'جدول الجرد'!$B$2:$B$31,0)),""))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الجرد'!$A$2:$A$31,MATCH(A698,'جدول الجرد'!$B$2:$B$31,0)),""))</f>
        <v/>
      </c>
      <c r="C698" s="5" t="str">
        <f>IF(A698="","",IFERROR(INDEX('جدول الجرد'!$E$2:$E$31,MATCH(A698,'جدول الجرد'!$B$2:$B$31,0)),""))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الجرد'!$A$2:$A$31,MATCH(A699,'جدول الجرد'!$B$2:$B$31,0)),""))</f>
        <v/>
      </c>
      <c r="C699" s="5" t="str">
        <f>IF(A699="","",IFERROR(INDEX('جدول الجرد'!$E$2:$E$31,MATCH(A699,'جدول الجرد'!$B$2:$B$31,0)),""))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الجرد'!$A$2:$A$31,MATCH(A700,'جدول الجرد'!$B$2:$B$31,0)),""))</f>
        <v/>
      </c>
      <c r="C700" s="5" t="str">
        <f>IF(A700="","",IFERROR(INDEX('جدول الجرد'!$E$2:$E$31,MATCH(A700,'جدول الجرد'!$B$2:$B$31,0)),""))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الجرد'!$A$2:$A$31,MATCH(A701,'جدول الجرد'!$B$2:$B$31,0)),""))</f>
        <v/>
      </c>
      <c r="C701" s="5" t="str">
        <f>IF(A701="","",IFERROR(INDEX('جدول الجرد'!$E$2:$E$31,MATCH(A701,'جدول الجرد'!$B$2:$B$31,0)),""))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الجرد'!$A$2:$A$31,MATCH(A702,'جدول الجرد'!$B$2:$B$31,0)),""))</f>
        <v/>
      </c>
      <c r="C702" s="5" t="str">
        <f>IF(A702="","",IFERROR(INDEX('جدول الجرد'!$E$2:$E$31,MATCH(A702,'جدول الجرد'!$B$2:$B$31,0)),""))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الجرد'!$A$2:$A$31,MATCH(A703,'جدول الجرد'!$B$2:$B$31,0)),""))</f>
        <v/>
      </c>
      <c r="C703" s="5" t="str">
        <f>IF(A703="","",IFERROR(INDEX('جدول الجرد'!$E$2:$E$31,MATCH(A703,'جدول الجرد'!$B$2:$B$31,0)),""))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الجرد'!$A$2:$A$31,MATCH(A704,'جدول الجرد'!$B$2:$B$31,0)),""))</f>
        <v/>
      </c>
      <c r="C704" s="5" t="str">
        <f>IF(A704="","",IFERROR(INDEX('جدول الجرد'!$E$2:$E$31,MATCH(A704,'جدول الجرد'!$B$2:$B$31,0)),""))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الجرد'!$A$2:$A$31,MATCH(A705,'جدول الجرد'!$B$2:$B$31,0)),""))</f>
        <v/>
      </c>
      <c r="C705" s="5" t="str">
        <f>IF(A705="","",IFERROR(INDEX('جدول الجرد'!$E$2:$E$31,MATCH(A705,'جدول الجرد'!$B$2:$B$31,0)),""))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الجرد'!$A$2:$A$31,MATCH(A706,'جدول الجرد'!$B$2:$B$31,0)),""))</f>
        <v/>
      </c>
      <c r="C706" s="5" t="str">
        <f>IF(A706="","",IFERROR(INDEX('جدول الجرد'!$E$2:$E$31,MATCH(A706,'جدول الجرد'!$B$2:$B$31,0)),""))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الجرد'!$A$2:$A$31,MATCH(A707,'جدول الجرد'!$B$2:$B$31,0)),""))</f>
        <v/>
      </c>
      <c r="C707" s="5" t="str">
        <f>IF(A707="","",IFERROR(INDEX('جدول الجرد'!$E$2:$E$31,MATCH(A707,'جدول الجرد'!$B$2:$B$31,0)),""))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الجرد'!$A$2:$A$31,MATCH(A708,'جدول الجرد'!$B$2:$B$31,0)),""))</f>
        <v/>
      </c>
      <c r="C708" s="5" t="str">
        <f>IF(A708="","",IFERROR(INDEX('جدول الجرد'!$E$2:$E$31,MATCH(A708,'جدول الجرد'!$B$2:$B$31,0)),""))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الجرد'!$A$2:$A$31,MATCH(A709,'جدول الجرد'!$B$2:$B$31,0)),""))</f>
        <v/>
      </c>
      <c r="C709" s="5" t="str">
        <f>IF(A709="","",IFERROR(INDEX('جدول الجرد'!$E$2:$E$31,MATCH(A709,'جدول الجرد'!$B$2:$B$31,0)),""))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الجرد'!$A$2:$A$31,MATCH(A710,'جدول الجرد'!$B$2:$B$31,0)),""))</f>
        <v/>
      </c>
      <c r="C710" s="5" t="str">
        <f>IF(A710="","",IFERROR(INDEX('جدول الجرد'!$E$2:$E$31,MATCH(A710,'جدول الجرد'!$B$2:$B$31,0)),""))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الجرد'!$A$2:$A$31,MATCH(A711,'جدول الجرد'!$B$2:$B$31,0)),""))</f>
        <v/>
      </c>
      <c r="C711" s="5" t="str">
        <f>IF(A711="","",IFERROR(INDEX('جدول الجرد'!$E$2:$E$31,MATCH(A711,'جدول الجرد'!$B$2:$B$31,0)),""))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الجرد'!$A$2:$A$31,MATCH(A712,'جدول الجرد'!$B$2:$B$31,0)),""))</f>
        <v/>
      </c>
      <c r="C712" s="5" t="str">
        <f>IF(A712="","",IFERROR(INDEX('جدول الجرد'!$E$2:$E$31,MATCH(A712,'جدول الجرد'!$B$2:$B$31,0)),""))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الجرد'!$A$2:$A$31,MATCH(A713,'جدول الجرد'!$B$2:$B$31,0)),""))</f>
        <v/>
      </c>
      <c r="C713" s="5" t="str">
        <f>IF(A713="","",IFERROR(INDEX('جدول الجرد'!$E$2:$E$31,MATCH(A713,'جدول الجرد'!$B$2:$B$31,0)),""))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الجرد'!$A$2:$A$31,MATCH(A714,'جدول الجرد'!$B$2:$B$31,0)),""))</f>
        <v/>
      </c>
      <c r="C714" s="5" t="str">
        <f>IF(A714="","",IFERROR(INDEX('جدول الجرد'!$E$2:$E$31,MATCH(A714,'جدول الجرد'!$B$2:$B$31,0)),""))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الجرد'!$A$2:$A$31,MATCH(A715,'جدول الجرد'!$B$2:$B$31,0)),""))</f>
        <v/>
      </c>
      <c r="C715" s="5" t="str">
        <f>IF(A715="","",IFERROR(INDEX('جدول الجرد'!$E$2:$E$31,MATCH(A715,'جدول الجرد'!$B$2:$B$31,0)),""))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الجرد'!$A$2:$A$31,MATCH(A716,'جدول الجرد'!$B$2:$B$31,0)),""))</f>
        <v/>
      </c>
      <c r="C716" s="5" t="str">
        <f>IF(A716="","",IFERROR(INDEX('جدول الجرد'!$E$2:$E$31,MATCH(A716,'جدول الجرد'!$B$2:$B$31,0)),""))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الجرد'!$A$2:$A$31,MATCH(A717,'جدول الجرد'!$B$2:$B$31,0)),""))</f>
        <v/>
      </c>
      <c r="C717" s="5" t="str">
        <f>IF(A717="","",IFERROR(INDEX('جدول الجرد'!$E$2:$E$31,MATCH(A717,'جدول الجرد'!$B$2:$B$31,0)),""))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الجرد'!$A$2:$A$31,MATCH(A718,'جدول الجرد'!$B$2:$B$31,0)),""))</f>
        <v/>
      </c>
      <c r="C718" s="5" t="str">
        <f>IF(A718="","",IFERROR(INDEX('جدول الجرد'!$E$2:$E$31,MATCH(A718,'جدول الجرد'!$B$2:$B$31,0)),""))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الجرد'!$A$2:$A$31,MATCH(A719,'جدول الجرد'!$B$2:$B$31,0)),""))</f>
        <v/>
      </c>
      <c r="C719" s="5" t="str">
        <f>IF(A719="","",IFERROR(INDEX('جدول الجرد'!$E$2:$E$31,MATCH(A719,'جدول الجرد'!$B$2:$B$31,0)),""))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الجرد'!$A$2:$A$31,MATCH(A720,'جدول الجرد'!$B$2:$B$31,0)),""))</f>
        <v/>
      </c>
      <c r="C720" s="5" t="str">
        <f>IF(A720="","",IFERROR(INDEX('جدول الجرد'!$E$2:$E$31,MATCH(A720,'جدول الجرد'!$B$2:$B$31,0)),""))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الجرد'!$A$2:$A$31,MATCH(A721,'جدول الجرد'!$B$2:$B$31,0)),""))</f>
        <v/>
      </c>
      <c r="C721" s="5" t="str">
        <f>IF(A721="","",IFERROR(INDEX('جدول الجرد'!$E$2:$E$31,MATCH(A721,'جدول الجرد'!$B$2:$B$31,0)),""))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الجرد'!$A$2:$A$31,MATCH(A722,'جدول الجرد'!$B$2:$B$31,0)),""))</f>
        <v/>
      </c>
      <c r="C722" s="5" t="str">
        <f>IF(A722="","",IFERROR(INDEX('جدول الجرد'!$E$2:$E$31,MATCH(A722,'جدول الجرد'!$B$2:$B$31,0)),""))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الجرد'!$A$2:$A$31,MATCH(A723,'جدول الجرد'!$B$2:$B$31,0)),""))</f>
        <v/>
      </c>
      <c r="C723" s="5" t="str">
        <f>IF(A723="","",IFERROR(INDEX('جدول الجرد'!$E$2:$E$31,MATCH(A723,'جدول الجرد'!$B$2:$B$31,0)),""))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الجرد'!$A$2:$A$31,MATCH(A724,'جدول الجرد'!$B$2:$B$31,0)),""))</f>
        <v/>
      </c>
      <c r="C724" s="5" t="str">
        <f>IF(A724="","",IFERROR(INDEX('جدول الجرد'!$E$2:$E$31,MATCH(A724,'جدول الجرد'!$B$2:$B$31,0)),""))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الجرد'!$A$2:$A$31,MATCH(A725,'جدول الجرد'!$B$2:$B$31,0)),""))</f>
        <v/>
      </c>
      <c r="C725" s="5" t="str">
        <f>IF(A725="","",IFERROR(INDEX('جدول الجرد'!$E$2:$E$31,MATCH(A725,'جدول الجرد'!$B$2:$B$31,0)),""))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الجرد'!$A$2:$A$31,MATCH(A726,'جدول الجرد'!$B$2:$B$31,0)),""))</f>
        <v/>
      </c>
      <c r="C726" s="5" t="str">
        <f>IF(A726="","",IFERROR(INDEX('جدول الجرد'!$E$2:$E$31,MATCH(A726,'جدول الجرد'!$B$2:$B$31,0)),""))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الجرد'!$A$2:$A$31,MATCH(A727,'جدول الجرد'!$B$2:$B$31,0)),""))</f>
        <v/>
      </c>
      <c r="C727" s="5" t="str">
        <f>IF(A727="","",IFERROR(INDEX('جدول الجرد'!$E$2:$E$31,MATCH(A727,'جدول الجرد'!$B$2:$B$31,0)),""))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الجرد'!$A$2:$A$31,MATCH(A728,'جدول الجرد'!$B$2:$B$31,0)),""))</f>
        <v/>
      </c>
      <c r="C728" s="5" t="str">
        <f>IF(A728="","",IFERROR(INDEX('جدول الجرد'!$E$2:$E$31,MATCH(A728,'جدول الجرد'!$B$2:$B$31,0)),""))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الجرد'!$A$2:$A$31,MATCH(A729,'جدول الجرد'!$B$2:$B$31,0)),""))</f>
        <v/>
      </c>
      <c r="C729" s="5" t="str">
        <f>IF(A729="","",IFERROR(INDEX('جدول الجرد'!$E$2:$E$31,MATCH(A729,'جدول الجرد'!$B$2:$B$31,0)),""))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الجرد'!$A$2:$A$31,MATCH(A730,'جدول الجرد'!$B$2:$B$31,0)),""))</f>
        <v/>
      </c>
      <c r="C730" s="5" t="str">
        <f>IF(A730="","",IFERROR(INDEX('جدول الجرد'!$E$2:$E$31,MATCH(A730,'جدول الجرد'!$B$2:$B$31,0)),""))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الجرد'!$A$2:$A$31,MATCH(A731,'جدول الجرد'!$B$2:$B$31,0)),""))</f>
        <v/>
      </c>
      <c r="C731" s="5" t="str">
        <f>IF(A731="","",IFERROR(INDEX('جدول الجرد'!$E$2:$E$31,MATCH(A731,'جدول الجرد'!$B$2:$B$31,0)),""))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الجرد'!$A$2:$A$31,MATCH(A732,'جدول الجرد'!$B$2:$B$31,0)),""))</f>
        <v/>
      </c>
      <c r="C732" s="5" t="str">
        <f>IF(A732="","",IFERROR(INDEX('جدول الجرد'!$E$2:$E$31,MATCH(A732,'جدول الجرد'!$B$2:$B$31,0)),""))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الجرد'!$A$2:$A$31,MATCH(A733,'جدول الجرد'!$B$2:$B$31,0)),""))</f>
        <v/>
      </c>
      <c r="C733" s="5" t="str">
        <f>IF(A733="","",IFERROR(INDEX('جدول الجرد'!$E$2:$E$31,MATCH(A733,'جدول الجرد'!$B$2:$B$31,0)),""))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الجرد'!$A$2:$A$31,MATCH(A734,'جدول الجرد'!$B$2:$B$31,0)),""))</f>
        <v/>
      </c>
      <c r="C734" s="5" t="str">
        <f>IF(A734="","",IFERROR(INDEX('جدول الجرد'!$E$2:$E$31,MATCH(A734,'جدول الجرد'!$B$2:$B$31,0)),""))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الجرد'!$A$2:$A$31,MATCH(A735,'جدول الجرد'!$B$2:$B$31,0)),""))</f>
        <v/>
      </c>
      <c r="C735" s="5" t="str">
        <f>IF(A735="","",IFERROR(INDEX('جدول الجرد'!$E$2:$E$31,MATCH(A735,'جدول الجرد'!$B$2:$B$31,0)),""))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الجرد'!$A$2:$A$31,MATCH(A736,'جدول الجرد'!$B$2:$B$31,0)),""))</f>
        <v/>
      </c>
      <c r="C736" s="5" t="str">
        <f>IF(A736="","",IFERROR(INDEX('جدول الجرد'!$E$2:$E$31,MATCH(A736,'جدول الجرد'!$B$2:$B$31,0)),""))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الجرد'!$A$2:$A$31,MATCH(A737,'جدول الجرد'!$B$2:$B$31,0)),""))</f>
        <v/>
      </c>
      <c r="C737" s="5" t="str">
        <f>IF(A737="","",IFERROR(INDEX('جدول الجرد'!$E$2:$E$31,MATCH(A737,'جدول الجرد'!$B$2:$B$31,0)),""))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الجرد'!$A$2:$A$31,MATCH(A738,'جدول الجرد'!$B$2:$B$31,0)),""))</f>
        <v/>
      </c>
      <c r="C738" s="5" t="str">
        <f>IF(A738="","",IFERROR(INDEX('جدول الجرد'!$E$2:$E$31,MATCH(A738,'جدول الجرد'!$B$2:$B$31,0)),""))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الجرد'!$A$2:$A$31,MATCH(A739,'جدول الجرد'!$B$2:$B$31,0)),""))</f>
        <v/>
      </c>
      <c r="C739" s="5" t="str">
        <f>IF(A739="","",IFERROR(INDEX('جدول الجرد'!$E$2:$E$31,MATCH(A739,'جدول الجرد'!$B$2:$B$31,0)),""))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الجرد'!$A$2:$A$31,MATCH(A740,'جدول الجرد'!$B$2:$B$31,0)),""))</f>
        <v/>
      </c>
      <c r="C740" s="5" t="str">
        <f>IF(A740="","",IFERROR(INDEX('جدول الجرد'!$E$2:$E$31,MATCH(A740,'جدول الجرد'!$B$2:$B$31,0)),""))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الجرد'!$A$2:$A$31,MATCH(A741,'جدول الجرد'!$B$2:$B$31,0)),""))</f>
        <v/>
      </c>
      <c r="C741" s="5" t="str">
        <f>IF(A741="","",IFERROR(INDEX('جدول الجرد'!$E$2:$E$31,MATCH(A741,'جدول الجرد'!$B$2:$B$31,0)),""))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الجرد'!$A$2:$A$31,MATCH(A742,'جدول الجرد'!$B$2:$B$31,0)),""))</f>
        <v/>
      </c>
      <c r="C742" s="5" t="str">
        <f>IF(A742="","",IFERROR(INDEX('جدول الجرد'!$E$2:$E$31,MATCH(A742,'جدول الجرد'!$B$2:$B$31,0)),""))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الجرد'!$A$2:$A$31,MATCH(A743,'جدول الجرد'!$B$2:$B$31,0)),""))</f>
        <v/>
      </c>
      <c r="C743" s="5" t="str">
        <f>IF(A743="","",IFERROR(INDEX('جدول الجرد'!$E$2:$E$31,MATCH(A743,'جدول الجرد'!$B$2:$B$31,0)),""))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الجرد'!$A$2:$A$31,MATCH(A744,'جدول الجرد'!$B$2:$B$31,0)),""))</f>
        <v/>
      </c>
      <c r="C744" s="5" t="str">
        <f>IF(A744="","",IFERROR(INDEX('جدول الجرد'!$E$2:$E$31,MATCH(A744,'جدول الجرد'!$B$2:$B$31,0)),""))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الجرد'!$A$2:$A$31,MATCH(A745,'جدول الجرد'!$B$2:$B$31,0)),""))</f>
        <v/>
      </c>
      <c r="C745" s="5" t="str">
        <f>IF(A745="","",IFERROR(INDEX('جدول الجرد'!$E$2:$E$31,MATCH(A745,'جدول الجرد'!$B$2:$B$31,0)),""))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الجرد'!$A$2:$A$31,MATCH(A746,'جدول الجرد'!$B$2:$B$31,0)),""))</f>
        <v/>
      </c>
      <c r="C746" s="5" t="str">
        <f>IF(A746="","",IFERROR(INDEX('جدول الجرد'!$E$2:$E$31,MATCH(A746,'جدول الجرد'!$B$2:$B$31,0)),""))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الجرد'!$A$2:$A$31,MATCH(A747,'جدول الجرد'!$B$2:$B$31,0)),""))</f>
        <v/>
      </c>
      <c r="C747" s="5" t="str">
        <f>IF(A747="","",IFERROR(INDEX('جدول الجرد'!$E$2:$E$31,MATCH(A747,'جدول الجرد'!$B$2:$B$31,0)),""))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الجرد'!$A$2:$A$31,MATCH(A748,'جدول الجرد'!$B$2:$B$31,0)),""))</f>
        <v/>
      </c>
      <c r="C748" s="5" t="str">
        <f>IF(A748="","",IFERROR(INDEX('جدول الجرد'!$E$2:$E$31,MATCH(A748,'جدول الجرد'!$B$2:$B$31,0)),""))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الجرد'!$A$2:$A$31,MATCH(A749,'جدول الجرد'!$B$2:$B$31,0)),""))</f>
        <v/>
      </c>
      <c r="C749" s="5" t="str">
        <f>IF(A749="","",IFERROR(INDEX('جدول الجرد'!$E$2:$E$31,MATCH(A749,'جدول الجرد'!$B$2:$B$31,0)),""))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الجرد'!$A$2:$A$31,MATCH(A750,'جدول الجرد'!$B$2:$B$31,0)),""))</f>
        <v/>
      </c>
      <c r="C750" s="5" t="str">
        <f>IF(A750="","",IFERROR(INDEX('جدول الجرد'!$E$2:$E$31,MATCH(A750,'جدول الجرد'!$B$2:$B$31,0)),""))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الجرد'!$A$2:$A$31,MATCH(A751,'جدول الجرد'!$B$2:$B$31,0)),""))</f>
        <v/>
      </c>
      <c r="C751" s="5" t="str">
        <f>IF(A751="","",IFERROR(INDEX('جدول الجرد'!$E$2:$E$31,MATCH(A751,'جدول الجرد'!$B$2:$B$31,0)),""))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الجرد'!$A$2:$A$31,MATCH(A752,'جدول الجرد'!$B$2:$B$31,0)),""))</f>
        <v/>
      </c>
      <c r="C752" s="5" t="str">
        <f>IF(A752="","",IFERROR(INDEX('جدول الجرد'!$E$2:$E$31,MATCH(A752,'جدول الجرد'!$B$2:$B$31,0)),""))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الجرد'!$A$2:$A$31,MATCH(A753,'جدول الجرد'!$B$2:$B$31,0)),""))</f>
        <v/>
      </c>
      <c r="C753" s="5" t="str">
        <f>IF(A753="","",IFERROR(INDEX('جدول الجرد'!$E$2:$E$31,MATCH(A753,'جدول الجرد'!$B$2:$B$31,0)),""))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الجرد'!$A$2:$A$31,MATCH(A754,'جدول الجرد'!$B$2:$B$31,0)),""))</f>
        <v/>
      </c>
      <c r="C754" s="5" t="str">
        <f>IF(A754="","",IFERROR(INDEX('جدول الجرد'!$E$2:$E$31,MATCH(A754,'جدول الجرد'!$B$2:$B$31,0)),""))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الجرد'!$A$2:$A$31,MATCH(A755,'جدول الجرد'!$B$2:$B$31,0)),""))</f>
        <v/>
      </c>
      <c r="C755" s="5" t="str">
        <f>IF(A755="","",IFERROR(INDEX('جدول الجرد'!$E$2:$E$31,MATCH(A755,'جدول الجرد'!$B$2:$B$31,0)),""))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الجرد'!$A$2:$A$31,MATCH(A756,'جدول الجرد'!$B$2:$B$31,0)),""))</f>
        <v/>
      </c>
      <c r="C756" s="5" t="str">
        <f>IF(A756="","",IFERROR(INDEX('جدول الجرد'!$E$2:$E$31,MATCH(A756,'جدول الجرد'!$B$2:$B$31,0)),""))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الجرد'!$A$2:$A$31,MATCH(A757,'جدول الجرد'!$B$2:$B$31,0)),""))</f>
        <v/>
      </c>
      <c r="C757" s="5" t="str">
        <f>IF(A757="","",IFERROR(INDEX('جدول الجرد'!$E$2:$E$31,MATCH(A757,'جدول الجرد'!$B$2:$B$31,0)),""))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الجرد'!$A$2:$A$31,MATCH(A758,'جدول الجرد'!$B$2:$B$31,0)),""))</f>
        <v/>
      </c>
      <c r="C758" s="5" t="str">
        <f>IF(A758="","",IFERROR(INDEX('جدول الجرد'!$E$2:$E$31,MATCH(A758,'جدول الجرد'!$B$2:$B$31,0)),""))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الجرد'!$A$2:$A$31,MATCH(A759,'جدول الجرد'!$B$2:$B$31,0)),""))</f>
        <v/>
      </c>
      <c r="C759" s="5" t="str">
        <f>IF(A759="","",IFERROR(INDEX('جدول الجرد'!$E$2:$E$31,MATCH(A759,'جدول الجرد'!$B$2:$B$31,0)),""))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الجرد'!$A$2:$A$31,MATCH(A760,'جدول الجرد'!$B$2:$B$31,0)),""))</f>
        <v/>
      </c>
      <c r="C760" s="5" t="str">
        <f>IF(A760="","",IFERROR(INDEX('جدول الجرد'!$E$2:$E$31,MATCH(A760,'جدول الجرد'!$B$2:$B$31,0)),""))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الجرد'!$A$2:$A$31,MATCH(A761,'جدول الجرد'!$B$2:$B$31,0)),""))</f>
        <v/>
      </c>
      <c r="C761" s="5" t="str">
        <f>IF(A761="","",IFERROR(INDEX('جدول الجرد'!$E$2:$E$31,MATCH(A761,'جدول الجرد'!$B$2:$B$31,0)),""))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الجرد'!$A$2:$A$31,MATCH(A762,'جدول الجرد'!$B$2:$B$31,0)),""))</f>
        <v/>
      </c>
      <c r="C762" s="5" t="str">
        <f>IF(A762="","",IFERROR(INDEX('جدول الجرد'!$E$2:$E$31,MATCH(A762,'جدول الجرد'!$B$2:$B$31,0)),""))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الجرد'!$A$2:$A$31,MATCH(A763,'جدول الجرد'!$B$2:$B$31,0)),""))</f>
        <v/>
      </c>
      <c r="C763" s="5" t="str">
        <f>IF(A763="","",IFERROR(INDEX('جدول الجرد'!$E$2:$E$31,MATCH(A763,'جدول الجرد'!$B$2:$B$31,0)),""))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الجرد'!$A$2:$A$31,MATCH(A764,'جدول الجرد'!$B$2:$B$31,0)),""))</f>
        <v/>
      </c>
      <c r="C764" s="5" t="str">
        <f>IF(A764="","",IFERROR(INDEX('جدول الجرد'!$E$2:$E$31,MATCH(A764,'جدول الجرد'!$B$2:$B$31,0)),""))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الجرد'!$A$2:$A$31,MATCH(A765,'جدول الجرد'!$B$2:$B$31,0)),""))</f>
        <v/>
      </c>
      <c r="C765" s="5" t="str">
        <f>IF(A765="","",IFERROR(INDEX('جدول الجرد'!$E$2:$E$31,MATCH(A765,'جدول الجرد'!$B$2:$B$31,0)),""))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الجرد'!$A$2:$A$31,MATCH(A766,'جدول الجرد'!$B$2:$B$31,0)),""))</f>
        <v/>
      </c>
      <c r="C766" s="5" t="str">
        <f>IF(A766="","",IFERROR(INDEX('جدول الجرد'!$E$2:$E$31,MATCH(A766,'جدول الجرد'!$B$2:$B$31,0)),""))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الجرد'!$A$2:$A$31,MATCH(A767,'جدول الجرد'!$B$2:$B$31,0)),""))</f>
        <v/>
      </c>
      <c r="C767" s="5" t="str">
        <f>IF(A767="","",IFERROR(INDEX('جدول الجرد'!$E$2:$E$31,MATCH(A767,'جدول الجرد'!$B$2:$B$31,0)),""))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الجرد'!$A$2:$A$31,MATCH(A768,'جدول الجرد'!$B$2:$B$31,0)),""))</f>
        <v/>
      </c>
      <c r="C768" s="5" t="str">
        <f>IF(A768="","",IFERROR(INDEX('جدول الجرد'!$E$2:$E$31,MATCH(A768,'جدول الجرد'!$B$2:$B$31,0)),""))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الجرد'!$A$2:$A$31,MATCH(A769,'جدول الجرد'!$B$2:$B$31,0)),""))</f>
        <v/>
      </c>
      <c r="C769" s="5" t="str">
        <f>IF(A769="","",IFERROR(INDEX('جدول الجرد'!$E$2:$E$31,MATCH(A769,'جدول الجرد'!$B$2:$B$31,0)),""))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الجرد'!$A$2:$A$31,MATCH(A770,'جدول الجرد'!$B$2:$B$31,0)),""))</f>
        <v/>
      </c>
      <c r="C770" s="5" t="str">
        <f>IF(A770="","",IFERROR(INDEX('جدول الجرد'!$E$2:$E$31,MATCH(A770,'جدول الجرد'!$B$2:$B$31,0)),""))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الجرد'!$A$2:$A$31,MATCH(A771,'جدول الجرد'!$B$2:$B$31,0)),""))</f>
        <v/>
      </c>
      <c r="C771" s="5" t="str">
        <f>IF(A771="","",IFERROR(INDEX('جدول الجرد'!$E$2:$E$31,MATCH(A771,'جدول الجرد'!$B$2:$B$31,0)),""))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الجرد'!$A$2:$A$31,MATCH(A772,'جدول الجرد'!$B$2:$B$31,0)),""))</f>
        <v/>
      </c>
      <c r="C772" s="5" t="str">
        <f>IF(A772="","",IFERROR(INDEX('جدول الجرد'!$E$2:$E$31,MATCH(A772,'جدول الجرد'!$B$2:$B$31,0)),""))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الجرد'!$A$2:$A$31,MATCH(A773,'جدول الجرد'!$B$2:$B$31,0)),""))</f>
        <v/>
      </c>
      <c r="C773" s="5" t="str">
        <f>IF(A773="","",IFERROR(INDEX('جدول الجرد'!$E$2:$E$31,MATCH(A773,'جدول الجرد'!$B$2:$B$31,0)),""))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الجرد'!$A$2:$A$31,MATCH(A774,'جدول الجرد'!$B$2:$B$31,0)),""))</f>
        <v/>
      </c>
      <c r="C774" s="5" t="str">
        <f>IF(A774="","",IFERROR(INDEX('جدول الجرد'!$E$2:$E$31,MATCH(A774,'جدول الجرد'!$B$2:$B$31,0)),""))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الجرد'!$A$2:$A$31,MATCH(A775,'جدول الجرد'!$B$2:$B$31,0)),""))</f>
        <v/>
      </c>
      <c r="C775" s="5" t="str">
        <f>IF(A775="","",IFERROR(INDEX('جدول الجرد'!$E$2:$E$31,MATCH(A775,'جدول الجرد'!$B$2:$B$31,0)),""))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الجرد'!$A$2:$A$31,MATCH(A776,'جدول الجرد'!$B$2:$B$31,0)),""))</f>
        <v/>
      </c>
      <c r="C776" s="5" t="str">
        <f>IF(A776="","",IFERROR(INDEX('جدول الجرد'!$E$2:$E$31,MATCH(A776,'جدول الجرد'!$B$2:$B$31,0)),""))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الجرد'!$A$2:$A$31,MATCH(A777,'جدول الجرد'!$B$2:$B$31,0)),""))</f>
        <v/>
      </c>
      <c r="C777" s="5" t="str">
        <f>IF(A777="","",IFERROR(INDEX('جدول الجرد'!$E$2:$E$31,MATCH(A777,'جدول الجرد'!$B$2:$B$31,0)),""))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الجرد'!$A$2:$A$31,MATCH(A778,'جدول الجرد'!$B$2:$B$31,0)),""))</f>
        <v/>
      </c>
      <c r="C778" s="5" t="str">
        <f>IF(A778="","",IFERROR(INDEX('جدول الجرد'!$E$2:$E$31,MATCH(A778,'جدول الجرد'!$B$2:$B$31,0)),""))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الجرد'!$A$2:$A$31,MATCH(A779,'جدول الجرد'!$B$2:$B$31,0)),""))</f>
        <v/>
      </c>
      <c r="C779" s="5" t="str">
        <f>IF(A779="","",IFERROR(INDEX('جدول الجرد'!$E$2:$E$31,MATCH(A779,'جدول الجرد'!$B$2:$B$31,0)),""))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الجرد'!$A$2:$A$31,MATCH(A780,'جدول الجرد'!$B$2:$B$31,0)),""))</f>
        <v/>
      </c>
      <c r="C780" s="5" t="str">
        <f>IF(A780="","",IFERROR(INDEX('جدول الجرد'!$E$2:$E$31,MATCH(A780,'جدول الجرد'!$B$2:$B$31,0)),""))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الجرد'!$A$2:$A$31,MATCH(A781,'جدول الجرد'!$B$2:$B$31,0)),""))</f>
        <v/>
      </c>
      <c r="C781" s="5" t="str">
        <f>IF(A781="","",IFERROR(INDEX('جدول الجرد'!$E$2:$E$31,MATCH(A781,'جدول الجرد'!$B$2:$B$31,0)),""))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الجرد'!$A$2:$A$31,MATCH(A782,'جدول الجرد'!$B$2:$B$31,0)),""))</f>
        <v/>
      </c>
      <c r="C782" s="5" t="str">
        <f>IF(A782="","",IFERROR(INDEX('جدول الجرد'!$E$2:$E$31,MATCH(A782,'جدول الجرد'!$B$2:$B$31,0)),""))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الجرد'!$A$2:$A$31,MATCH(A783,'جدول الجرد'!$B$2:$B$31,0)),""))</f>
        <v/>
      </c>
      <c r="C783" s="5" t="str">
        <f>IF(A783="","",IFERROR(INDEX('جدول الجرد'!$E$2:$E$31,MATCH(A783,'جدول الجرد'!$B$2:$B$31,0)),""))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الجرد'!$A$2:$A$31,MATCH(A784,'جدول الجرد'!$B$2:$B$31,0)),""))</f>
        <v/>
      </c>
      <c r="C784" s="5" t="str">
        <f>IF(A784="","",IFERROR(INDEX('جدول الجرد'!$E$2:$E$31,MATCH(A784,'جدول الجرد'!$B$2:$B$31,0)),""))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الجرد'!$A$2:$A$31,MATCH(A785,'جدول الجرد'!$B$2:$B$31,0)),""))</f>
        <v/>
      </c>
      <c r="C785" s="5" t="str">
        <f>IF(A785="","",IFERROR(INDEX('جدول الجرد'!$E$2:$E$31,MATCH(A785,'جدول الجرد'!$B$2:$B$31,0)),""))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الجرد'!$A$2:$A$31,MATCH(A786,'جدول الجرد'!$B$2:$B$31,0)),""))</f>
        <v/>
      </c>
      <c r="C786" s="5" t="str">
        <f>IF(A786="","",IFERROR(INDEX('جدول الجرد'!$E$2:$E$31,MATCH(A786,'جدول الجرد'!$B$2:$B$31,0)),""))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الجرد'!$A$2:$A$31,MATCH(A787,'جدول الجرد'!$B$2:$B$31,0)),""))</f>
        <v/>
      </c>
      <c r="C787" s="5" t="str">
        <f>IF(A787="","",IFERROR(INDEX('جدول الجرد'!$E$2:$E$31,MATCH(A787,'جدول الجرد'!$B$2:$B$31,0)),""))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الجرد'!$A$2:$A$31,MATCH(A788,'جدول الجرد'!$B$2:$B$31,0)),""))</f>
        <v/>
      </c>
      <c r="C788" s="5" t="str">
        <f>IF(A788="","",IFERROR(INDEX('جدول الجرد'!$E$2:$E$31,MATCH(A788,'جدول الجرد'!$B$2:$B$31,0)),""))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الجرد'!$A$2:$A$31,MATCH(A789,'جدول الجرد'!$B$2:$B$31,0)),""))</f>
        <v/>
      </c>
      <c r="C789" s="5" t="str">
        <f>IF(A789="","",IFERROR(INDEX('جدول الجرد'!$E$2:$E$31,MATCH(A789,'جدول الجرد'!$B$2:$B$31,0)),""))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الجرد'!$A$2:$A$31,MATCH(A790,'جدول الجرد'!$B$2:$B$31,0)),""))</f>
        <v/>
      </c>
      <c r="C790" s="5" t="str">
        <f>IF(A790="","",IFERROR(INDEX('جدول الجرد'!$E$2:$E$31,MATCH(A790,'جدول الجرد'!$B$2:$B$31,0)),""))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الجرد'!$A$2:$A$31,MATCH(A791,'جدول الجرد'!$B$2:$B$31,0)),""))</f>
        <v/>
      </c>
      <c r="C791" s="5" t="str">
        <f>IF(A791="","",IFERROR(INDEX('جدول الجرد'!$E$2:$E$31,MATCH(A791,'جدول الجرد'!$B$2:$B$31,0)),""))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الجرد'!$A$2:$A$31,MATCH(A792,'جدول الجرد'!$B$2:$B$31,0)),""))</f>
        <v/>
      </c>
      <c r="C792" s="5" t="str">
        <f>IF(A792="","",IFERROR(INDEX('جدول الجرد'!$E$2:$E$31,MATCH(A792,'جدول الجرد'!$B$2:$B$31,0)),""))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الجرد'!$A$2:$A$31,MATCH(A793,'جدول الجرد'!$B$2:$B$31,0)),""))</f>
        <v/>
      </c>
      <c r="C793" s="5" t="str">
        <f>IF(A793="","",IFERROR(INDEX('جدول الجرد'!$E$2:$E$31,MATCH(A793,'جدول الجرد'!$B$2:$B$31,0)),""))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الجرد'!$A$2:$A$31,MATCH(A794,'جدول الجرد'!$B$2:$B$31,0)),""))</f>
        <v/>
      </c>
      <c r="C794" s="5" t="str">
        <f>IF(A794="","",IFERROR(INDEX('جدول الجرد'!$E$2:$E$31,MATCH(A794,'جدول الجرد'!$B$2:$B$31,0)),""))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الجرد'!$A$2:$A$31,MATCH(A795,'جدول الجرد'!$B$2:$B$31,0)),""))</f>
        <v/>
      </c>
      <c r="C795" s="5" t="str">
        <f>IF(A795="","",IFERROR(INDEX('جدول الجرد'!$E$2:$E$31,MATCH(A795,'جدول الجرد'!$B$2:$B$31,0)),""))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الجرد'!$A$2:$A$31,MATCH(A796,'جدول الجرد'!$B$2:$B$31,0)),""))</f>
        <v/>
      </c>
      <c r="C796" s="5" t="str">
        <f>IF(A796="","",IFERROR(INDEX('جدول الجرد'!$E$2:$E$31,MATCH(A796,'جدول الجرد'!$B$2:$B$31,0)),""))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الجرد'!$A$2:$A$31,MATCH(A797,'جدول الجرد'!$B$2:$B$31,0)),""))</f>
        <v/>
      </c>
      <c r="C797" s="5" t="str">
        <f>IF(A797="","",IFERROR(INDEX('جدول الجرد'!$E$2:$E$31,MATCH(A797,'جدول الجرد'!$B$2:$B$31,0)),""))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الجرد'!$A$2:$A$31,MATCH(A798,'جدول الجرد'!$B$2:$B$31,0)),""))</f>
        <v/>
      </c>
      <c r="C798" s="5" t="str">
        <f>IF(A798="","",IFERROR(INDEX('جدول الجرد'!$E$2:$E$31,MATCH(A798,'جدول الجرد'!$B$2:$B$31,0)),""))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الجرد'!$A$2:$A$31,MATCH(A799,'جدول الجرد'!$B$2:$B$31,0)),""))</f>
        <v/>
      </c>
      <c r="C799" s="5" t="str">
        <f>IF(A799="","",IFERROR(INDEX('جدول الجرد'!$E$2:$E$31,MATCH(A799,'جدول الجرد'!$B$2:$B$31,0)),""))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الجرد'!$A$2:$A$31,MATCH(A800,'جدول الجرد'!$B$2:$B$31,0)),""))</f>
        <v/>
      </c>
      <c r="C800" s="5" t="str">
        <f>IF(A800="","",IFERROR(INDEX('جدول الجرد'!$E$2:$E$31,MATCH(A800,'جدول الجرد'!$B$2:$B$31,0)),""))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الجرد'!$A$2:$A$31,MATCH(A801,'جدول الجرد'!$B$2:$B$31,0)),""))</f>
        <v/>
      </c>
      <c r="C801" s="5" t="str">
        <f>IF(A801="","",IFERROR(INDEX('جدول الجرد'!$E$2:$E$31,MATCH(A801,'جدول الجرد'!$B$2:$B$31,0)),""))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الجرد'!$A$2:$A$31,MATCH(A802,'جدول الجرد'!$B$2:$B$31,0)),""))</f>
        <v/>
      </c>
      <c r="C802" s="5" t="str">
        <f>IF(A802="","",IFERROR(INDEX('جدول الجرد'!$E$2:$E$31,MATCH(A802,'جدول الجرد'!$B$2:$B$31,0)),""))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الجرد'!$A$2:$A$31,MATCH(A803,'جدول الجرد'!$B$2:$B$31,0)),""))</f>
        <v/>
      </c>
      <c r="C803" s="5" t="str">
        <f>IF(A803="","",IFERROR(INDEX('جدول الجرد'!$E$2:$E$31,MATCH(A803,'جدول الجرد'!$B$2:$B$31,0)),""))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الجرد'!$A$2:$A$31,MATCH(A804,'جدول الجرد'!$B$2:$B$31,0)),""))</f>
        <v/>
      </c>
      <c r="C804" s="5" t="str">
        <f>IF(A804="","",IFERROR(INDEX('جدول الجرد'!$E$2:$E$31,MATCH(A804,'جدول الجرد'!$B$2:$B$31,0)),""))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الجرد'!$A$2:$A$31,MATCH(A805,'جدول الجرد'!$B$2:$B$31,0)),""))</f>
        <v/>
      </c>
      <c r="C805" s="5" t="str">
        <f>IF(A805="","",IFERROR(INDEX('جدول الجرد'!$E$2:$E$31,MATCH(A805,'جدول الجرد'!$B$2:$B$31,0)),""))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الجرد'!$A$2:$A$31,MATCH(A806,'جدول الجرد'!$B$2:$B$31,0)),""))</f>
        <v/>
      </c>
      <c r="C806" s="5" t="str">
        <f>IF(A806="","",IFERROR(INDEX('جدول الجرد'!$E$2:$E$31,MATCH(A806,'جدول الجرد'!$B$2:$B$31,0)),""))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الجرد'!$A$2:$A$31,MATCH(A807,'جدول الجرد'!$B$2:$B$31,0)),""))</f>
        <v/>
      </c>
      <c r="C807" s="5" t="str">
        <f>IF(A807="","",IFERROR(INDEX('جدول الجرد'!$E$2:$E$31,MATCH(A807,'جدول الجرد'!$B$2:$B$31,0)),""))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الجرد'!$A$2:$A$31,MATCH(A808,'جدول الجرد'!$B$2:$B$31,0)),""))</f>
        <v/>
      </c>
      <c r="C808" s="5" t="str">
        <f>IF(A808="","",IFERROR(INDEX('جدول الجرد'!$E$2:$E$31,MATCH(A808,'جدول الجرد'!$B$2:$B$31,0)),""))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الجرد'!$A$2:$A$31,MATCH(A809,'جدول الجرد'!$B$2:$B$31,0)),""))</f>
        <v/>
      </c>
      <c r="C809" s="5" t="str">
        <f>IF(A809="","",IFERROR(INDEX('جدول الجرد'!$E$2:$E$31,MATCH(A809,'جدول الجرد'!$B$2:$B$31,0)),""))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الجرد'!$A$2:$A$31,MATCH(A810,'جدول الجرد'!$B$2:$B$31,0)),""))</f>
        <v/>
      </c>
      <c r="C810" s="5" t="str">
        <f>IF(A810="","",IFERROR(INDEX('جدول الجرد'!$E$2:$E$31,MATCH(A810,'جدول الجرد'!$B$2:$B$31,0)),""))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الجرد'!$A$2:$A$31,MATCH(A811,'جدول الجرد'!$B$2:$B$31,0)),""))</f>
        <v/>
      </c>
      <c r="C811" s="5" t="str">
        <f>IF(A811="","",IFERROR(INDEX('جدول الجرد'!$E$2:$E$31,MATCH(A811,'جدول الجرد'!$B$2:$B$31,0)),""))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الجرد'!$A$2:$A$31,MATCH(A812,'جدول الجرد'!$B$2:$B$31,0)),""))</f>
        <v/>
      </c>
      <c r="C812" s="5" t="str">
        <f>IF(A812="","",IFERROR(INDEX('جدول الجرد'!$E$2:$E$31,MATCH(A812,'جدول الجرد'!$B$2:$B$31,0)),""))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الجرد'!$A$2:$A$31,MATCH(A813,'جدول الجرد'!$B$2:$B$31,0)),""))</f>
        <v/>
      </c>
      <c r="C813" s="5" t="str">
        <f>IF(A813="","",IFERROR(INDEX('جدول الجرد'!$E$2:$E$31,MATCH(A813,'جدول الجرد'!$B$2:$B$31,0)),""))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الجرد'!$A$2:$A$31,MATCH(A814,'جدول الجرد'!$B$2:$B$31,0)),""))</f>
        <v/>
      </c>
      <c r="C814" s="5" t="str">
        <f>IF(A814="","",IFERROR(INDEX('جدول الجرد'!$E$2:$E$31,MATCH(A814,'جدول الجرد'!$B$2:$B$31,0)),""))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الجرد'!$A$2:$A$31,MATCH(A815,'جدول الجرد'!$B$2:$B$31,0)),""))</f>
        <v/>
      </c>
      <c r="C815" s="5" t="str">
        <f>IF(A815="","",IFERROR(INDEX('جدول الجرد'!$E$2:$E$31,MATCH(A815,'جدول الجرد'!$B$2:$B$31,0)),""))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الجرد'!$A$2:$A$31,MATCH(A816,'جدول الجرد'!$B$2:$B$31,0)),""))</f>
        <v/>
      </c>
      <c r="C816" s="5" t="str">
        <f>IF(A816="","",IFERROR(INDEX('جدول الجرد'!$E$2:$E$31,MATCH(A816,'جدول الجرد'!$B$2:$B$31,0)),""))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الجرد'!$A$2:$A$31,MATCH(A817,'جدول الجرد'!$B$2:$B$31,0)),""))</f>
        <v/>
      </c>
      <c r="C817" s="5" t="str">
        <f>IF(A817="","",IFERROR(INDEX('جدول الجرد'!$E$2:$E$31,MATCH(A817,'جدول الجرد'!$B$2:$B$31,0)),""))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الجرد'!$A$2:$A$31,MATCH(A818,'جدول الجرد'!$B$2:$B$31,0)),""))</f>
        <v/>
      </c>
      <c r="C818" s="5" t="str">
        <f>IF(A818="","",IFERROR(INDEX('جدول الجرد'!$E$2:$E$31,MATCH(A818,'جدول الجرد'!$B$2:$B$31,0)),""))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الجرد'!$A$2:$A$31,MATCH(A819,'جدول الجرد'!$B$2:$B$31,0)),""))</f>
        <v/>
      </c>
      <c r="C819" s="5" t="str">
        <f>IF(A819="","",IFERROR(INDEX('جدول الجرد'!$E$2:$E$31,MATCH(A819,'جدول الجرد'!$B$2:$B$31,0)),""))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الجرد'!$A$2:$A$31,MATCH(A820,'جدول الجرد'!$B$2:$B$31,0)),""))</f>
        <v/>
      </c>
      <c r="C820" s="5" t="str">
        <f>IF(A820="","",IFERROR(INDEX('جدول الجرد'!$E$2:$E$31,MATCH(A820,'جدول الجرد'!$B$2:$B$31,0)),""))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الجرد'!$A$2:$A$31,MATCH(A821,'جدول الجرد'!$B$2:$B$31,0)),""))</f>
        <v/>
      </c>
      <c r="C821" s="5" t="str">
        <f>IF(A821="","",IFERROR(INDEX('جدول الجرد'!$E$2:$E$31,MATCH(A821,'جدول الجرد'!$B$2:$B$31,0)),""))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الجرد'!$A$2:$A$31,MATCH(A822,'جدول الجرد'!$B$2:$B$31,0)),""))</f>
        <v/>
      </c>
      <c r="C822" s="5" t="str">
        <f>IF(A822="","",IFERROR(INDEX('جدول الجرد'!$E$2:$E$31,MATCH(A822,'جدول الجرد'!$B$2:$B$31,0)),""))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الجرد'!$A$2:$A$31,MATCH(A823,'جدول الجرد'!$B$2:$B$31,0)),""))</f>
        <v/>
      </c>
      <c r="C823" s="5" t="str">
        <f>IF(A823="","",IFERROR(INDEX('جدول الجرد'!$E$2:$E$31,MATCH(A823,'جدول الجرد'!$B$2:$B$31,0)),""))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الجرد'!$A$2:$A$31,MATCH(A824,'جدول الجرد'!$B$2:$B$31,0)),""))</f>
        <v/>
      </c>
      <c r="C824" s="5" t="str">
        <f>IF(A824="","",IFERROR(INDEX('جدول الجرد'!$E$2:$E$31,MATCH(A824,'جدول الجرد'!$B$2:$B$31,0)),""))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الجرد'!$A$2:$A$31,MATCH(A825,'جدول الجرد'!$B$2:$B$31,0)),""))</f>
        <v/>
      </c>
      <c r="C825" s="5" t="str">
        <f>IF(A825="","",IFERROR(INDEX('جدول الجرد'!$E$2:$E$31,MATCH(A825,'جدول الجرد'!$B$2:$B$31,0)),""))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الجرد'!$A$2:$A$31,MATCH(A826,'جدول الجرد'!$B$2:$B$31,0)),""))</f>
        <v/>
      </c>
      <c r="C826" s="5" t="str">
        <f>IF(A826="","",IFERROR(INDEX('جدول الجرد'!$E$2:$E$31,MATCH(A826,'جدول الجرد'!$B$2:$B$31,0)),""))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الجرد'!$A$2:$A$31,MATCH(A827,'جدول الجرد'!$B$2:$B$31,0)),""))</f>
        <v/>
      </c>
      <c r="C827" s="5" t="str">
        <f>IF(A827="","",IFERROR(INDEX('جدول الجرد'!$E$2:$E$31,MATCH(A827,'جدول الجرد'!$B$2:$B$31,0)),""))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الجرد'!$A$2:$A$31,MATCH(A828,'جدول الجرد'!$B$2:$B$31,0)),""))</f>
        <v/>
      </c>
      <c r="C828" s="5" t="str">
        <f>IF(A828="","",IFERROR(INDEX('جدول الجرد'!$E$2:$E$31,MATCH(A828,'جدول الجرد'!$B$2:$B$31,0)),""))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الجرد'!$A$2:$A$31,MATCH(A829,'جدول الجرد'!$B$2:$B$31,0)),""))</f>
        <v/>
      </c>
      <c r="C829" s="5" t="str">
        <f>IF(A829="","",IFERROR(INDEX('جدول الجرد'!$E$2:$E$31,MATCH(A829,'جدول الجرد'!$B$2:$B$31,0)),""))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الجرد'!$A$2:$A$31,MATCH(A830,'جدول الجرد'!$B$2:$B$31,0)),""))</f>
        <v/>
      </c>
      <c r="C830" s="5" t="str">
        <f>IF(A830="","",IFERROR(INDEX('جدول الجرد'!$E$2:$E$31,MATCH(A830,'جدول الجرد'!$B$2:$B$31,0)),""))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الجرد'!$A$2:$A$31,MATCH(A831,'جدول الجرد'!$B$2:$B$31,0)),""))</f>
        <v/>
      </c>
      <c r="C831" s="5" t="str">
        <f>IF(A831="","",IFERROR(INDEX('جدول الجرد'!$E$2:$E$31,MATCH(A831,'جدول الجرد'!$B$2:$B$31,0)),""))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الجرد'!$A$2:$A$31,MATCH(A832,'جدول الجرد'!$B$2:$B$31,0)),""))</f>
        <v/>
      </c>
      <c r="C832" s="5" t="str">
        <f>IF(A832="","",IFERROR(INDEX('جدول الجرد'!$E$2:$E$31,MATCH(A832,'جدول الجرد'!$B$2:$B$31,0)),""))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الجرد'!$A$2:$A$31,MATCH(A833,'جدول الجرد'!$B$2:$B$31,0)),""))</f>
        <v/>
      </c>
      <c r="C833" s="5" t="str">
        <f>IF(A833="","",IFERROR(INDEX('جدول الجرد'!$E$2:$E$31,MATCH(A833,'جدول الجرد'!$B$2:$B$31,0)),""))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الجرد'!$A$2:$A$31,MATCH(A834,'جدول الجرد'!$B$2:$B$31,0)),""))</f>
        <v/>
      </c>
      <c r="C834" s="5" t="str">
        <f>IF(A834="","",IFERROR(INDEX('جدول الجرد'!$E$2:$E$31,MATCH(A834,'جدول الجرد'!$B$2:$B$31,0)),""))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الجرد'!$A$2:$A$31,MATCH(A835,'جدول الجرد'!$B$2:$B$31,0)),""))</f>
        <v/>
      </c>
      <c r="C835" s="5" t="str">
        <f>IF(A835="","",IFERROR(INDEX('جدول الجرد'!$E$2:$E$31,MATCH(A835,'جدول الجرد'!$B$2:$B$31,0)),""))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الجرد'!$A$2:$A$31,MATCH(A836,'جدول الجرد'!$B$2:$B$31,0)),""))</f>
        <v/>
      </c>
      <c r="C836" s="5" t="str">
        <f>IF(A836="","",IFERROR(INDEX('جدول الجرد'!$E$2:$E$31,MATCH(A836,'جدول الجرد'!$B$2:$B$31,0)),""))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الجرد'!$A$2:$A$31,MATCH(A837,'جدول الجرد'!$B$2:$B$31,0)),""))</f>
        <v/>
      </c>
      <c r="C837" s="5" t="str">
        <f>IF(A837="","",IFERROR(INDEX('جدول الجرد'!$E$2:$E$31,MATCH(A837,'جدول الجرد'!$B$2:$B$31,0)),""))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الجرد'!$A$2:$A$31,MATCH(A838,'جدول الجرد'!$B$2:$B$31,0)),""))</f>
        <v/>
      </c>
      <c r="C838" s="5" t="str">
        <f>IF(A838="","",IFERROR(INDEX('جدول الجرد'!$E$2:$E$31,MATCH(A838,'جدول الجرد'!$B$2:$B$31,0)),""))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الجرد'!$A$2:$A$31,MATCH(A839,'جدول الجرد'!$B$2:$B$31,0)),""))</f>
        <v/>
      </c>
      <c r="C839" s="5" t="str">
        <f>IF(A839="","",IFERROR(INDEX('جدول الجرد'!$E$2:$E$31,MATCH(A839,'جدول الجرد'!$B$2:$B$31,0)),""))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الجرد'!$A$2:$A$31,MATCH(A840,'جدول الجرد'!$B$2:$B$31,0)),""))</f>
        <v/>
      </c>
      <c r="C840" s="5" t="str">
        <f>IF(A840="","",IFERROR(INDEX('جدول الجرد'!$E$2:$E$31,MATCH(A840,'جدول الجرد'!$B$2:$B$31,0)),""))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الجرد'!$A$2:$A$31,MATCH(A841,'جدول الجرد'!$B$2:$B$31,0)),""))</f>
        <v/>
      </c>
      <c r="C841" s="5" t="str">
        <f>IF(A841="","",IFERROR(INDEX('جدول الجرد'!$E$2:$E$31,MATCH(A841,'جدول الجرد'!$B$2:$B$31,0)),""))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الجرد'!$A$2:$A$31,MATCH(A842,'جدول الجرد'!$B$2:$B$31,0)),""))</f>
        <v/>
      </c>
      <c r="C842" s="5" t="str">
        <f>IF(A842="","",IFERROR(INDEX('جدول الجرد'!$E$2:$E$31,MATCH(A842,'جدول الجرد'!$B$2:$B$31,0)),""))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الجرد'!$A$2:$A$31,MATCH(A843,'جدول الجرد'!$B$2:$B$31,0)),""))</f>
        <v/>
      </c>
      <c r="C843" s="5" t="str">
        <f>IF(A843="","",IFERROR(INDEX('جدول الجرد'!$E$2:$E$31,MATCH(A843,'جدول الجرد'!$B$2:$B$31,0)),""))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الجرد'!$A$2:$A$31,MATCH(A844,'جدول الجرد'!$B$2:$B$31,0)),""))</f>
        <v/>
      </c>
      <c r="C844" s="5" t="str">
        <f>IF(A844="","",IFERROR(INDEX('جدول الجرد'!$E$2:$E$31,MATCH(A844,'جدول الجرد'!$B$2:$B$31,0)),""))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الجرد'!$A$2:$A$31,MATCH(A845,'جدول الجرد'!$B$2:$B$31,0)),""))</f>
        <v/>
      </c>
      <c r="C845" s="5" t="str">
        <f>IF(A845="","",IFERROR(INDEX('جدول الجرد'!$E$2:$E$31,MATCH(A845,'جدول الجرد'!$B$2:$B$31,0)),""))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الجرد'!$A$2:$A$31,MATCH(A846,'جدول الجرد'!$B$2:$B$31,0)),""))</f>
        <v/>
      </c>
      <c r="C846" s="5" t="str">
        <f>IF(A846="","",IFERROR(INDEX('جدول الجرد'!$E$2:$E$31,MATCH(A846,'جدول الجرد'!$B$2:$B$31,0)),""))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الجرد'!$A$2:$A$31,MATCH(A847,'جدول الجرد'!$B$2:$B$31,0)),""))</f>
        <v/>
      </c>
      <c r="C847" s="5" t="str">
        <f>IF(A847="","",IFERROR(INDEX('جدول الجرد'!$E$2:$E$31,MATCH(A847,'جدول الجرد'!$B$2:$B$31,0)),""))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الجرد'!$A$2:$A$31,MATCH(A848,'جدول الجرد'!$B$2:$B$31,0)),""))</f>
        <v/>
      </c>
      <c r="C848" s="5" t="str">
        <f>IF(A848="","",IFERROR(INDEX('جدول الجرد'!$E$2:$E$31,MATCH(A848,'جدول الجرد'!$B$2:$B$31,0)),""))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الجرد'!$A$2:$A$31,MATCH(A849,'جدول الجرد'!$B$2:$B$31,0)),""))</f>
        <v/>
      </c>
      <c r="C849" s="5" t="str">
        <f>IF(A849="","",IFERROR(INDEX('جدول الجرد'!$E$2:$E$31,MATCH(A849,'جدول الجرد'!$B$2:$B$31,0)),""))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الجرد'!$A$2:$A$31,MATCH(A850,'جدول الجرد'!$B$2:$B$31,0)),""))</f>
        <v/>
      </c>
      <c r="C850" s="5" t="str">
        <f>IF(A850="","",IFERROR(INDEX('جدول الجرد'!$E$2:$E$31,MATCH(A850,'جدول الجرد'!$B$2:$B$31,0)),""))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الجرد'!$A$2:$A$31,MATCH(A851,'جدول الجرد'!$B$2:$B$31,0)),""))</f>
        <v/>
      </c>
      <c r="C851" s="5" t="str">
        <f>IF(A851="","",IFERROR(INDEX('جدول الجرد'!$E$2:$E$31,MATCH(A851,'جدول الجرد'!$B$2:$B$31,0)),""))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الجرد'!$A$2:$A$31,MATCH(A852,'جدول الجرد'!$B$2:$B$31,0)),""))</f>
        <v/>
      </c>
      <c r="C852" s="5" t="str">
        <f>IF(A852="","",IFERROR(INDEX('جدول الجرد'!$E$2:$E$31,MATCH(A852,'جدول الجرد'!$B$2:$B$31,0)),""))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الجرد'!$A$2:$A$31,MATCH(A853,'جدول الجرد'!$B$2:$B$31,0)),""))</f>
        <v/>
      </c>
      <c r="C853" s="5" t="str">
        <f>IF(A853="","",IFERROR(INDEX('جدول الجرد'!$E$2:$E$31,MATCH(A853,'جدول الجرد'!$B$2:$B$31,0)),""))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الجرد'!$A$2:$A$31,MATCH(A854,'جدول الجرد'!$B$2:$B$31,0)),""))</f>
        <v/>
      </c>
      <c r="C854" s="5" t="str">
        <f>IF(A854="","",IFERROR(INDEX('جدول الجرد'!$E$2:$E$31,MATCH(A854,'جدول الجرد'!$B$2:$B$31,0)),""))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الجرد'!$A$2:$A$31,MATCH(A855,'جدول الجرد'!$B$2:$B$31,0)),""))</f>
        <v/>
      </c>
      <c r="C855" s="5" t="str">
        <f>IF(A855="","",IFERROR(INDEX('جدول الجرد'!$E$2:$E$31,MATCH(A855,'جدول الجرد'!$B$2:$B$31,0)),""))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الجرد'!$A$2:$A$31,MATCH(A856,'جدول الجرد'!$B$2:$B$31,0)),""))</f>
        <v/>
      </c>
      <c r="C856" s="5" t="str">
        <f>IF(A856="","",IFERROR(INDEX('جدول الجرد'!$E$2:$E$31,MATCH(A856,'جدول الجرد'!$B$2:$B$31,0)),""))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الجرد'!$A$2:$A$31,MATCH(A857,'جدول الجرد'!$B$2:$B$31,0)),""))</f>
        <v/>
      </c>
      <c r="C857" s="5" t="str">
        <f>IF(A857="","",IFERROR(INDEX('جدول الجرد'!$E$2:$E$31,MATCH(A857,'جدول الجرد'!$B$2:$B$31,0)),""))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الجرد'!$A$2:$A$31,MATCH(A858,'جدول الجرد'!$B$2:$B$31,0)),""))</f>
        <v/>
      </c>
      <c r="C858" s="5" t="str">
        <f>IF(A858="","",IFERROR(INDEX('جدول الجرد'!$E$2:$E$31,MATCH(A858,'جدول الجرد'!$B$2:$B$31,0)),""))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الجرد'!$A$2:$A$31,MATCH(A859,'جدول الجرد'!$B$2:$B$31,0)),""))</f>
        <v/>
      </c>
      <c r="C859" s="5" t="str">
        <f>IF(A859="","",IFERROR(INDEX('جدول الجرد'!$E$2:$E$31,MATCH(A859,'جدول الجرد'!$B$2:$B$31,0)),""))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الجرد'!$A$2:$A$31,MATCH(A860,'جدول الجرد'!$B$2:$B$31,0)),""))</f>
        <v/>
      </c>
      <c r="C860" s="5" t="str">
        <f>IF(A860="","",IFERROR(INDEX('جدول الجرد'!$E$2:$E$31,MATCH(A860,'جدول الجرد'!$B$2:$B$31,0)),""))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الجرد'!$A$2:$A$31,MATCH(A861,'جدول الجرد'!$B$2:$B$31,0)),""))</f>
        <v/>
      </c>
      <c r="C861" s="5" t="str">
        <f>IF(A861="","",IFERROR(INDEX('جدول الجرد'!$E$2:$E$31,MATCH(A861,'جدول الجرد'!$B$2:$B$31,0)),""))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الجرد'!$A$2:$A$31,MATCH(A862,'جدول الجرد'!$B$2:$B$31,0)),""))</f>
        <v/>
      </c>
      <c r="C862" s="5" t="str">
        <f>IF(A862="","",IFERROR(INDEX('جدول الجرد'!$E$2:$E$31,MATCH(A862,'جدول الجرد'!$B$2:$B$31,0)),""))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الجرد'!$A$2:$A$31,MATCH(A863,'جدول الجرد'!$B$2:$B$31,0)),""))</f>
        <v/>
      </c>
      <c r="C863" s="5" t="str">
        <f>IF(A863="","",IFERROR(INDEX('جدول الجرد'!$E$2:$E$31,MATCH(A863,'جدول الجرد'!$B$2:$B$31,0)),""))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الجرد'!$A$2:$A$31,MATCH(A864,'جدول الجرد'!$B$2:$B$31,0)),""))</f>
        <v/>
      </c>
      <c r="C864" s="5" t="str">
        <f>IF(A864="","",IFERROR(INDEX('جدول الجرد'!$E$2:$E$31,MATCH(A864,'جدول الجرد'!$B$2:$B$31,0)),""))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الجرد'!$A$2:$A$31,MATCH(A865,'جدول الجرد'!$B$2:$B$31,0)),""))</f>
        <v/>
      </c>
      <c r="C865" s="5" t="str">
        <f>IF(A865="","",IFERROR(INDEX('جدول الجرد'!$E$2:$E$31,MATCH(A865,'جدول الجرد'!$B$2:$B$31,0)),""))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الجرد'!$A$2:$A$31,MATCH(A866,'جدول الجرد'!$B$2:$B$31,0)),""))</f>
        <v/>
      </c>
      <c r="C866" s="5" t="str">
        <f>IF(A866="","",IFERROR(INDEX('جدول الجرد'!$E$2:$E$31,MATCH(A866,'جدول الجرد'!$B$2:$B$31,0)),""))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الجرد'!$A$2:$A$31,MATCH(A867,'جدول الجرد'!$B$2:$B$31,0)),""))</f>
        <v/>
      </c>
      <c r="C867" s="5" t="str">
        <f>IF(A867="","",IFERROR(INDEX('جدول الجرد'!$E$2:$E$31,MATCH(A867,'جدول الجرد'!$B$2:$B$31,0)),""))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الجرد'!$A$2:$A$31,MATCH(A868,'جدول الجرد'!$B$2:$B$31,0)),""))</f>
        <v/>
      </c>
      <c r="C868" s="5" t="str">
        <f>IF(A868="","",IFERROR(INDEX('جدول الجرد'!$E$2:$E$31,MATCH(A868,'جدول الجرد'!$B$2:$B$31,0)),""))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الجرد'!$A$2:$A$31,MATCH(A869,'جدول الجرد'!$B$2:$B$31,0)),""))</f>
        <v/>
      </c>
      <c r="C869" s="5" t="str">
        <f>IF(A869="","",IFERROR(INDEX('جدول الجرد'!$E$2:$E$31,MATCH(A869,'جدول الجرد'!$B$2:$B$31,0)),""))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الجرد'!$A$2:$A$31,MATCH(A870,'جدول الجرد'!$B$2:$B$31,0)),""))</f>
        <v/>
      </c>
      <c r="C870" s="5" t="str">
        <f>IF(A870="","",IFERROR(INDEX('جدول الجرد'!$E$2:$E$31,MATCH(A870,'جدول الجرد'!$B$2:$B$31,0)),""))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الجرد'!$A$2:$A$31,MATCH(A871,'جدول الجرد'!$B$2:$B$31,0)),""))</f>
        <v/>
      </c>
      <c r="C871" s="5" t="str">
        <f>IF(A871="","",IFERROR(INDEX('جدول الجرد'!$E$2:$E$31,MATCH(A871,'جدول الجرد'!$B$2:$B$31,0)),""))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الجرد'!$A$2:$A$31,MATCH(A872,'جدول الجرد'!$B$2:$B$31,0)),""))</f>
        <v/>
      </c>
      <c r="C872" s="5" t="str">
        <f>IF(A872="","",IFERROR(INDEX('جدول الجرد'!$E$2:$E$31,MATCH(A872,'جدول الجرد'!$B$2:$B$31,0)),""))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الجرد'!$A$2:$A$31,MATCH(A873,'جدول الجرد'!$B$2:$B$31,0)),""))</f>
        <v/>
      </c>
      <c r="C873" s="5" t="str">
        <f>IF(A873="","",IFERROR(INDEX('جدول الجرد'!$E$2:$E$31,MATCH(A873,'جدول الجرد'!$B$2:$B$31,0)),""))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الجرد'!$A$2:$A$31,MATCH(A874,'جدول الجرد'!$B$2:$B$31,0)),""))</f>
        <v/>
      </c>
      <c r="C874" s="5" t="str">
        <f>IF(A874="","",IFERROR(INDEX('جدول الجرد'!$E$2:$E$31,MATCH(A874,'جدول الجرد'!$B$2:$B$31,0)),""))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الجرد'!$A$2:$A$31,MATCH(A875,'جدول الجرد'!$B$2:$B$31,0)),""))</f>
        <v/>
      </c>
      <c r="C875" s="5" t="str">
        <f>IF(A875="","",IFERROR(INDEX('جدول الجرد'!$E$2:$E$31,MATCH(A875,'جدول الجرد'!$B$2:$B$31,0)),""))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الجرد'!$A$2:$A$31,MATCH(A876,'جدول الجرد'!$B$2:$B$31,0)),""))</f>
        <v/>
      </c>
      <c r="C876" s="5" t="str">
        <f>IF(A876="","",IFERROR(INDEX('جدول الجرد'!$E$2:$E$31,MATCH(A876,'جدول الجرد'!$B$2:$B$31,0)),""))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الجرد'!$A$2:$A$31,MATCH(A877,'جدول الجرد'!$B$2:$B$31,0)),""))</f>
        <v/>
      </c>
      <c r="C877" s="5" t="str">
        <f>IF(A877="","",IFERROR(INDEX('جدول الجرد'!$E$2:$E$31,MATCH(A877,'جدول الجرد'!$B$2:$B$31,0)),""))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الجرد'!$A$2:$A$31,MATCH(A878,'جدول الجرد'!$B$2:$B$31,0)),""))</f>
        <v/>
      </c>
      <c r="C878" s="5" t="str">
        <f>IF(A878="","",IFERROR(INDEX('جدول الجرد'!$E$2:$E$31,MATCH(A878,'جدول الجرد'!$B$2:$B$31,0)),""))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الجرد'!$A$2:$A$31,MATCH(A879,'جدول الجرد'!$B$2:$B$31,0)),""))</f>
        <v/>
      </c>
      <c r="C879" s="5" t="str">
        <f>IF(A879="","",IFERROR(INDEX('جدول الجرد'!$E$2:$E$31,MATCH(A879,'جدول الجرد'!$B$2:$B$31,0)),""))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الجرد'!$A$2:$A$31,MATCH(A880,'جدول الجرد'!$B$2:$B$31,0)),""))</f>
        <v/>
      </c>
      <c r="C880" s="5" t="str">
        <f>IF(A880="","",IFERROR(INDEX('جدول الجرد'!$E$2:$E$31,MATCH(A880,'جدول الجرد'!$B$2:$B$31,0)),""))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الجرد'!$A$2:$A$31,MATCH(A881,'جدول الجرد'!$B$2:$B$31,0)),""))</f>
        <v/>
      </c>
      <c r="C881" s="5" t="str">
        <f>IF(A881="","",IFERROR(INDEX('جدول الجرد'!$E$2:$E$31,MATCH(A881,'جدول الجرد'!$B$2:$B$31,0)),""))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الجرد'!$A$2:$A$31,MATCH(A882,'جدول الجرد'!$B$2:$B$31,0)),""))</f>
        <v/>
      </c>
      <c r="C882" s="5" t="str">
        <f>IF(A882="","",IFERROR(INDEX('جدول الجرد'!$E$2:$E$31,MATCH(A882,'جدول الجرد'!$B$2:$B$31,0)),""))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الجرد'!$A$2:$A$31,MATCH(A883,'جدول الجرد'!$B$2:$B$31,0)),""))</f>
        <v/>
      </c>
      <c r="C883" s="5" t="str">
        <f>IF(A883="","",IFERROR(INDEX('جدول الجرد'!$E$2:$E$31,MATCH(A883,'جدول الجرد'!$B$2:$B$31,0)),""))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الجرد'!$A$2:$A$31,MATCH(A884,'جدول الجرد'!$B$2:$B$31,0)),""))</f>
        <v/>
      </c>
      <c r="C884" s="5" t="str">
        <f>IF(A884="","",IFERROR(INDEX('جدول الجرد'!$E$2:$E$31,MATCH(A884,'جدول الجرد'!$B$2:$B$31,0)),""))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الجرد'!$A$2:$A$31,MATCH(A885,'جدول الجرد'!$B$2:$B$31,0)),""))</f>
        <v/>
      </c>
      <c r="C885" s="5" t="str">
        <f>IF(A885="","",IFERROR(INDEX('جدول الجرد'!$E$2:$E$31,MATCH(A885,'جدول الجرد'!$B$2:$B$31,0)),""))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الجرد'!$A$2:$A$31,MATCH(A886,'جدول الجرد'!$B$2:$B$31,0)),""))</f>
        <v/>
      </c>
      <c r="C886" s="5" t="str">
        <f>IF(A886="","",IFERROR(INDEX('جدول الجرد'!$E$2:$E$31,MATCH(A886,'جدول الجرد'!$B$2:$B$31,0)),""))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الجرد'!$A$2:$A$31,MATCH(A887,'جدول الجرد'!$B$2:$B$31,0)),""))</f>
        <v/>
      </c>
      <c r="C887" s="5" t="str">
        <f>IF(A887="","",IFERROR(INDEX('جدول الجرد'!$E$2:$E$31,MATCH(A887,'جدول الجرد'!$B$2:$B$31,0)),""))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الجرد'!$A$2:$A$31,MATCH(A888,'جدول الجرد'!$B$2:$B$31,0)),""))</f>
        <v/>
      </c>
      <c r="C888" s="5" t="str">
        <f>IF(A888="","",IFERROR(INDEX('جدول الجرد'!$E$2:$E$31,MATCH(A888,'جدول الجرد'!$B$2:$B$31,0)),""))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الجرد'!$A$2:$A$31,MATCH(A889,'جدول الجرد'!$B$2:$B$31,0)),""))</f>
        <v/>
      </c>
      <c r="C889" s="5" t="str">
        <f>IF(A889="","",IFERROR(INDEX('جدول الجرد'!$E$2:$E$31,MATCH(A889,'جدول الجرد'!$B$2:$B$31,0)),""))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الجرد'!$A$2:$A$31,MATCH(A890,'جدول الجرد'!$B$2:$B$31,0)),""))</f>
        <v/>
      </c>
      <c r="C890" s="5" t="str">
        <f>IF(A890="","",IFERROR(INDEX('جدول الجرد'!$E$2:$E$31,MATCH(A890,'جدول الجرد'!$B$2:$B$31,0)),""))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الجرد'!$A$2:$A$31,MATCH(A891,'جدول الجرد'!$B$2:$B$31,0)),""))</f>
        <v/>
      </c>
      <c r="C891" s="5" t="str">
        <f>IF(A891="","",IFERROR(INDEX('جدول الجرد'!$E$2:$E$31,MATCH(A891,'جدول الجرد'!$B$2:$B$31,0)),""))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الجرد'!$A$2:$A$31,MATCH(A892,'جدول الجرد'!$B$2:$B$31,0)),""))</f>
        <v/>
      </c>
      <c r="C892" s="5" t="str">
        <f>IF(A892="","",IFERROR(INDEX('جدول الجرد'!$E$2:$E$31,MATCH(A892,'جدول الجرد'!$B$2:$B$31,0)),""))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الجرد'!$A$2:$A$31,MATCH(A893,'جدول الجرد'!$B$2:$B$31,0)),""))</f>
        <v/>
      </c>
      <c r="C893" s="5" t="str">
        <f>IF(A893="","",IFERROR(INDEX('جدول الجرد'!$E$2:$E$31,MATCH(A893,'جدول الجرد'!$B$2:$B$31,0)),""))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الجرد'!$A$2:$A$31,MATCH(A894,'جدول الجرد'!$B$2:$B$31,0)),""))</f>
        <v/>
      </c>
      <c r="C894" s="5" t="str">
        <f>IF(A894="","",IFERROR(INDEX('جدول الجرد'!$E$2:$E$31,MATCH(A894,'جدول الجرد'!$B$2:$B$31,0)),""))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الجرد'!$A$2:$A$31,MATCH(A895,'جدول الجرد'!$B$2:$B$31,0)),""))</f>
        <v/>
      </c>
      <c r="C895" s="5" t="str">
        <f>IF(A895="","",IFERROR(INDEX('جدول الجرد'!$E$2:$E$31,MATCH(A895,'جدول الجرد'!$B$2:$B$31,0)),""))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الجرد'!$A$2:$A$31,MATCH(A896,'جدول الجرد'!$B$2:$B$31,0)),""))</f>
        <v/>
      </c>
      <c r="C896" s="5" t="str">
        <f>IF(A896="","",IFERROR(INDEX('جدول الجرد'!$E$2:$E$31,MATCH(A896,'جدول الجرد'!$B$2:$B$31,0)),""))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الجرد'!$A$2:$A$31,MATCH(A897,'جدول الجرد'!$B$2:$B$31,0)),""))</f>
        <v/>
      </c>
      <c r="C897" s="5" t="str">
        <f>IF(A897="","",IFERROR(INDEX('جدول الجرد'!$E$2:$E$31,MATCH(A897,'جدول الجرد'!$B$2:$B$31,0)),""))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الجرد'!$A$2:$A$31,MATCH(A898,'جدول الجرد'!$B$2:$B$31,0)),""))</f>
        <v/>
      </c>
      <c r="C898" s="5" t="str">
        <f>IF(A898="","",IFERROR(INDEX('جدول الجرد'!$E$2:$E$31,MATCH(A898,'جدول الجرد'!$B$2:$B$31,0)),""))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الجرد'!$A$2:$A$31,MATCH(A899,'جدول الجرد'!$B$2:$B$31,0)),""))</f>
        <v/>
      </c>
      <c r="C899" s="5" t="str">
        <f>IF(A899="","",IFERROR(INDEX('جدول الجرد'!$E$2:$E$31,MATCH(A899,'جدول الجرد'!$B$2:$B$31,0)),""))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الجرد'!$A$2:$A$31,MATCH(A900,'جدول الجرد'!$B$2:$B$31,0)),""))</f>
        <v/>
      </c>
      <c r="C900" s="5" t="str">
        <f>IF(A900="","",IFERROR(INDEX('جدول الجرد'!$E$2:$E$31,MATCH(A900,'جدول الجرد'!$B$2:$B$31,0)),""))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الجرد'!$A$2:$A$31,MATCH(A901,'جدول الجرد'!$B$2:$B$31,0)),""))</f>
        <v/>
      </c>
      <c r="C901" s="5" t="str">
        <f>IF(A901="","",IFERROR(INDEX('جدول الجرد'!$E$2:$E$31,MATCH(A901,'جدول الجرد'!$B$2:$B$31,0)),""))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الجرد'!$A$2:$A$31,MATCH(A902,'جدول الجرد'!$B$2:$B$31,0)),""))</f>
        <v/>
      </c>
      <c r="C902" s="5" t="str">
        <f>IF(A902="","",IFERROR(INDEX('جدول الجرد'!$E$2:$E$31,MATCH(A902,'جدول الجرد'!$B$2:$B$31,0)),""))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الجرد'!$A$2:$A$31,MATCH(A903,'جدول الجرد'!$B$2:$B$31,0)),""))</f>
        <v/>
      </c>
      <c r="C903" s="5" t="str">
        <f>IF(A903="","",IFERROR(INDEX('جدول الجرد'!$E$2:$E$31,MATCH(A903,'جدول الجرد'!$B$2:$B$31,0)),""))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الجرد'!$A$2:$A$31,MATCH(A904,'جدول الجرد'!$B$2:$B$31,0)),""))</f>
        <v/>
      </c>
      <c r="C904" s="5" t="str">
        <f>IF(A904="","",IFERROR(INDEX('جدول الجرد'!$E$2:$E$31,MATCH(A904,'جدول الجرد'!$B$2:$B$31,0)),""))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الجرد'!$A$2:$A$31,MATCH(A905,'جدول الجرد'!$B$2:$B$31,0)),""))</f>
        <v/>
      </c>
      <c r="C905" s="5" t="str">
        <f>IF(A905="","",IFERROR(INDEX('جدول الجرد'!$E$2:$E$31,MATCH(A905,'جدول الجرد'!$B$2:$B$31,0)),""))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الجرد'!$A$2:$A$31,MATCH(A906,'جدول الجرد'!$B$2:$B$31,0)),""))</f>
        <v/>
      </c>
      <c r="C906" s="5" t="str">
        <f>IF(A906="","",IFERROR(INDEX('جدول الجرد'!$E$2:$E$31,MATCH(A906,'جدول الجرد'!$B$2:$B$31,0)),""))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الجرد'!$A$2:$A$31,MATCH(A907,'جدول الجرد'!$B$2:$B$31,0)),""))</f>
        <v/>
      </c>
      <c r="C907" s="5" t="str">
        <f>IF(A907="","",IFERROR(INDEX('جدول الجرد'!$E$2:$E$31,MATCH(A907,'جدول الجرد'!$B$2:$B$31,0)),""))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الجرد'!$A$2:$A$31,MATCH(A908,'جدول الجرد'!$B$2:$B$31,0)),""))</f>
        <v/>
      </c>
      <c r="C908" s="5" t="str">
        <f>IF(A908="","",IFERROR(INDEX('جدول الجرد'!$E$2:$E$31,MATCH(A908,'جدول الجرد'!$B$2:$B$31,0)),""))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الجرد'!$A$2:$A$31,MATCH(A909,'جدول الجرد'!$B$2:$B$31,0)),""))</f>
        <v/>
      </c>
      <c r="C909" s="5" t="str">
        <f>IF(A909="","",IFERROR(INDEX('جدول الجرد'!$E$2:$E$31,MATCH(A909,'جدول الجرد'!$B$2:$B$31,0)),""))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الجرد'!$A$2:$A$31,MATCH(A910,'جدول الجرد'!$B$2:$B$31,0)),""))</f>
        <v/>
      </c>
      <c r="C910" s="5" t="str">
        <f>IF(A910="","",IFERROR(INDEX('جدول الجرد'!$E$2:$E$31,MATCH(A910,'جدول الجرد'!$B$2:$B$31,0)),""))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الجرد'!$A$2:$A$31,MATCH(A911,'جدول الجرد'!$B$2:$B$31,0)),""))</f>
        <v/>
      </c>
      <c r="C911" s="5" t="str">
        <f>IF(A911="","",IFERROR(INDEX('جدول الجرد'!$E$2:$E$31,MATCH(A911,'جدول الجرد'!$B$2:$B$31,0)),""))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الجرد'!$A$2:$A$31,MATCH(A912,'جدول الجرد'!$B$2:$B$31,0)),""))</f>
        <v/>
      </c>
      <c r="C912" s="5" t="str">
        <f>IF(A912="","",IFERROR(INDEX('جدول الجرد'!$E$2:$E$31,MATCH(A912,'جدول الجرد'!$B$2:$B$31,0)),""))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الجرد'!$A$2:$A$31,MATCH(A913,'جدول الجرد'!$B$2:$B$31,0)),""))</f>
        <v/>
      </c>
      <c r="C913" s="5" t="str">
        <f>IF(A913="","",IFERROR(INDEX('جدول الجرد'!$E$2:$E$31,MATCH(A913,'جدول الجرد'!$B$2:$B$31,0)),""))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الجرد'!$A$2:$A$31,MATCH(A914,'جدول الجرد'!$B$2:$B$31,0)),""))</f>
        <v/>
      </c>
      <c r="C914" s="5" t="str">
        <f>IF(A914="","",IFERROR(INDEX('جدول الجرد'!$E$2:$E$31,MATCH(A914,'جدول الجرد'!$B$2:$B$31,0)),""))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الجرد'!$A$2:$A$31,MATCH(A915,'جدول الجرد'!$B$2:$B$31,0)),""))</f>
        <v/>
      </c>
      <c r="C915" s="5" t="str">
        <f>IF(A915="","",IFERROR(INDEX('جدول الجرد'!$E$2:$E$31,MATCH(A915,'جدول الجرد'!$B$2:$B$31,0)),""))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الجرد'!$A$2:$A$31,MATCH(A916,'جدول الجرد'!$B$2:$B$31,0)),""))</f>
        <v/>
      </c>
      <c r="C916" s="5" t="str">
        <f>IF(A916="","",IFERROR(INDEX('جدول الجرد'!$E$2:$E$31,MATCH(A916,'جدول الجرد'!$B$2:$B$31,0)),""))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الجرد'!$A$2:$A$31,MATCH(A917,'جدول الجرد'!$B$2:$B$31,0)),""))</f>
        <v/>
      </c>
      <c r="C917" s="5" t="str">
        <f>IF(A917="","",IFERROR(INDEX('جدول الجرد'!$E$2:$E$31,MATCH(A917,'جدول الجرد'!$B$2:$B$31,0)),""))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الجرد'!$A$2:$A$31,MATCH(A918,'جدول الجرد'!$B$2:$B$31,0)),""))</f>
        <v/>
      </c>
      <c r="C918" s="5" t="str">
        <f>IF(A918="","",IFERROR(INDEX('جدول الجرد'!$E$2:$E$31,MATCH(A918,'جدول الجرد'!$B$2:$B$31,0)),""))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الجرد'!$A$2:$A$31,MATCH(A919,'جدول الجرد'!$B$2:$B$31,0)),""))</f>
        <v/>
      </c>
      <c r="C919" s="5" t="str">
        <f>IF(A919="","",IFERROR(INDEX('جدول الجرد'!$E$2:$E$31,MATCH(A919,'جدول الجرد'!$B$2:$B$31,0)),""))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الجرد'!$A$2:$A$31,MATCH(A920,'جدول الجرد'!$B$2:$B$31,0)),""))</f>
        <v/>
      </c>
      <c r="C920" s="5" t="str">
        <f>IF(A920="","",IFERROR(INDEX('جدول الجرد'!$E$2:$E$31,MATCH(A920,'جدول الجرد'!$B$2:$B$31,0)),""))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الجرد'!$A$2:$A$31,MATCH(A921,'جدول الجرد'!$B$2:$B$31,0)),""))</f>
        <v/>
      </c>
      <c r="C921" s="5" t="str">
        <f>IF(A921="","",IFERROR(INDEX('جدول الجرد'!$E$2:$E$31,MATCH(A921,'جدول الجرد'!$B$2:$B$31,0)),""))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الجرد'!$A$2:$A$31,MATCH(A922,'جدول الجرد'!$B$2:$B$31,0)),""))</f>
        <v/>
      </c>
      <c r="C922" s="5" t="str">
        <f>IF(A922="","",IFERROR(INDEX('جدول الجرد'!$E$2:$E$31,MATCH(A922,'جدول الجرد'!$B$2:$B$31,0)),""))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الجرد'!$A$2:$A$31,MATCH(A923,'جدول الجرد'!$B$2:$B$31,0)),""))</f>
        <v/>
      </c>
      <c r="C923" s="5" t="str">
        <f>IF(A923="","",IFERROR(INDEX('جدول الجرد'!$E$2:$E$31,MATCH(A923,'جدول الجرد'!$B$2:$B$31,0)),""))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الجرد'!$A$2:$A$31,MATCH(A924,'جدول الجرد'!$B$2:$B$31,0)),""))</f>
        <v/>
      </c>
      <c r="C924" s="5" t="str">
        <f>IF(A924="","",IFERROR(INDEX('جدول الجرد'!$E$2:$E$31,MATCH(A924,'جدول الجرد'!$B$2:$B$31,0)),""))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الجرد'!$A$2:$A$31,MATCH(A925,'جدول الجرد'!$B$2:$B$31,0)),""))</f>
        <v/>
      </c>
      <c r="C925" s="5" t="str">
        <f>IF(A925="","",IFERROR(INDEX('جدول الجرد'!$E$2:$E$31,MATCH(A925,'جدول الجرد'!$B$2:$B$31,0)),""))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الجرد'!$A$2:$A$31,MATCH(A926,'جدول الجرد'!$B$2:$B$31,0)),""))</f>
        <v/>
      </c>
      <c r="C926" s="5" t="str">
        <f>IF(A926="","",IFERROR(INDEX('جدول الجرد'!$E$2:$E$31,MATCH(A926,'جدول الجرد'!$B$2:$B$31,0)),""))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الجرد'!$A$2:$A$31,MATCH(A927,'جدول الجرد'!$B$2:$B$31,0)),""))</f>
        <v/>
      </c>
      <c r="C927" s="5" t="str">
        <f>IF(A927="","",IFERROR(INDEX('جدول الجرد'!$E$2:$E$31,MATCH(A927,'جدول الجرد'!$B$2:$B$31,0)),""))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الجرد'!$A$2:$A$31,MATCH(A928,'جدول الجرد'!$B$2:$B$31,0)),""))</f>
        <v/>
      </c>
      <c r="C928" s="5" t="str">
        <f>IF(A928="","",IFERROR(INDEX('جدول الجرد'!$E$2:$E$31,MATCH(A928,'جدول الجرد'!$B$2:$B$31,0)),""))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الجرد'!$A$2:$A$31,MATCH(A929,'جدول الجرد'!$B$2:$B$31,0)),""))</f>
        <v/>
      </c>
      <c r="C929" s="5" t="str">
        <f>IF(A929="","",IFERROR(INDEX('جدول الجرد'!$E$2:$E$31,MATCH(A929,'جدول الجرد'!$B$2:$B$31,0)),""))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الجرد'!$A$2:$A$31,MATCH(A930,'جدول الجرد'!$B$2:$B$31,0)),""))</f>
        <v/>
      </c>
      <c r="C930" s="5" t="str">
        <f>IF(A930="","",IFERROR(INDEX('جدول الجرد'!$E$2:$E$31,MATCH(A930,'جدول الجرد'!$B$2:$B$31,0)),""))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الجرد'!$A$2:$A$31,MATCH(A931,'جدول الجرد'!$B$2:$B$31,0)),""))</f>
        <v/>
      </c>
      <c r="C931" s="5" t="str">
        <f>IF(A931="","",IFERROR(INDEX('جدول الجرد'!$E$2:$E$31,MATCH(A931,'جدول الجرد'!$B$2:$B$31,0)),""))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الجرد'!$A$2:$A$31,MATCH(A932,'جدول الجرد'!$B$2:$B$31,0)),""))</f>
        <v/>
      </c>
      <c r="C932" s="5" t="str">
        <f>IF(A932="","",IFERROR(INDEX('جدول الجرد'!$E$2:$E$31,MATCH(A932,'جدول الجرد'!$B$2:$B$31,0)),""))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الجرد'!$A$2:$A$31,MATCH(A933,'جدول الجرد'!$B$2:$B$31,0)),""))</f>
        <v/>
      </c>
      <c r="C933" s="5" t="str">
        <f>IF(A933="","",IFERROR(INDEX('جدول الجرد'!$E$2:$E$31,MATCH(A933,'جدول الجرد'!$B$2:$B$31,0)),""))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الجرد'!$A$2:$A$31,MATCH(A934,'جدول الجرد'!$B$2:$B$31,0)),""))</f>
        <v/>
      </c>
      <c r="C934" s="5" t="str">
        <f>IF(A934="","",IFERROR(INDEX('جدول الجرد'!$E$2:$E$31,MATCH(A934,'جدول الجرد'!$B$2:$B$31,0)),""))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الجرد'!$A$2:$A$31,MATCH(A935,'جدول الجرد'!$B$2:$B$31,0)),""))</f>
        <v/>
      </c>
      <c r="C935" s="5" t="str">
        <f>IF(A935="","",IFERROR(INDEX('جدول الجرد'!$E$2:$E$31,MATCH(A935,'جدول الجرد'!$B$2:$B$31,0)),""))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الجرد'!$A$2:$A$31,MATCH(A936,'جدول الجرد'!$B$2:$B$31,0)),""))</f>
        <v/>
      </c>
      <c r="C936" s="5" t="str">
        <f>IF(A936="","",IFERROR(INDEX('جدول الجرد'!$E$2:$E$31,MATCH(A936,'جدول الجرد'!$B$2:$B$31,0)),""))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الجرد'!$A$2:$A$31,MATCH(A937,'جدول الجرد'!$B$2:$B$31,0)),""))</f>
        <v/>
      </c>
      <c r="C937" s="5" t="str">
        <f>IF(A937="","",IFERROR(INDEX('جدول الجرد'!$E$2:$E$31,MATCH(A937,'جدول الجرد'!$B$2:$B$31,0)),""))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الجرد'!$A$2:$A$31,MATCH(A938,'جدول الجرد'!$B$2:$B$31,0)),""))</f>
        <v/>
      </c>
      <c r="C938" s="5" t="str">
        <f>IF(A938="","",IFERROR(INDEX('جدول الجرد'!$E$2:$E$31,MATCH(A938,'جدول الجرد'!$B$2:$B$31,0)),""))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الجرد'!$A$2:$A$31,MATCH(A939,'جدول الجرد'!$B$2:$B$31,0)),""))</f>
        <v/>
      </c>
      <c r="C939" s="5" t="str">
        <f>IF(A939="","",IFERROR(INDEX('جدول الجرد'!$E$2:$E$31,MATCH(A939,'جدول الجرد'!$B$2:$B$31,0)),""))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الجرد'!$A$2:$A$31,MATCH(A940,'جدول الجرد'!$B$2:$B$31,0)),""))</f>
        <v/>
      </c>
      <c r="C940" s="5" t="str">
        <f>IF(A940="","",IFERROR(INDEX('جدول الجرد'!$E$2:$E$31,MATCH(A940,'جدول الجرد'!$B$2:$B$31,0)),""))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الجرد'!$A$2:$A$31,MATCH(A941,'جدول الجرد'!$B$2:$B$31,0)),""))</f>
        <v/>
      </c>
      <c r="C941" s="5" t="str">
        <f>IF(A941="","",IFERROR(INDEX('جدول الجرد'!$E$2:$E$31,MATCH(A941,'جدول الجرد'!$B$2:$B$31,0)),""))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الجرد'!$A$2:$A$31,MATCH(A942,'جدول الجرد'!$B$2:$B$31,0)),""))</f>
        <v/>
      </c>
      <c r="C942" s="5" t="str">
        <f>IF(A942="","",IFERROR(INDEX('جدول الجرد'!$E$2:$E$31,MATCH(A942,'جدول الجرد'!$B$2:$B$31,0)),""))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الجرد'!$A$2:$A$31,MATCH(A943,'جدول الجرد'!$B$2:$B$31,0)),""))</f>
        <v/>
      </c>
      <c r="C943" s="5" t="str">
        <f>IF(A943="","",IFERROR(INDEX('جدول الجرد'!$E$2:$E$31,MATCH(A943,'جدول الجرد'!$B$2:$B$31,0)),""))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الجرد'!$A$2:$A$31,MATCH(A944,'جدول الجرد'!$B$2:$B$31,0)),""))</f>
        <v/>
      </c>
      <c r="C944" s="5" t="str">
        <f>IF(A944="","",IFERROR(INDEX('جدول الجرد'!$E$2:$E$31,MATCH(A944,'جدول الجرد'!$B$2:$B$31,0)),""))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الجرد'!$A$2:$A$31,MATCH(A945,'جدول الجرد'!$B$2:$B$31,0)),""))</f>
        <v/>
      </c>
      <c r="C945" s="5" t="str">
        <f>IF(A945="","",IFERROR(INDEX('جدول الجرد'!$E$2:$E$31,MATCH(A945,'جدول الجرد'!$B$2:$B$31,0)),""))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الجرد'!$A$2:$A$31,MATCH(A946,'جدول الجرد'!$B$2:$B$31,0)),""))</f>
        <v/>
      </c>
      <c r="C946" s="5" t="str">
        <f>IF(A946="","",IFERROR(INDEX('جدول الجرد'!$E$2:$E$31,MATCH(A946,'جدول الجرد'!$B$2:$B$31,0)),""))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الجرد'!$A$2:$A$31,MATCH(A947,'جدول الجرد'!$B$2:$B$31,0)),""))</f>
        <v/>
      </c>
      <c r="C947" s="5" t="str">
        <f>IF(A947="","",IFERROR(INDEX('جدول الجرد'!$E$2:$E$31,MATCH(A947,'جدول الجرد'!$B$2:$B$31,0)),""))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الجرد'!$A$2:$A$31,MATCH(A948,'جدول الجرد'!$B$2:$B$31,0)),""))</f>
        <v/>
      </c>
      <c r="C948" s="5" t="str">
        <f>IF(A948="","",IFERROR(INDEX('جدول الجرد'!$E$2:$E$31,MATCH(A948,'جدول الجرد'!$B$2:$B$31,0)),""))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الجرد'!$A$2:$A$31,MATCH(A949,'جدول الجرد'!$B$2:$B$31,0)),""))</f>
        <v/>
      </c>
      <c r="C949" s="5" t="str">
        <f>IF(A949="","",IFERROR(INDEX('جدول الجرد'!$E$2:$E$31,MATCH(A949,'جدول الجرد'!$B$2:$B$31,0)),""))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الجرد'!$A$2:$A$31,MATCH(A950,'جدول الجرد'!$B$2:$B$31,0)),""))</f>
        <v/>
      </c>
      <c r="C950" s="5" t="str">
        <f>IF(A950="","",IFERROR(INDEX('جدول الجرد'!$E$2:$E$31,MATCH(A950,'جدول الجرد'!$B$2:$B$31,0)),""))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الجرد'!$A$2:$A$31,MATCH(A951,'جدول الجرد'!$B$2:$B$31,0)),""))</f>
        <v/>
      </c>
      <c r="C951" s="5" t="str">
        <f>IF(A951="","",IFERROR(INDEX('جدول الجرد'!$E$2:$E$31,MATCH(A951,'جدول الجرد'!$B$2:$B$31,0)),""))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الجرد'!$A$2:$A$31,MATCH(A952,'جدول الجرد'!$B$2:$B$31,0)),""))</f>
        <v/>
      </c>
      <c r="C952" s="5" t="str">
        <f>IF(A952="","",IFERROR(INDEX('جدول الجرد'!$E$2:$E$31,MATCH(A952,'جدول الجرد'!$B$2:$B$31,0)),""))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الجرد'!$A$2:$A$31,MATCH(A953,'جدول الجرد'!$B$2:$B$31,0)),""))</f>
        <v/>
      </c>
      <c r="C953" s="5" t="str">
        <f>IF(A953="","",IFERROR(INDEX('جدول الجرد'!$E$2:$E$31,MATCH(A953,'جدول الجرد'!$B$2:$B$31,0)),""))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الجرد'!$A$2:$A$31,MATCH(A954,'جدول الجرد'!$B$2:$B$31,0)),""))</f>
        <v/>
      </c>
      <c r="C954" s="5" t="str">
        <f>IF(A954="","",IFERROR(INDEX('جدول الجرد'!$E$2:$E$31,MATCH(A954,'جدول الجرد'!$B$2:$B$31,0)),""))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الجرد'!$A$2:$A$31,MATCH(A955,'جدول الجرد'!$B$2:$B$31,0)),""))</f>
        <v/>
      </c>
      <c r="C955" s="5" t="str">
        <f>IF(A955="","",IFERROR(INDEX('جدول الجرد'!$E$2:$E$31,MATCH(A955,'جدول الجرد'!$B$2:$B$31,0)),""))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الجرد'!$A$2:$A$31,MATCH(A956,'جدول الجرد'!$B$2:$B$31,0)),""))</f>
        <v/>
      </c>
      <c r="C956" s="5" t="str">
        <f>IF(A956="","",IFERROR(INDEX('جدول الجرد'!$E$2:$E$31,MATCH(A956,'جدول الجرد'!$B$2:$B$31,0)),""))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الجرد'!$A$2:$A$31,MATCH(A957,'جدول الجرد'!$B$2:$B$31,0)),""))</f>
        <v/>
      </c>
      <c r="C957" s="5" t="str">
        <f>IF(A957="","",IFERROR(INDEX('جدول الجرد'!$E$2:$E$31,MATCH(A957,'جدول الجرد'!$B$2:$B$31,0)),""))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الجرد'!$A$2:$A$31,MATCH(A958,'جدول الجرد'!$B$2:$B$31,0)),""))</f>
        <v/>
      </c>
      <c r="C958" s="5" t="str">
        <f>IF(A958="","",IFERROR(INDEX('جدول الجرد'!$E$2:$E$31,MATCH(A958,'جدول الجرد'!$B$2:$B$31,0)),""))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الجرد'!$A$2:$A$31,MATCH(A959,'جدول الجرد'!$B$2:$B$31,0)),""))</f>
        <v/>
      </c>
      <c r="C959" s="5" t="str">
        <f>IF(A959="","",IFERROR(INDEX('جدول الجرد'!$E$2:$E$31,MATCH(A959,'جدول الجرد'!$B$2:$B$31,0)),""))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الجرد'!$A$2:$A$31,MATCH(A960,'جدول الجرد'!$B$2:$B$31,0)),""))</f>
        <v/>
      </c>
      <c r="C960" s="5" t="str">
        <f>IF(A960="","",IFERROR(INDEX('جدول الجرد'!$E$2:$E$31,MATCH(A960,'جدول الجرد'!$B$2:$B$31,0)),""))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الجرد'!$A$2:$A$31,MATCH(A961,'جدول الجرد'!$B$2:$B$31,0)),""))</f>
        <v/>
      </c>
      <c r="C961" s="5" t="str">
        <f>IF(A961="","",IFERROR(INDEX('جدول الجرد'!$E$2:$E$31,MATCH(A961,'جدول الجرد'!$B$2:$B$31,0)),""))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الجرد'!$A$2:$A$31,MATCH(A962,'جدول الجرد'!$B$2:$B$31,0)),""))</f>
        <v/>
      </c>
      <c r="C962" s="5" t="str">
        <f>IF(A962="","",IFERROR(INDEX('جدول الجرد'!$E$2:$E$31,MATCH(A962,'جدول الجرد'!$B$2:$B$31,0)),""))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الجرد'!$A$2:$A$31,MATCH(A963,'جدول الجرد'!$B$2:$B$31,0)),""))</f>
        <v/>
      </c>
      <c r="C963" s="5" t="str">
        <f>IF(A963="","",IFERROR(INDEX('جدول الجرد'!$E$2:$E$31,MATCH(A963,'جدول الجرد'!$B$2:$B$31,0)),""))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الجرد'!$A$2:$A$31,MATCH(A964,'جدول الجرد'!$B$2:$B$31,0)),""))</f>
        <v/>
      </c>
      <c r="C964" s="5" t="str">
        <f>IF(A964="","",IFERROR(INDEX('جدول الجرد'!$E$2:$E$31,MATCH(A964,'جدول الجرد'!$B$2:$B$31,0)),""))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الجرد'!$A$2:$A$31,MATCH(A965,'جدول الجرد'!$B$2:$B$31,0)),""))</f>
        <v/>
      </c>
      <c r="C965" s="5" t="str">
        <f>IF(A965="","",IFERROR(INDEX('جدول الجرد'!$E$2:$E$31,MATCH(A965,'جدول الجرد'!$B$2:$B$31,0)),""))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الجرد'!$A$2:$A$31,MATCH(A966,'جدول الجرد'!$B$2:$B$31,0)),""))</f>
        <v/>
      </c>
      <c r="C966" s="5" t="str">
        <f>IF(A966="","",IFERROR(INDEX('جدول الجرد'!$E$2:$E$31,MATCH(A966,'جدول الجرد'!$B$2:$B$31,0)),""))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الجرد'!$A$2:$A$31,MATCH(A967,'جدول الجرد'!$B$2:$B$31,0)),""))</f>
        <v/>
      </c>
      <c r="C967" s="5" t="str">
        <f>IF(A967="","",IFERROR(INDEX('جدول الجرد'!$E$2:$E$31,MATCH(A967,'جدول الجرد'!$B$2:$B$31,0)),""))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الجرد'!$A$2:$A$31,MATCH(A968,'جدول الجرد'!$B$2:$B$31,0)),""))</f>
        <v/>
      </c>
      <c r="C968" s="5" t="str">
        <f>IF(A968="","",IFERROR(INDEX('جدول الجرد'!$E$2:$E$31,MATCH(A968,'جدول الجرد'!$B$2:$B$31,0)),""))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الجرد'!$A$2:$A$31,MATCH(A969,'جدول الجرد'!$B$2:$B$31,0)),""))</f>
        <v/>
      </c>
      <c r="C969" s="5" t="str">
        <f>IF(A969="","",IFERROR(INDEX('جدول الجرد'!$E$2:$E$31,MATCH(A969,'جدول الجرد'!$B$2:$B$31,0)),""))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الجرد'!$A$2:$A$31,MATCH(A970,'جدول الجرد'!$B$2:$B$31,0)),""))</f>
        <v/>
      </c>
      <c r="C970" s="5" t="str">
        <f>IF(A970="","",IFERROR(INDEX('جدول الجرد'!$E$2:$E$31,MATCH(A970,'جدول الجرد'!$B$2:$B$31,0)),""))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الجرد'!$A$2:$A$31,MATCH(A971,'جدول الجرد'!$B$2:$B$31,0)),""))</f>
        <v/>
      </c>
      <c r="C971" s="5" t="str">
        <f>IF(A971="","",IFERROR(INDEX('جدول الجرد'!$E$2:$E$31,MATCH(A971,'جدول الجرد'!$B$2:$B$31,0)),""))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الجرد'!$A$2:$A$31,MATCH(A972,'جدول الجرد'!$B$2:$B$31,0)),""))</f>
        <v/>
      </c>
      <c r="C972" s="5" t="str">
        <f>IF(A972="","",IFERROR(INDEX('جدول الجرد'!$E$2:$E$31,MATCH(A972,'جدول الجرد'!$B$2:$B$31,0)),""))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الجرد'!$A$2:$A$31,MATCH(A973,'جدول الجرد'!$B$2:$B$31,0)),""))</f>
        <v/>
      </c>
      <c r="C973" s="5" t="str">
        <f>IF(A973="","",IFERROR(INDEX('جدول الجرد'!$E$2:$E$31,MATCH(A973,'جدول الجرد'!$B$2:$B$31,0)),""))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الجرد'!$A$2:$A$31,MATCH(A974,'جدول الجرد'!$B$2:$B$31,0)),""))</f>
        <v/>
      </c>
      <c r="C974" s="5" t="str">
        <f>IF(A974="","",IFERROR(INDEX('جدول الجرد'!$E$2:$E$31,MATCH(A974,'جدول الجرد'!$B$2:$B$31,0)),""))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الجرد'!$A$2:$A$31,MATCH(A975,'جدول الجرد'!$B$2:$B$31,0)),""))</f>
        <v/>
      </c>
      <c r="C975" s="5" t="str">
        <f>IF(A975="","",IFERROR(INDEX('جدول الجرد'!$E$2:$E$31,MATCH(A975,'جدول الجرد'!$B$2:$B$31,0)),""))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الجرد'!$A$2:$A$31,MATCH(A976,'جدول الجرد'!$B$2:$B$31,0)),""))</f>
        <v/>
      </c>
      <c r="C976" s="5" t="str">
        <f>IF(A976="","",IFERROR(INDEX('جدول الجرد'!$E$2:$E$31,MATCH(A976,'جدول الجرد'!$B$2:$B$31,0)),""))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الجرد'!$A$2:$A$31,MATCH(A977,'جدول الجرد'!$B$2:$B$31,0)),""))</f>
        <v/>
      </c>
      <c r="C977" s="5" t="str">
        <f>IF(A977="","",IFERROR(INDEX('جدول الجرد'!$E$2:$E$31,MATCH(A977,'جدول الجرد'!$B$2:$B$31,0)),""))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الجرد'!$A$2:$A$31,MATCH(A978,'جدول الجرد'!$B$2:$B$31,0)),""))</f>
        <v/>
      </c>
      <c r="C978" s="5" t="str">
        <f>IF(A978="","",IFERROR(INDEX('جدول الجرد'!$E$2:$E$31,MATCH(A978,'جدول الجرد'!$B$2:$B$31,0)),""))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الجرد'!$A$2:$A$31,MATCH(A979,'جدول الجرد'!$B$2:$B$31,0)),""))</f>
        <v/>
      </c>
      <c r="C979" s="5" t="str">
        <f>IF(A979="","",IFERROR(INDEX('جدول الجرد'!$E$2:$E$31,MATCH(A979,'جدول الجرد'!$B$2:$B$31,0)),""))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الجرد'!$A$2:$A$31,MATCH(A980,'جدول الجرد'!$B$2:$B$31,0)),""))</f>
        <v/>
      </c>
      <c r="C980" s="5" t="str">
        <f>IF(A980="","",IFERROR(INDEX('جدول الجرد'!$E$2:$E$31,MATCH(A980,'جدول الجرد'!$B$2:$B$31,0)),""))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الجرد'!$A$2:$A$31,MATCH(A981,'جدول الجرد'!$B$2:$B$31,0)),""))</f>
        <v/>
      </c>
      <c r="C981" s="5" t="str">
        <f>IF(A981="","",IFERROR(INDEX('جدول الجرد'!$E$2:$E$31,MATCH(A981,'جدول الجرد'!$B$2:$B$31,0)),""))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الجرد'!$A$2:$A$31,MATCH(A982,'جدول الجرد'!$B$2:$B$31,0)),""))</f>
        <v/>
      </c>
      <c r="C982" s="5" t="str">
        <f>IF(A982="","",IFERROR(INDEX('جدول الجرد'!$E$2:$E$31,MATCH(A982,'جدول الجرد'!$B$2:$B$31,0)),""))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الجرد'!$A$2:$A$31,MATCH(A983,'جدول الجرد'!$B$2:$B$31,0)),""))</f>
        <v/>
      </c>
      <c r="C983" s="5" t="str">
        <f>IF(A983="","",IFERROR(INDEX('جدول الجرد'!$E$2:$E$31,MATCH(A983,'جدول الجرد'!$B$2:$B$31,0)),""))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الجرد'!$A$2:$A$31,MATCH(A984,'جدول الجرد'!$B$2:$B$31,0)),""))</f>
        <v/>
      </c>
      <c r="C984" s="5" t="str">
        <f>IF(A984="","",IFERROR(INDEX('جدول الجرد'!$E$2:$E$31,MATCH(A984,'جدول الجرد'!$B$2:$B$31,0)),""))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الجرد'!$A$2:$A$31,MATCH(A985,'جدول الجرد'!$B$2:$B$31,0)),""))</f>
        <v/>
      </c>
      <c r="C985" s="5" t="str">
        <f>IF(A985="","",IFERROR(INDEX('جدول الجرد'!$E$2:$E$31,MATCH(A985,'جدول الجرد'!$B$2:$B$31,0)),""))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الجرد'!$A$2:$A$31,MATCH(A986,'جدول الجرد'!$B$2:$B$31,0)),""))</f>
        <v/>
      </c>
      <c r="C986" s="5" t="str">
        <f>IF(A986="","",IFERROR(INDEX('جدول الجرد'!$E$2:$E$31,MATCH(A986,'جدول الجرد'!$B$2:$B$31,0)),""))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الجرد'!$A$2:$A$31,MATCH(A987,'جدول الجرد'!$B$2:$B$31,0)),""))</f>
        <v/>
      </c>
      <c r="C987" s="5" t="str">
        <f>IF(A987="","",IFERROR(INDEX('جدول الجرد'!$E$2:$E$31,MATCH(A987,'جدول الجرد'!$B$2:$B$31,0)),""))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الجرد'!$A$2:$A$31,MATCH(A988,'جدول الجرد'!$B$2:$B$31,0)),""))</f>
        <v/>
      </c>
      <c r="C988" s="5" t="str">
        <f>IF(A988="","",IFERROR(INDEX('جدول الجرد'!$E$2:$E$31,MATCH(A988,'جدول الجرد'!$B$2:$B$31,0)),""))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الجرد'!$A$2:$A$31,MATCH(A989,'جدول الجرد'!$B$2:$B$31,0)),""))</f>
        <v/>
      </c>
      <c r="C989" s="5" t="str">
        <f>IF(A989="","",IFERROR(INDEX('جدول الجرد'!$E$2:$E$31,MATCH(A989,'جدول الجرد'!$B$2:$B$31,0)),""))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الجرد'!$A$2:$A$31,MATCH(A990,'جدول الجرد'!$B$2:$B$31,0)),""))</f>
        <v/>
      </c>
      <c r="C990" s="5" t="str">
        <f>IF(A990="","",IFERROR(INDEX('جدول الجرد'!$E$2:$E$31,MATCH(A990,'جدول الجرد'!$B$2:$B$31,0)),""))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الجرد'!$A$2:$A$31,MATCH(A991,'جدول الجرد'!$B$2:$B$31,0)),""))</f>
        <v/>
      </c>
      <c r="C991" s="5" t="str">
        <f>IF(A991="","",IFERROR(INDEX('جدول الجرد'!$E$2:$E$31,MATCH(A991,'جدول الجرد'!$B$2:$B$31,0)),""))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الجرد'!$A$2:$A$31,MATCH(A992,'جدول الجرد'!$B$2:$B$31,0)),""))</f>
        <v/>
      </c>
      <c r="C992" s="5" t="str">
        <f>IF(A992="","",IFERROR(INDEX('جدول الجرد'!$E$2:$E$31,MATCH(A992,'جدول الجرد'!$B$2:$B$31,0)),""))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الجرد'!$A$2:$A$31,MATCH(A993,'جدول الجرد'!$B$2:$B$31,0)),""))</f>
        <v/>
      </c>
      <c r="C993" s="5" t="str">
        <f>IF(A993="","",IFERROR(INDEX('جدول الجرد'!$E$2:$E$31,MATCH(A993,'جدول الجرد'!$B$2:$B$31,0)),""))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الجرد'!$A$2:$A$31,MATCH(A994,'جدول الجرد'!$B$2:$B$31,0)),""))</f>
        <v/>
      </c>
      <c r="C994" s="5" t="str">
        <f>IF(A994="","",IFERROR(INDEX('جدول الجرد'!$E$2:$E$31,MATCH(A994,'جدول الجرد'!$B$2:$B$31,0)),""))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الجرد'!$A$2:$A$31,MATCH(A995,'جدول الجرد'!$B$2:$B$31,0)),""))</f>
        <v/>
      </c>
      <c r="C995" s="5" t="str">
        <f>IF(A995="","",IFERROR(INDEX('جدول الجرد'!$E$2:$E$31,MATCH(A995,'جدول الجرد'!$B$2:$B$31,0)),""))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الجرد'!$A$2:$A$31,MATCH(A996,'جدول الجرد'!$B$2:$B$31,0)),""))</f>
        <v/>
      </c>
      <c r="C996" s="5" t="str">
        <f>IF(A996="","",IFERROR(INDEX('جدول الجرد'!$E$2:$E$31,MATCH(A996,'جدول الجرد'!$B$2:$B$31,0)),""))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الجرد'!$A$2:$A$31,MATCH(A997,'جدول الجرد'!$B$2:$B$31,0)),""))</f>
        <v/>
      </c>
      <c r="C997" s="5" t="str">
        <f>IF(A997="","",IFERROR(INDEX('جدول الجرد'!$E$2:$E$31,MATCH(A997,'جدول الجرد'!$B$2:$B$31,0)),""))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الجرد'!$A$2:$A$31,MATCH(A998,'جدول الجرد'!$B$2:$B$31,0)),""))</f>
        <v/>
      </c>
      <c r="C998" s="5" t="str">
        <f>IF(A998="","",IFERROR(INDEX('جدول الجرد'!$E$2:$E$31,MATCH(A998,'جدول الجرد'!$B$2:$B$31,0)),""))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الجرد'!$A$2:$A$31,MATCH(A999,'جدول الجرد'!$B$2:$B$31,0)),""))</f>
        <v/>
      </c>
      <c r="C999" s="5" t="str">
        <f>IF(A999="","",IFERROR(INDEX('جدول الجرد'!$E$2:$E$31,MATCH(A999,'جدول الجرد'!$B$2:$B$31,0)),""))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الجرد'!$A$2:$A$31,MATCH(A1000,'جدول الجرد'!$B$2:$B$31,0)),""))</f>
        <v/>
      </c>
      <c r="C1000" s="5" t="str">
        <f>IF(A1000="","",IFERROR(INDEX('جدول الجرد'!$E$2:$E$31,MATCH(A1000,'جدول الجرد'!$B$2:$B$31,0)),""))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2026-10-22T12:35:22Z</dcterms:created>
  <dcterms:modified xsi:type="dcterms:W3CDTF">2026-10-22T12:35:22Z</dcterms:modified>
</cp:coreProperties>
</file>