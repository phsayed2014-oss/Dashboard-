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21</v>
      </c>
      <c r="C4" s="5">
        <f>IF(A4="","",COUNTIFS(السجل!$E$2:$E$1000,A4,السجل!$H$2:$H$1000,"مراجعة فقط"))</f>
        <v>21</v>
      </c>
      <c r="D4" s="5">
        <f>IF(A4="","",COUNTIFS(السجل!$E$2:$E$1000,A4,السجل!$H$2:$H$1000,"جرد فقط"))</f>
        <v>0</v>
      </c>
      <c r="E4" s="5">
        <f>IF(A4="","",SUM(B4:D4))</f>
        <v>42</v>
      </c>
      <c r="F4" s="6">
        <f>IF(A4="","",SUMIFS(السجل!$I$2:$I$1000,السجل!$E$2:$E$1000,A4))</f>
        <v>7350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33</v>
      </c>
      <c r="D5" s="5">
        <f>IF(A5="","",COUNTIFS(السجل!$E$2:$E$1000,A5,السجل!$H$2:$H$1000,"جرد فقط"))</f>
        <v>0</v>
      </c>
      <c r="E5" s="5">
        <f>IF(A5="","",SUM(B5:D5))</f>
        <v>41</v>
      </c>
      <c r="F5" s="6">
        <f>IF(A5="","",SUMIFS(السجل!$I$2:$I$1000,السجل!$E$2:$E$1000,A5))</f>
        <v>6550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13</v>
      </c>
      <c r="C8" s="5">
        <f>IF(A8="","",COUNTIFS(السجل!$E$2:$E$1000,A8,السجل!$H$2:$H$1000,"مراجعة فقط"))</f>
        <v>11</v>
      </c>
      <c r="D8" s="5">
        <f>IF(A8="","",COUNTIFS(السجل!$E$2:$E$1000,A8,السجل!$H$2:$H$1000,"جرد فقط"))</f>
        <v>0</v>
      </c>
      <c r="E8" s="5">
        <f>IF(A8="","",SUM(B8:D8))</f>
        <v>24</v>
      </c>
      <c r="F8" s="6">
        <f>IF(A8="","",SUMIFS(السجل!$I$2:$I$1000,السجل!$E$2:$E$1000,A8))</f>
        <v>4250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42</v>
      </c>
      <c r="C19" s="7">
        <f>SUM(C4:C18)</f>
        <v>119</v>
      </c>
      <c r="D19" s="7">
        <f>SUM(D4:D18)</f>
        <v>0</v>
      </c>
      <c r="E19" s="7">
        <f>SUM(E4:E18)</f>
        <v>161</v>
      </c>
      <c r="F19" s="8">
        <f>SUM(F4:F18)</f>
        <v>26250</v>
      </c>
    </row>
    <row r="21">
      <c r="A21" s="5" t="inlineStr">
        <is>
          <t>للتحقق: إجمالي السجل</t>
        </is>
      </c>
      <c r="F21" s="9">
        <f>SUM(السجل!$I$2:$I$1000)</f>
        <v>26250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5" customWidth="1" min="26" max="26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6">
        <f>SUM(B2:Y2)</f>
        <v>7350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6">
        <f>SUM(B3:Y3)</f>
        <v>6550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6">
        <f>SUM(B4:Y4)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6">
        <f>SUM(B5:Y5)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6">
        <f>SUM(B6:Y6)</f>
        <v>4250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6">
        <f>SUM(B7:Y7)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6">
        <f>SUM(B8:Y8)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26250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الجرد'!$A$2:$A$29,MATCH(A157,'جدول الجرد'!$B$2:$B$29,0)),""))</f>
        <v>الاثنين</v>
      </c>
      <c r="C157" s="5" t="str">
        <f>IF(A157="","",IFERROR(INDEX('جدول الجرد'!$E$2:$E$29,MATCH(A157,'جدول الجرد'!$B$2:$B$29,0)),""))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الجرد'!$A$2:$A$29,MATCH(A158,'جدول الجرد'!$B$2:$B$29,0)),""))</f>
        <v>الاثنين</v>
      </c>
      <c r="C158" s="5" t="str">
        <f>IF(A158="","",IFERROR(INDEX('جدول الجرد'!$E$2:$E$29,MATCH(A158,'جدول الجرد'!$B$2:$B$29,0)),""))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الجرد'!$A$2:$A$29,MATCH(A159,'جدول الجرد'!$B$2:$B$29,0)),""))</f>
        <v>الاثنين</v>
      </c>
      <c r="C159" s="5" t="str">
        <f>IF(A159="","",IFERROR(INDEX('جدول الجرد'!$E$2:$E$29,MATCH(A159,'جدول الجرد'!$B$2:$B$29,0)),""))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الجرد'!$A$2:$A$29,MATCH(A160,'جدول الجرد'!$B$2:$B$29,0)),""))</f>
        <v>الاثنين</v>
      </c>
      <c r="C160" s="5" t="str">
        <f>IF(A160="","",IFERROR(INDEX('جدول الجرد'!$E$2:$E$29,MATCH(A160,'جدول الجرد'!$B$2:$B$29,0)),""))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الجرد'!$A$2:$A$29,MATCH(A161,'جدول الجرد'!$B$2:$B$29,0)),""))</f>
        <v>الاثنين</v>
      </c>
      <c r="C161" s="5" t="str">
        <f>IF(A161="","",IFERROR(INDEX('جدول الجرد'!$E$2:$E$29,MATCH(A161,'جدول الجرد'!$B$2:$B$29,0)),""))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الجرد'!$A$2:$A$29,MATCH(A162,'جدول الجرد'!$B$2:$B$29,0)),""))</f>
        <v>الاثنين</v>
      </c>
      <c r="C162" s="5" t="str">
        <f>IF(A162="","",IFERROR(INDEX('جدول الجرد'!$E$2:$E$29,MATCH(A162,'جدول الجرد'!$B$2:$B$29,0)),""))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2026-10-19T13:11:29Z</dcterms:created>
  <dcterms:modified xsi:type="dcterms:W3CDTF">2026-10-19T13:11:29Z</dcterms:modified>
</cp:coreProperties>
</file>