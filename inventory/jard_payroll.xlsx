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23</v>
      </c>
      <c r="C4" s="5">
        <f>IF(A4="","",COUNTIFS(السجل!$E$2:$E$1000,A4,السجل!$H$2:$H$1000,"مراجعة فقط"))</f>
        <v>23</v>
      </c>
      <c r="D4" s="5">
        <f>IF(A4="","",COUNTIFS(السجل!$E$2:$E$1000,A4,السجل!$H$2:$H$1000,"جرد فقط"))</f>
        <v>0</v>
      </c>
      <c r="E4" s="5">
        <f>IF(A4="","",SUM(B4:D4))</f>
        <v>46</v>
      </c>
      <c r="F4" s="6">
        <f>IF(A4="","",SUMIFS(السجل!$I$2:$I$1000,السجل!$E$2:$E$1000,A4))</f>
        <v>8050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37</v>
      </c>
      <c r="D5" s="5">
        <f>IF(A5="","",COUNTIFS(السجل!$E$2:$E$1000,A5,السجل!$H$2:$H$1000,"جرد فقط"))</f>
        <v>0</v>
      </c>
      <c r="E5" s="5">
        <f>IF(A5="","",SUM(B5:D5))</f>
        <v>45</v>
      </c>
      <c r="F5" s="6">
        <f>IF(A5="","",SUMIFS(السجل!$I$2:$I$1000,السجل!$E$2:$E$1000,A5))</f>
        <v>7150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15</v>
      </c>
      <c r="C8" s="5">
        <f>IF(A8="","",COUNTIFS(السجل!$E$2:$E$1000,A8,السجل!$H$2:$H$1000,"مراجعة فقط"))</f>
        <v>11</v>
      </c>
      <c r="D8" s="5">
        <f>IF(A8="","",COUNTIFS(السجل!$E$2:$E$1000,A8,السجل!$H$2:$H$1000,"جرد فقط"))</f>
        <v>0</v>
      </c>
      <c r="E8" s="5">
        <f>IF(A8="","",SUM(B8:D8))</f>
        <v>26</v>
      </c>
      <c r="F8" s="6">
        <f>IF(A8="","",SUMIFS(السجل!$I$2:$I$1000,السجل!$E$2:$E$1000,A8))</f>
        <v>4650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46</v>
      </c>
      <c r="C19" s="7">
        <f>SUM(C4:C18)</f>
        <v>125</v>
      </c>
      <c r="D19" s="7">
        <f>SUM(D4:D18)</f>
        <v>0</v>
      </c>
      <c r="E19" s="7">
        <f>SUM(E4:E18)</f>
        <v>171</v>
      </c>
      <c r="F19" s="8">
        <f>SUM(F4:F18)</f>
        <v>27950</v>
      </c>
    </row>
    <row r="21">
      <c r="A21" s="5" t="inlineStr">
        <is>
          <t>للتحقق: إجمالي السجل</t>
        </is>
      </c>
      <c r="F21" s="9">
        <f>SUM(السجل!$I$2:$I$1000)</f>
        <v>27950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5" customWidth="1" min="28" max="28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الخميس
2026-10-15</t>
        </is>
      </c>
      <c r="V1" s="3" t="inlineStr">
        <is>
          <t>الجمعة
2026-10-16</t>
        </is>
      </c>
      <c r="W1" s="3" t="inlineStr">
        <is>
          <t>السبت
2026-10-17</t>
        </is>
      </c>
      <c r="X1" s="3" t="inlineStr">
        <is>
          <t>الأحد
2026-10-18</t>
        </is>
      </c>
      <c r="Y1" s="3" t="inlineStr">
        <is>
          <t>الاثنين
2026-10-19</t>
        </is>
      </c>
      <c r="Z1" s="3" t="inlineStr">
        <is>
          <t>الثلاثاء
2026-10-20</t>
        </is>
      </c>
      <c r="AA1" s="3" t="inlineStr">
        <is>
          <t>الأربعاء
2026-10-21</t>
        </is>
      </c>
      <c r="AB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9">
        <f>SUMIFS(السجل!$I$2:$I$1000,السجل!$E$2:$E$1000,$A2,السجل!$A$2:$A$1000,U$1000)</f>
        <v>300</v>
      </c>
      <c r="V2" s="9">
        <f>SUMIFS(السجل!$I$2:$I$1000,السجل!$E$2:$E$1000,$A2,السجل!$A$2:$A$1000,V$1000)</f>
        <v>200</v>
      </c>
      <c r="W2" s="9">
        <f>SUMIFS(السجل!$I$2:$I$1000,السجل!$E$2:$E$1000,$A2,السجل!$A$2:$A$1000,W$1000)</f>
        <v>150</v>
      </c>
      <c r="X2" s="9">
        <f>SUMIFS(السجل!$I$2:$I$1000,السجل!$E$2:$E$1000,$A2,السجل!$A$2:$A$1000,X$1000)</f>
        <v>200</v>
      </c>
      <c r="Y2" s="9">
        <f>SUMIFS(السجل!$I$2:$I$1000,السجل!$E$2:$E$1000,$A2,السجل!$A$2:$A$1000,Y$1000)</f>
        <v>300</v>
      </c>
      <c r="Z2" s="9">
        <f>SUMIFS(السجل!$I$2:$I$1000,السجل!$E$2:$E$1000,$A2,السجل!$A$2:$A$1000,Z$1000)</f>
        <v>400</v>
      </c>
      <c r="AA2" s="9">
        <f>SUMIFS(السجل!$I$2:$I$1000,السجل!$E$2:$E$1000,$A2,السجل!$A$2:$A$1000,AA$1000)</f>
        <v>300</v>
      </c>
      <c r="AB2" s="6">
        <f>SUM(B2:AA2)</f>
        <v>8050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0</v>
      </c>
      <c r="W3" s="9">
        <f>SUMIFS(السجل!$I$2:$I$1000,السجل!$E$2:$E$1000,$A3,السجل!$A$2:$A$1000,W$1000)</f>
        <v>150</v>
      </c>
      <c r="X3" s="9">
        <f>SUMIFS(السجل!$I$2:$I$1000,السجل!$E$2:$E$1000,$A3,السجل!$A$2:$A$1000,X$1000)</f>
        <v>150</v>
      </c>
      <c r="Y3" s="9">
        <f>SUMIFS(السجل!$I$2:$I$1000,السجل!$E$2:$E$1000,$A3,السجل!$A$2:$A$1000,Y$1000)</f>
        <v>300</v>
      </c>
      <c r="Z3" s="9">
        <f>SUMIFS(السجل!$I$2:$I$1000,السجل!$E$2:$E$1000,$A3,السجل!$A$2:$A$1000,Z$1000)</f>
        <v>300</v>
      </c>
      <c r="AA3" s="9">
        <f>SUMIFS(السجل!$I$2:$I$1000,السجل!$E$2:$E$1000,$A3,السجل!$A$2:$A$1000,AA$1000)</f>
        <v>300</v>
      </c>
      <c r="AB3" s="6">
        <f>SUM(B3:AA3)</f>
        <v>7150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0</v>
      </c>
      <c r="X4" s="9">
        <f>SUMIFS(السجل!$I$2:$I$1000,السجل!$E$2:$E$1000,$A4,السجل!$A$2:$A$1000,X$1000)</f>
        <v>0</v>
      </c>
      <c r="Y4" s="9">
        <f>SUMIFS(السجل!$I$2:$I$1000,السجل!$E$2:$E$1000,$A4,السجل!$A$2:$A$1000,Y$1000)</f>
        <v>0</v>
      </c>
      <c r="Z4" s="9">
        <f>SUMIFS(السجل!$I$2:$I$1000,السجل!$E$2:$E$1000,$A4,السجل!$A$2:$A$1000,Z$1000)</f>
        <v>0</v>
      </c>
      <c r="AA4" s="9">
        <f>SUMIFS(السجل!$I$2:$I$1000,السجل!$E$2:$E$1000,$A4,السجل!$A$2:$A$1000,AA$1000)</f>
        <v>0</v>
      </c>
      <c r="AB4" s="6">
        <f>SUM(B4:AA4)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150</v>
      </c>
      <c r="W5" s="9">
        <f>SUMIFS(السجل!$I$2:$I$1000,السجل!$E$2:$E$1000,$A5,السجل!$A$2:$A$1000,W$1000)</f>
        <v>0</v>
      </c>
      <c r="X5" s="9">
        <f>SUMIFS(السجل!$I$2:$I$1000,السجل!$E$2:$E$1000,$A5,السجل!$A$2:$A$1000,X$1000)</f>
        <v>0</v>
      </c>
      <c r="Y5" s="9">
        <f>SUMIFS(السجل!$I$2:$I$1000,السجل!$E$2:$E$1000,$A5,السجل!$A$2:$A$1000,Y$1000)</f>
        <v>0</v>
      </c>
      <c r="Z5" s="9">
        <f>SUMIFS(السجل!$I$2:$I$1000,السجل!$E$2:$E$1000,$A5,السجل!$A$2:$A$1000,Z$1000)</f>
        <v>0</v>
      </c>
      <c r="AA5" s="9">
        <f>SUMIFS(السجل!$I$2:$I$1000,السجل!$E$2:$E$1000,$A5,السجل!$A$2:$A$1000,AA$1000)</f>
        <v>0</v>
      </c>
      <c r="AB5" s="6">
        <f>SUM(B5:AA5)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9">
        <f>SUMIFS(السجل!$I$2:$I$1000,السجل!$E$2:$E$1000,$A6,السجل!$A$2:$A$1000,U$1000)</f>
        <v>400</v>
      </c>
      <c r="V6" s="9">
        <f>SUMIFS(السجل!$I$2:$I$1000,السجل!$E$2:$E$1000,$A6,السجل!$A$2:$A$1000,V$1000)</f>
        <v>150</v>
      </c>
      <c r="W6" s="9">
        <f>SUMIFS(السجل!$I$2:$I$1000,السجل!$E$2:$E$1000,$A6,السجل!$A$2:$A$1000,W$1000)</f>
        <v>200</v>
      </c>
      <c r="X6" s="9">
        <f>SUMIFS(السجل!$I$2:$I$1000,السجل!$E$2:$E$1000,$A6,السجل!$A$2:$A$1000,X$1000)</f>
        <v>150</v>
      </c>
      <c r="Y6" s="9">
        <f>SUMIFS(السجل!$I$2:$I$1000,السجل!$E$2:$E$1000,$A6,السجل!$A$2:$A$1000,Y$1000)</f>
        <v>400</v>
      </c>
      <c r="Z6" s="9">
        <f>SUMIFS(السجل!$I$2:$I$1000,السجل!$E$2:$E$1000,$A6,السجل!$A$2:$A$1000,Z$1000)</f>
        <v>0</v>
      </c>
      <c r="AA6" s="9">
        <f>SUMIFS(السجل!$I$2:$I$1000,السجل!$E$2:$E$1000,$A6,السجل!$A$2:$A$1000,AA$1000)</f>
        <v>400</v>
      </c>
      <c r="AB6" s="6">
        <f>SUM(B6:AA6)</f>
        <v>4650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9">
        <f>SUMIFS(السجل!$I$2:$I$1000,السجل!$E$2:$E$1000,$A7,السجل!$A$2:$A$1000,X$1000)</f>
        <v>0</v>
      </c>
      <c r="Y7" s="9">
        <f>SUMIFS(السجل!$I$2:$I$1000,السجل!$E$2:$E$1000,$A7,السجل!$A$2:$A$1000,Y$1000)</f>
        <v>0</v>
      </c>
      <c r="Z7" s="9">
        <f>SUMIFS(السجل!$I$2:$I$1000,السجل!$E$2:$E$1000,$A7,السجل!$A$2:$A$1000,Z$1000)</f>
        <v>0</v>
      </c>
      <c r="AA7" s="9">
        <f>SUMIFS(السجل!$I$2:$I$1000,السجل!$E$2:$E$1000,$A7,السجل!$A$2:$A$1000,AA$1000)</f>
        <v>0</v>
      </c>
      <c r="AB7" s="6">
        <f>SUM(B7:AA7)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150</v>
      </c>
      <c r="W8" s="9">
        <f>SUMIFS(السجل!$I$2:$I$1000,السجل!$E$2:$E$1000,$A8,السجل!$A$2:$A$1000,W$1000)</f>
        <v>0</v>
      </c>
      <c r="X8" s="9">
        <f>SUMIFS(السجل!$I$2:$I$1000,السجل!$E$2:$E$1000,$A8,السجل!$A$2:$A$1000,X$1000)</f>
        <v>0</v>
      </c>
      <c r="Y8" s="9">
        <f>SUMIFS(السجل!$I$2:$I$1000,السجل!$E$2:$E$1000,$A8,السجل!$A$2:$A$1000,Y$1000)</f>
        <v>0</v>
      </c>
      <c r="Z8" s="9">
        <f>SUMIFS(السجل!$I$2:$I$1000,السجل!$E$2:$E$1000,$A8,السجل!$A$2:$A$1000,Z$1000)</f>
        <v>0</v>
      </c>
      <c r="AA8" s="9">
        <f>SUMIFS(السجل!$I$2:$I$1000,السجل!$E$2:$E$1000,$A8,السجل!$A$2:$A$1000,AA$1000)</f>
        <v>0</v>
      </c>
      <c r="AB8" s="6">
        <f>SUM(B8:AA8)</f>
        <v>150</v>
      </c>
    </row>
    <row r="9">
      <c r="A9" s="7" t="inlineStr">
        <is>
          <t>الإجمالي</t>
        </is>
      </c>
      <c r="B9" s="8">
        <f>SUM(B2:B8)</f>
        <v>1150</v>
      </c>
      <c r="C9" s="8">
        <f>SUM(C2:C8)</f>
        <v>1000</v>
      </c>
      <c r="D9" s="8">
        <f>SUM(D2:D8)</f>
        <v>1150</v>
      </c>
      <c r="E9" s="8">
        <f>SUM(E2:E8)</f>
        <v>1150</v>
      </c>
      <c r="F9" s="8">
        <f>SUM(F2:F8)</f>
        <v>1600</v>
      </c>
      <c r="G9" s="8">
        <f>SUM(G2:G8)</f>
        <v>1450</v>
      </c>
      <c r="H9" s="8">
        <f>SUM(H2:H8)</f>
        <v>800</v>
      </c>
      <c r="I9" s="8">
        <f>SUM(I2:I8)</f>
        <v>800</v>
      </c>
      <c r="J9" s="8">
        <f>SUM(J2:J8)</f>
        <v>800</v>
      </c>
      <c r="K9" s="8">
        <f>SUM(K2:K8)</f>
        <v>1300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650</v>
      </c>
      <c r="W9" s="8">
        <f>SUM(W2:W8)</f>
        <v>500</v>
      </c>
      <c r="X9" s="8">
        <f>SUM(X2:X8)</f>
        <v>500</v>
      </c>
      <c r="Y9" s="8">
        <f>SUM(Y2:Y8)</f>
        <v>1000</v>
      </c>
      <c r="Z9" s="8">
        <f>SUM(Z2:Z8)</f>
        <v>700</v>
      </c>
      <c r="AA9" s="8">
        <f>SUM(AA2:AA8)</f>
        <v>1000</v>
      </c>
      <c r="AB9" s="8">
        <f>SUM(AB2:AB8)</f>
        <v>27950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  <c r="U1000" t="inlineStr">
        <is>
          <t>2026-10-15</t>
        </is>
      </c>
      <c r="V1000" t="inlineStr">
        <is>
          <t>2026-10-16</t>
        </is>
      </c>
      <c r="W1000" t="inlineStr">
        <is>
          <t>2026-10-17</t>
        </is>
      </c>
      <c r="X1000" t="inlineStr">
        <is>
          <t>2026-10-18</t>
        </is>
      </c>
      <c r="Y1000" t="inlineStr">
        <is>
          <t>2026-10-19</t>
        </is>
      </c>
      <c r="Z1000" t="inlineStr">
        <is>
          <t>2026-10-20</t>
        </is>
      </c>
      <c r="AA1000" t="inlineStr">
        <is>
          <t>2026-10-21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الجرد'!$A$2:$A$29,MATCH(A135,'جدول الجرد'!$B$2:$B$29,0)),""))</f>
        <v>الأربعاء</v>
      </c>
      <c r="C135" s="5" t="str">
        <f>IF(A135="","",IFERROR(INDEX('جدول الجرد'!$E$2:$E$29,MATCH(A135,'جدول الجرد'!$B$2:$B$29,0)),""))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الجرد'!$A$2:$A$29,MATCH(A136,'جدول الجرد'!$B$2:$B$29,0)),""))</f>
        <v>الأربعاء</v>
      </c>
      <c r="C136" s="5" t="str">
        <f>IF(A136="","",IFERROR(INDEX('جدول الجرد'!$E$2:$E$29,MATCH(A136,'جدول الجرد'!$B$2:$B$29,0)),""))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الجرد'!$A$2:$A$29,MATCH(A137,'جدول الجرد'!$B$2:$B$29,0)),""))</f>
        <v>الأربعاء</v>
      </c>
      <c r="C137" s="5" t="str">
        <f>IF(A137="","",IFERROR(INDEX('جدول الجرد'!$E$2:$E$29,MATCH(A137,'جدول الجرد'!$B$2:$B$29,0)),""))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الجرد'!$A$2:$A$29,MATCH(A138,'جدول الجرد'!$B$2:$B$29,0)),""))</f>
        <v>الأربعاء</v>
      </c>
      <c r="C138" s="5" t="str">
        <f>IF(A138="","",IFERROR(INDEX('جدول الجرد'!$E$2:$E$29,MATCH(A138,'جدول الجرد'!$B$2:$B$29,0)),""))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الجرد'!$A$2:$A$29,MATCH(A139,'جدول الجرد'!$B$2:$B$29,0)),""))</f>
        <v>الأربعاء</v>
      </c>
      <c r="C139" s="5" t="str">
        <f>IF(A139="","",IFERROR(INDEX('جدول الجرد'!$E$2:$E$29,MATCH(A139,'جدول الجرد'!$B$2:$B$29,0)),""))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الجرد'!$A$2:$A$29,MATCH(A140,'جدول الجرد'!$B$2:$B$29,0)),""))</f>
        <v>الأربعاء</v>
      </c>
      <c r="C140" s="5" t="str">
        <f>IF(A140="","",IFERROR(INDEX('جدول الجرد'!$E$2:$E$29,MATCH(A140,'جدول الجرد'!$B$2:$B$29,0)),""))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الجرد'!$A$2:$A$29,MATCH(A141,'جدول الجرد'!$B$2:$B$29,0)),""))</f>
        <v>الخميس</v>
      </c>
      <c r="C141" s="5" t="str">
        <f>IF(A141="","",IFERROR(INDEX('جدول الجرد'!$E$2:$E$29,MATCH(A141,'جدول الجرد'!$B$2:$B$29,0)),""))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الجرد'!$A$2:$A$29,MATCH(A142,'جدول الجرد'!$B$2:$B$29,0)),""))</f>
        <v>الخميس</v>
      </c>
      <c r="C142" s="5" t="str">
        <f>IF(A142="","",IFERROR(INDEX('جدول الجرد'!$E$2:$E$29,MATCH(A142,'جدول الجرد'!$B$2:$B$29,0)),""))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الجرد'!$A$2:$A$29,MATCH(A143,'جدول الجرد'!$B$2:$B$29,0)),""))</f>
        <v>الخميس</v>
      </c>
      <c r="C143" s="5" t="str">
        <f>IF(A143="","",IFERROR(INDEX('جدول الجرد'!$E$2:$E$29,MATCH(A143,'جدول الجرد'!$B$2:$B$29,0)),""))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الجرد'!$A$2:$A$29,MATCH(A144,'جدول الجرد'!$B$2:$B$29,0)),""))</f>
        <v>الخميس</v>
      </c>
      <c r="C144" s="5" t="str">
        <f>IF(A144="","",IFERROR(INDEX('جدول الجرد'!$E$2:$E$29,MATCH(A144,'جدول الجرد'!$B$2:$B$29,0)),""))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الجرد'!$A$2:$A$29,MATCH(A145,'جدول الجرد'!$B$2:$B$29,0)),""))</f>
        <v>الخميس</v>
      </c>
      <c r="C145" s="5" t="str">
        <f>IF(A145="","",IFERROR(INDEX('جدول الجرد'!$E$2:$E$29,MATCH(A145,'جدول الجرد'!$B$2:$B$29,0)),""))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الجرد'!$A$2:$A$29,MATCH(A146,'جدول الجرد'!$B$2:$B$29,0)),""))</f>
        <v>الخميس</v>
      </c>
      <c r="C146" s="5" t="str">
        <f>IF(A146="","",IFERROR(INDEX('جدول الجرد'!$E$2:$E$29,MATCH(A146,'جدول الجرد'!$B$2:$B$29,0)),""))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الجرد'!$A$2:$A$29,MATCH(A147,'جدول الجرد'!$B$2:$B$29,0)),""))</f>
        <v>الجمعة</v>
      </c>
      <c r="C147" s="5" t="str">
        <f>IF(A147="","",IFERROR(INDEX('جدول الجرد'!$E$2:$E$29,MATCH(A147,'جدول الجرد'!$B$2:$B$29,0)),""))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الجرد'!$A$2:$A$29,MATCH(A148,'جدول الجرد'!$B$2:$B$29,0)),""))</f>
        <v>الجمعة</v>
      </c>
      <c r="C148" s="5" t="str">
        <f>IF(A148="","",IFERROR(INDEX('جدول الجرد'!$E$2:$E$29,MATCH(A148,'جدول الجرد'!$B$2:$B$29,0)),""))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الجرد'!$A$2:$A$29,MATCH(A149,'جدول الجرد'!$B$2:$B$29,0)),""))</f>
        <v>الجمعة</v>
      </c>
      <c r="C149" s="5" t="str">
        <f>IF(A149="","",IFERROR(INDEX('جدول الجرد'!$E$2:$E$29,MATCH(A149,'جدول الجرد'!$B$2:$B$29,0)),""))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الجرد'!$A$2:$A$29,MATCH(A150,'جدول الجرد'!$B$2:$B$29,0)),""))</f>
        <v>الجمعة</v>
      </c>
      <c r="C150" s="5" t="str">
        <f>IF(A150="","",IFERROR(INDEX('جدول الجرد'!$E$2:$E$29,MATCH(A150,'جدول الجرد'!$B$2:$B$29,0)),""))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inlineStr">
        <is>
          <t>2026-10-17</t>
        </is>
      </c>
      <c r="B151" s="5" t="str">
        <f>IF(A151="","",IFERROR(INDEX('جدول الجرد'!$A$2:$A$29,MATCH(A151,'جدول الجرد'!$B$2:$B$29,0)),""))</f>
        <v>السبت</v>
      </c>
      <c r="C151" s="5" t="str">
        <f>IF(A151="","",IFERROR(INDEX('جدول الجرد'!$E$2:$E$29,MATCH(A151,'جدول الجرد'!$B$2:$B$29,0)),""))</f>
        <v>الخرج</v>
      </c>
      <c r="D151" s="4" t="n">
        <v>19</v>
      </c>
      <c r="E151" s="4" t="inlineStr">
        <is>
          <t>د. علي خليفة</t>
        </is>
      </c>
      <c r="F151" s="4" t="inlineStr">
        <is>
          <t>نعم</t>
        </is>
      </c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جرد + مراجعة</v>
      </c>
      <c r="I151" s="9">
        <f>IF(H151="جرد + مراجعة",الإعدادات!$B$2,IF(H151="مراجعة فقط",الإعدادات!$B$3,IF(H151="جرد فقط",الإعدادات!$B$4,0)))</f>
        <v>200</v>
      </c>
    </row>
    <row r="152">
      <c r="A152" s="4" t="inlineStr">
        <is>
          <t>2026-10-17</t>
        </is>
      </c>
      <c r="B152" s="5" t="str">
        <f>IF(A152="","",IFERROR(INDEX('جدول الجرد'!$A$2:$A$29,MATCH(A152,'جدول الجرد'!$B$2:$B$29,0)),""))</f>
        <v>السبت</v>
      </c>
      <c r="C152" s="5" t="str">
        <f>IF(A152="","",IFERROR(INDEX('جدول الجرد'!$E$2:$E$29,MATCH(A152,'جدول الجرد'!$B$2:$B$29,0)),""))</f>
        <v>الخرج</v>
      </c>
      <c r="D152" s="4" t="n">
        <v>19</v>
      </c>
      <c r="E152" s="4" t="inlineStr">
        <is>
          <t>د. السيد حسن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2026-10-17</t>
        </is>
      </c>
      <c r="B153" s="5" t="str">
        <f>IF(A153="","",IFERROR(INDEX('جدول الجرد'!$A$2:$A$29,MATCH(A153,'جدول الجرد'!$B$2:$B$29,0)),""))</f>
        <v>السبت</v>
      </c>
      <c r="C153" s="5" t="str">
        <f>IF(A153="","",IFERROR(INDEX('جدول الجرد'!$E$2:$E$29,MATCH(A153,'جدول الجرد'!$B$2:$B$29,0)),""))</f>
        <v>الخرج</v>
      </c>
      <c r="D153" s="4" t="n">
        <v>19</v>
      </c>
      <c r="E153" s="4" t="inlineStr">
        <is>
          <t>د. حسام شلش</t>
        </is>
      </c>
      <c r="F153" s="4" t="inlineStr"/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مراجعة فقط</v>
      </c>
      <c r="I153" s="9">
        <f>IF(H153="جرد + مراجعة",الإعدادات!$B$2,IF(H153="مراجعة فقط",الإعدادات!$B$3,IF(H153="جرد فقط",الإعدادات!$B$4,0)))</f>
        <v>150</v>
      </c>
    </row>
    <row r="154">
      <c r="A154" s="4" t="inlineStr">
        <is>
          <t>2026-10-18</t>
        </is>
      </c>
      <c r="B154" s="5" t="str">
        <f>IF(A154="","",IFERROR(INDEX('جدول الجرد'!$A$2:$A$29,MATCH(A154,'جدول الجرد'!$B$2:$B$29,0)),""))</f>
        <v>الأحد</v>
      </c>
      <c r="C154" s="5" t="str">
        <f>IF(A154="","",IFERROR(INDEX('جدول الجرد'!$E$2:$E$29,MATCH(A154,'جدول الجرد'!$B$2:$B$29,0)),""))</f>
        <v>الخرج</v>
      </c>
      <c r="D154" s="4" t="n">
        <v>14</v>
      </c>
      <c r="E154" s="4" t="inlineStr">
        <is>
          <t>د. حسام شلش</t>
        </is>
      </c>
      <c r="F154" s="4" t="inlineStr">
        <is>
          <t>نعم</t>
        </is>
      </c>
      <c r="G154" s="4" t="inlineStr">
        <is>
          <t>نعم</t>
        </is>
      </c>
      <c r="H154" s="5" t="str">
        <f>IF(E154="","",IF(AND(F154="نعم",G154="نعم"),"جرد + مراجعة",IF(F154="نعم","جرد فقط",IF(G154="نعم","مراجعة فقط",""))))</f>
        <v>جرد + مراجعة</v>
      </c>
      <c r="I154" s="9">
        <f>IF(H154="جرد + مراجعة",الإعدادات!$B$2,IF(H154="مراجعة فقط",الإعدادات!$B$3,IF(H154="جرد فقط",الإعدادات!$B$4,0)))</f>
        <v>200</v>
      </c>
    </row>
    <row r="155">
      <c r="A155" s="4" t="inlineStr">
        <is>
          <t>2026-10-18</t>
        </is>
      </c>
      <c r="B155" s="5" t="str">
        <f>IF(A155="","",IFERROR(INDEX('جدول الجرد'!$A$2:$A$29,MATCH(A155,'جدول الجرد'!$B$2:$B$29,0)),""))</f>
        <v>الأحد</v>
      </c>
      <c r="C155" s="5" t="str">
        <f>IF(A155="","",IFERROR(INDEX('جدول الجرد'!$E$2:$E$29,MATCH(A155,'جدول الجرد'!$B$2:$B$29,0)),""))</f>
        <v>الخرج</v>
      </c>
      <c r="D155" s="4" t="n">
        <v>14</v>
      </c>
      <c r="E155" s="4" t="inlineStr">
        <is>
          <t>د. علي خليفة</t>
        </is>
      </c>
      <c r="F155" s="4" t="inlineStr"/>
      <c r="G155" s="4" t="inlineStr">
        <is>
          <t>نعم</t>
        </is>
      </c>
      <c r="H155" s="5" t="str">
        <f>IF(E155="","",IF(AND(F155="نعم",G155="نعم"),"جرد + مراجعة",IF(F155="نعم","جرد فقط",IF(G155="نعم","مراجعة فقط",""))))</f>
        <v>مراجعة فقط</v>
      </c>
      <c r="I155" s="9">
        <f>IF(H155="جرد + مراجعة",الإعدادات!$B$2,IF(H155="مراجعة فقط",الإعدادات!$B$3,IF(H155="جرد فقط",الإعدادات!$B$4,0)))</f>
        <v>150</v>
      </c>
    </row>
    <row r="156">
      <c r="A156" s="4" t="inlineStr">
        <is>
          <t>2026-10-18</t>
        </is>
      </c>
      <c r="B156" s="5" t="str">
        <f>IF(A156="","",IFERROR(INDEX('جدول الجرد'!$A$2:$A$29,MATCH(A156,'جدول الجرد'!$B$2:$B$29,0)),""))</f>
        <v>الأحد</v>
      </c>
      <c r="C156" s="5" t="str">
        <f>IF(A156="","",IFERROR(INDEX('جدول الجرد'!$E$2:$E$29,MATCH(A156,'جدول الجرد'!$B$2:$B$29,0)),""))</f>
        <v>الخرج</v>
      </c>
      <c r="D156" s="4" t="n">
        <v>14</v>
      </c>
      <c r="E156" s="4" t="inlineStr">
        <is>
          <t>د. السيد حسن</t>
        </is>
      </c>
      <c r="F156" s="4" t="inlineStr"/>
      <c r="G156" s="4" t="inlineStr">
        <is>
          <t>نعم</t>
        </is>
      </c>
      <c r="H156" s="5" t="str">
        <f>IF(E156="","",IF(AND(F156="نعم",G156="نعم"),"جرد + مراجعة",IF(F156="نعم","جرد فقط",IF(G156="نعم","مراجعة فقط",""))))</f>
        <v>مراجعة فقط</v>
      </c>
      <c r="I156" s="9">
        <f>IF(H156="جرد + مراجعة",الإعدادات!$B$2,IF(H156="مراجعة فقط",الإعدادات!$B$3,IF(H156="جرد فقط",الإعدادات!$B$4,0)))</f>
        <v>150</v>
      </c>
    </row>
    <row r="157">
      <c r="A157" s="4" t="inlineStr">
        <is>
          <t>2026-10-19</t>
        </is>
      </c>
      <c r="B157" s="5" t="str">
        <f>IF(A157="","",IFERROR(INDEX('جدول الجرد'!$A$2:$A$29,MATCH(A157,'جدول الجرد'!$B$2:$B$29,0)),""))</f>
        <v>الاثنين</v>
      </c>
      <c r="C157" s="5" t="str">
        <f>IF(A157="","",IFERROR(INDEX('جدول الجرد'!$E$2:$E$29,MATCH(A157,'جدول الجرد'!$B$2:$B$29,0)),""))</f>
        <v>الرياض</v>
      </c>
      <c r="D157" s="4" t="n">
        <v>42</v>
      </c>
      <c r="E157" s="4" t="inlineStr">
        <is>
          <t>د. علي خليفة</t>
        </is>
      </c>
      <c r="F157" s="4" t="inlineStr">
        <is>
          <t>نعم</t>
        </is>
      </c>
      <c r="G157" s="4" t="inlineStr">
        <is>
          <t>نعم</t>
        </is>
      </c>
      <c r="H157" s="5" t="str">
        <f>IF(E157="","",IF(AND(F157="نعم",G157="نعم"),"جرد + مراجعة",IF(F157="نعم","جرد فقط",IF(G157="نعم","مراجعة فقط",""))))</f>
        <v>جرد + مراجعة</v>
      </c>
      <c r="I157" s="9">
        <f>IF(H157="جرد + مراجعة",الإعدادات!$B$2,IF(H157="مراجعة فقط",الإعدادات!$B$3,IF(H157="جرد فقط",الإعدادات!$B$4,0)))</f>
        <v>200</v>
      </c>
    </row>
    <row r="158">
      <c r="A158" s="4" t="inlineStr">
        <is>
          <t>2026-10-19</t>
        </is>
      </c>
      <c r="B158" s="5" t="str">
        <f>IF(A158="","",IFERROR(INDEX('جدول الجرد'!$A$2:$A$29,MATCH(A158,'جدول الجرد'!$B$2:$B$29,0)),""))</f>
        <v>الاثنين</v>
      </c>
      <c r="C158" s="5" t="str">
        <f>IF(A158="","",IFERROR(INDEX('جدول الجرد'!$E$2:$E$29,MATCH(A158,'جدول الجرد'!$B$2:$B$29,0)),""))</f>
        <v>الرياض</v>
      </c>
      <c r="D158" s="4" t="n">
        <v>42</v>
      </c>
      <c r="E158" s="4" t="inlineStr">
        <is>
          <t>د. حسام شلش</t>
        </is>
      </c>
      <c r="F158" s="4" t="inlineStr"/>
      <c r="G158" s="4" t="inlineStr">
        <is>
          <t>نعم</t>
        </is>
      </c>
      <c r="H158" s="5" t="str">
        <f>IF(E158="","",IF(AND(F158="نعم",G158="نعم"),"جرد + مراجعة",IF(F158="نعم","جرد فقط",IF(G158="نعم","مراجعة فقط",""))))</f>
        <v>مراجعة فقط</v>
      </c>
      <c r="I158" s="9">
        <f>IF(H158="جرد + مراجعة",الإعدادات!$B$2,IF(H158="مراجعة فقط",الإعدادات!$B$3,IF(H158="جرد فقط",الإعدادات!$B$4,0)))</f>
        <v>150</v>
      </c>
    </row>
    <row r="159">
      <c r="A159" s="4" t="inlineStr">
        <is>
          <t>2026-10-19</t>
        </is>
      </c>
      <c r="B159" s="5" t="str">
        <f>IF(A159="","",IFERROR(INDEX('جدول الجرد'!$A$2:$A$29,MATCH(A159,'جدول الجرد'!$B$2:$B$29,0)),""))</f>
        <v>الاثنين</v>
      </c>
      <c r="C159" s="5" t="str">
        <f>IF(A159="","",IFERROR(INDEX('جدول الجرد'!$E$2:$E$29,MATCH(A159,'جدول الجرد'!$B$2:$B$29,0)),""))</f>
        <v>الرياض</v>
      </c>
      <c r="D159" s="4" t="n">
        <v>42</v>
      </c>
      <c r="E159" s="4" t="inlineStr">
        <is>
          <t>د. السيد حسن</t>
        </is>
      </c>
      <c r="F159" s="4" t="inlineStr"/>
      <c r="G159" s="4" t="inlineStr">
        <is>
          <t>نعم</t>
        </is>
      </c>
      <c r="H159" s="5" t="str">
        <f>IF(E159="","",IF(AND(F159="نعم",G159="نعم"),"جرد + مراجعة",IF(F159="نعم","جرد فقط",IF(G159="نعم","مراجعة فقط",""))))</f>
        <v>مراجعة فقط</v>
      </c>
      <c r="I159" s="9">
        <f>IF(H159="جرد + مراجعة",الإعدادات!$B$2,IF(H159="مراجعة فقط",الإعدادات!$B$3,IF(H159="جرد فقط",الإعدادات!$B$4,0)))</f>
        <v>150</v>
      </c>
    </row>
    <row r="160">
      <c r="A160" s="4" t="inlineStr">
        <is>
          <t>2026-10-19</t>
        </is>
      </c>
      <c r="B160" s="5" t="str">
        <f>IF(A160="","",IFERROR(INDEX('جدول الجرد'!$A$2:$A$29,MATCH(A160,'جدول الجرد'!$B$2:$B$29,0)),""))</f>
        <v>الاثنين</v>
      </c>
      <c r="C160" s="5" t="str">
        <f>IF(A160="","",IFERROR(INDEX('جدول الجرد'!$E$2:$E$29,MATCH(A160,'جدول الجرد'!$B$2:$B$29,0)),""))</f>
        <v>الرياض</v>
      </c>
      <c r="D160" s="4" t="n">
        <v>44</v>
      </c>
      <c r="E160" s="4" t="inlineStr">
        <is>
          <t>د. علي خليفة</t>
        </is>
      </c>
      <c r="F160" s="4" t="inlineStr">
        <is>
          <t>نعم</t>
        </is>
      </c>
      <c r="G160" s="4" t="inlineStr">
        <is>
          <t>نعم</t>
        </is>
      </c>
      <c r="H160" s="5" t="str">
        <f>IF(E160="","",IF(AND(F160="نعم",G160="نعم"),"جرد + مراجعة",IF(F160="نعم","جرد فقط",IF(G160="نعم","مراجعة فقط",""))))</f>
        <v>جرد + مراجعة</v>
      </c>
      <c r="I160" s="9">
        <f>IF(H160="جرد + مراجعة",الإعدادات!$B$2,IF(H160="مراجعة فقط",الإعدادات!$B$3,IF(H160="جرد فقط",الإعدادات!$B$4,0)))</f>
        <v>200</v>
      </c>
    </row>
    <row r="161">
      <c r="A161" s="4" t="inlineStr">
        <is>
          <t>2026-10-19</t>
        </is>
      </c>
      <c r="B161" s="5" t="str">
        <f>IF(A161="","",IFERROR(INDEX('جدول الجرد'!$A$2:$A$29,MATCH(A161,'جدول الجرد'!$B$2:$B$29,0)),""))</f>
        <v>الاثنين</v>
      </c>
      <c r="C161" s="5" t="str">
        <f>IF(A161="","",IFERROR(INDEX('جدول الجرد'!$E$2:$E$29,MATCH(A161,'جدول الجرد'!$B$2:$B$29,0)),""))</f>
        <v>الرياض</v>
      </c>
      <c r="D161" s="4" t="n">
        <v>44</v>
      </c>
      <c r="E161" s="4" t="inlineStr">
        <is>
          <t>د. حسام شلش</t>
        </is>
      </c>
      <c r="F161" s="4" t="inlineStr"/>
      <c r="G161" s="4" t="inlineStr">
        <is>
          <t>نعم</t>
        </is>
      </c>
      <c r="H161" s="5" t="str">
        <f>IF(E161="","",IF(AND(F161="نعم",G161="نعم"),"جرد + مراجعة",IF(F161="نعم","جرد فقط",IF(G161="نعم","مراجعة فقط",""))))</f>
        <v>مراجعة فقط</v>
      </c>
      <c r="I161" s="9">
        <f>IF(H161="جرد + مراجعة",الإعدادات!$B$2,IF(H161="مراجعة فقط",الإعدادات!$B$3,IF(H161="جرد فقط",الإعدادات!$B$4,0)))</f>
        <v>150</v>
      </c>
    </row>
    <row r="162">
      <c r="A162" s="4" t="inlineStr">
        <is>
          <t>2026-10-19</t>
        </is>
      </c>
      <c r="B162" s="5" t="str">
        <f>IF(A162="","",IFERROR(INDEX('جدول الجرد'!$A$2:$A$29,MATCH(A162,'جدول الجرد'!$B$2:$B$29,0)),""))</f>
        <v>الاثنين</v>
      </c>
      <c r="C162" s="5" t="str">
        <f>IF(A162="","",IFERROR(INDEX('جدول الجرد'!$E$2:$E$29,MATCH(A162,'جدول الجرد'!$B$2:$B$29,0)),""))</f>
        <v>الرياض</v>
      </c>
      <c r="D162" s="4" t="n">
        <v>44</v>
      </c>
      <c r="E162" s="4" t="inlineStr">
        <is>
          <t>د. السيد حسن</t>
        </is>
      </c>
      <c r="F162" s="4" t="inlineStr"/>
      <c r="G162" s="4" t="inlineStr">
        <is>
          <t>نعم</t>
        </is>
      </c>
      <c r="H162" s="5" t="str">
        <f>IF(E162="","",IF(AND(F162="نعم",G162="نعم"),"جرد + مراجعة",IF(F162="نعم","جرد فقط",IF(G162="نعم","مراجعة فقط",""))))</f>
        <v>مراجعة فقط</v>
      </c>
      <c r="I162" s="9">
        <f>IF(H162="جرد + مراجعة",الإعدادات!$B$2,IF(H162="مراجعة فقط",الإعدادات!$B$3,IF(H162="جرد فقط",الإعدادات!$B$4,0)))</f>
        <v>150</v>
      </c>
    </row>
    <row r="163">
      <c r="A163" s="4" t="inlineStr">
        <is>
          <t>2026-10-20</t>
        </is>
      </c>
      <c r="B163" s="5" t="str">
        <f>IF(A163="","",IFERROR(INDEX('جدول الجرد'!$A$2:$A$29,MATCH(A163,'جدول الجرد'!$B$2:$B$29,0)),""))</f>
        <v>الثلاثاء</v>
      </c>
      <c r="C163" s="5" t="str">
        <f>IF(A163="","",IFERROR(INDEX('جدول الجرد'!$E$2:$E$29,MATCH(A163,'جدول الجرد'!$B$2:$B$29,0)),""))</f>
        <v>الرياض</v>
      </c>
      <c r="D163" s="4" t="n">
        <v>43</v>
      </c>
      <c r="E163" s="4" t="inlineStr">
        <is>
          <t>د. حسام شلش</t>
        </is>
      </c>
      <c r="F163" s="4" t="inlineStr">
        <is>
          <t>نعم</t>
        </is>
      </c>
      <c r="G163" s="4" t="inlineStr">
        <is>
          <t>نعم</t>
        </is>
      </c>
      <c r="H163" s="5" t="str">
        <f>IF(E163="","",IF(AND(F163="نعم",G163="نعم"),"جرد + مراجعة",IF(F163="نعم","جرد فقط",IF(G163="نعم","مراجعة فقط",""))))</f>
        <v>جرد + مراجعة</v>
      </c>
      <c r="I163" s="9">
        <f>IF(H163="جرد + مراجعة",الإعدادات!$B$2,IF(H163="مراجعة فقط",الإعدادات!$B$3,IF(H163="جرد فقط",الإعدادات!$B$4,0)))</f>
        <v>200</v>
      </c>
    </row>
    <row r="164">
      <c r="A164" s="4" t="inlineStr">
        <is>
          <t>2026-10-20</t>
        </is>
      </c>
      <c r="B164" s="5" t="str">
        <f>IF(A164="","",IFERROR(INDEX('جدول الجرد'!$A$2:$A$29,MATCH(A164,'جدول الجرد'!$B$2:$B$29,0)),""))</f>
        <v>الثلاثاء</v>
      </c>
      <c r="C164" s="5" t="str">
        <f>IF(A164="","",IFERROR(INDEX('جدول الجرد'!$E$2:$E$29,MATCH(A164,'جدول الجرد'!$B$2:$B$29,0)),""))</f>
        <v>الرياض</v>
      </c>
      <c r="D164" s="4" t="n">
        <v>43</v>
      </c>
      <c r="E164" s="4" t="inlineStr">
        <is>
          <t>د. السيد حسن</t>
        </is>
      </c>
      <c r="F164" s="4" t="inlineStr"/>
      <c r="G164" s="4" t="inlineStr">
        <is>
          <t>نعم</t>
        </is>
      </c>
      <c r="H164" s="5" t="str">
        <f>IF(E164="","",IF(AND(F164="نعم",G164="نعم"),"جرد + مراجعة",IF(F164="نعم","جرد فقط",IF(G164="نعم","مراجعة فقط",""))))</f>
        <v>مراجعة فقط</v>
      </c>
      <c r="I164" s="9">
        <f>IF(H164="جرد + مراجعة",الإعدادات!$B$2,IF(H164="مراجعة فقط",الإعدادات!$B$3,IF(H164="جرد فقط",الإعدادات!$B$4,0)))</f>
        <v>150</v>
      </c>
    </row>
    <row r="165">
      <c r="A165" s="4" t="inlineStr">
        <is>
          <t>2026-10-20</t>
        </is>
      </c>
      <c r="B165" s="5" t="str">
        <f>IF(A165="","",IFERROR(INDEX('جدول الجرد'!$A$2:$A$29,MATCH(A165,'جدول الجرد'!$B$2:$B$29,0)),""))</f>
        <v>الثلاثاء</v>
      </c>
      <c r="C165" s="5" t="str">
        <f>IF(A165="","",IFERROR(INDEX('جدول الجرد'!$E$2:$E$29,MATCH(A165,'جدول الجرد'!$B$2:$B$29,0)),""))</f>
        <v>الرياض</v>
      </c>
      <c r="D165" s="4" t="n">
        <v>45</v>
      </c>
      <c r="E165" s="4" t="inlineStr">
        <is>
          <t>د. حسام شلش</t>
        </is>
      </c>
      <c r="F165" s="4" t="inlineStr">
        <is>
          <t>نعم</t>
        </is>
      </c>
      <c r="G165" s="4" t="inlineStr">
        <is>
          <t>نعم</t>
        </is>
      </c>
      <c r="H165" s="5" t="str">
        <f>IF(E165="","",IF(AND(F165="نعم",G165="نعم"),"جرد + مراجعة",IF(F165="نعم","جرد فقط",IF(G165="نعم","مراجعة فقط",""))))</f>
        <v>جرد + مراجعة</v>
      </c>
      <c r="I165" s="9">
        <f>IF(H165="جرد + مراجعة",الإعدادات!$B$2,IF(H165="مراجعة فقط",الإعدادات!$B$3,IF(H165="جرد فقط",الإعدادات!$B$4,0)))</f>
        <v>200</v>
      </c>
    </row>
    <row r="166">
      <c r="A166" s="4" t="inlineStr">
        <is>
          <t>2026-10-20</t>
        </is>
      </c>
      <c r="B166" s="5" t="str">
        <f>IF(A166="","",IFERROR(INDEX('جدول الجرد'!$A$2:$A$29,MATCH(A166,'جدول الجرد'!$B$2:$B$29,0)),""))</f>
        <v>الثلاثاء</v>
      </c>
      <c r="C166" s="5" t="str">
        <f>IF(A166="","",IFERROR(INDEX('جدول الجرد'!$E$2:$E$29,MATCH(A166,'جدول الجرد'!$B$2:$B$29,0)),""))</f>
        <v>الرياض</v>
      </c>
      <c r="D166" s="4" t="n">
        <v>45</v>
      </c>
      <c r="E166" s="4" t="inlineStr">
        <is>
          <t>د. السيد حسن</t>
        </is>
      </c>
      <c r="F166" s="4" t="inlineStr"/>
      <c r="G166" s="4" t="inlineStr">
        <is>
          <t>نعم</t>
        </is>
      </c>
      <c r="H166" s="5" t="str">
        <f>IF(E166="","",IF(AND(F166="نعم",G166="نعم"),"جرد + مراجعة",IF(F166="نعم","جرد فقط",IF(G166="نعم","مراجعة فقط",""))))</f>
        <v>مراجعة فقط</v>
      </c>
      <c r="I166" s="9">
        <f>IF(H166="جرد + مراجعة",الإعدادات!$B$2,IF(H166="مراجعة فقط",الإعدادات!$B$3,IF(H166="جرد فقط",الإعدادات!$B$4,0)))</f>
        <v>150</v>
      </c>
    </row>
    <row r="167">
      <c r="A167" s="4" t="inlineStr">
        <is>
          <t>2026-10-21</t>
        </is>
      </c>
      <c r="B167" s="5" t="str">
        <f>IF(A167="","",IFERROR(INDEX('جدول الجرد'!$A$2:$A$29,MATCH(A167,'جدول الجرد'!$B$2:$B$29,0)),""))</f>
        <v>الأربعاء</v>
      </c>
      <c r="C167" s="5" t="str">
        <f>IF(A167="","",IFERROR(INDEX('جدول الجرد'!$E$2:$E$29,MATCH(A167,'جدول الجرد'!$B$2:$B$29,0)),""))</f>
        <v>الرياض</v>
      </c>
      <c r="D167" s="4" t="n">
        <v>23</v>
      </c>
      <c r="E167" s="4" t="inlineStr">
        <is>
          <t>د. علي خليفة</t>
        </is>
      </c>
      <c r="F167" s="4" t="inlineStr">
        <is>
          <t>نعم</t>
        </is>
      </c>
      <c r="G167" s="4" t="inlineStr">
        <is>
          <t>نعم</t>
        </is>
      </c>
      <c r="H167" s="5" t="str">
        <f>IF(E167="","",IF(AND(F167="نعم",G167="نعم"),"جرد + مراجعة",IF(F167="نعم","جرد فقط",IF(G167="نعم","مراجعة فقط",""))))</f>
        <v>جرد + مراجعة</v>
      </c>
      <c r="I167" s="9">
        <f>IF(H167="جرد + مراجعة",الإعدادات!$B$2,IF(H167="مراجعة فقط",الإعدادات!$B$3,IF(H167="جرد فقط",الإعدادات!$B$4,0)))</f>
        <v>200</v>
      </c>
    </row>
    <row r="168">
      <c r="A168" s="4" t="inlineStr">
        <is>
          <t>2026-10-21</t>
        </is>
      </c>
      <c r="B168" s="5" t="str">
        <f>IF(A168="","",IFERROR(INDEX('جدول الجرد'!$A$2:$A$29,MATCH(A168,'جدول الجرد'!$B$2:$B$29,0)),""))</f>
        <v>الأربعاء</v>
      </c>
      <c r="C168" s="5" t="str">
        <f>IF(A168="","",IFERROR(INDEX('جدول الجرد'!$E$2:$E$29,MATCH(A168,'جدول الجرد'!$B$2:$B$29,0)),""))</f>
        <v>الرياض</v>
      </c>
      <c r="D168" s="4" t="n">
        <v>23</v>
      </c>
      <c r="E168" s="4" t="inlineStr">
        <is>
          <t>د. حسام شلش</t>
        </is>
      </c>
      <c r="F168" s="4" t="inlineStr"/>
      <c r="G168" s="4" t="inlineStr">
        <is>
          <t>نعم</t>
        </is>
      </c>
      <c r="H168" s="5" t="str">
        <f>IF(E168="","",IF(AND(F168="نعم",G168="نعم"),"جرد + مراجعة",IF(F168="نعم","جرد فقط",IF(G168="نعم","مراجعة فقط",""))))</f>
        <v>مراجعة فقط</v>
      </c>
      <c r="I168" s="9">
        <f>IF(H168="جرد + مراجعة",الإعدادات!$B$2,IF(H168="مراجعة فقط",الإعدادات!$B$3,IF(H168="جرد فقط",الإعدادات!$B$4,0)))</f>
        <v>150</v>
      </c>
    </row>
    <row r="169">
      <c r="A169" s="4" t="inlineStr">
        <is>
          <t>2026-10-21</t>
        </is>
      </c>
      <c r="B169" s="5" t="str">
        <f>IF(A169="","",IFERROR(INDEX('جدول الجرد'!$A$2:$A$29,MATCH(A169,'جدول الجرد'!$B$2:$B$29,0)),""))</f>
        <v>الأربعاء</v>
      </c>
      <c r="C169" s="5" t="str">
        <f>IF(A169="","",IFERROR(INDEX('جدول الجرد'!$E$2:$E$29,MATCH(A169,'جدول الجرد'!$B$2:$B$29,0)),""))</f>
        <v>الرياض</v>
      </c>
      <c r="D169" s="4" t="n">
        <v>23</v>
      </c>
      <c r="E169" s="4" t="inlineStr">
        <is>
          <t>د. السيد حسن</t>
        </is>
      </c>
      <c r="F169" s="4" t="inlineStr"/>
      <c r="G169" s="4" t="inlineStr">
        <is>
          <t>نعم</t>
        </is>
      </c>
      <c r="H169" s="5" t="str">
        <f>IF(E169="","",IF(AND(F169="نعم",G169="نعم"),"جرد + مراجعة",IF(F169="نعم","جرد فقط",IF(G169="نعم","مراجعة فقط",""))))</f>
        <v>مراجعة فقط</v>
      </c>
      <c r="I169" s="9">
        <f>IF(H169="جرد + مراجعة",الإعدادات!$B$2,IF(H169="مراجعة فقط",الإعدادات!$B$3,IF(H169="جرد فقط",الإعدادات!$B$4,0)))</f>
        <v>150</v>
      </c>
    </row>
    <row r="170">
      <c r="A170" s="4" t="inlineStr">
        <is>
          <t>2026-10-21</t>
        </is>
      </c>
      <c r="B170" s="5" t="str">
        <f>IF(A170="","",IFERROR(INDEX('جدول الجرد'!$A$2:$A$29,MATCH(A170,'جدول الجرد'!$B$2:$B$29,0)),""))</f>
        <v>الأربعاء</v>
      </c>
      <c r="C170" s="5" t="str">
        <f>IF(A170="","",IFERROR(INDEX('جدول الجرد'!$E$2:$E$29,MATCH(A170,'جدول الجرد'!$B$2:$B$29,0)),""))</f>
        <v>الرياض</v>
      </c>
      <c r="D170" s="4" t="n">
        <v>58</v>
      </c>
      <c r="E170" s="4" t="inlineStr">
        <is>
          <t>د. علي خليفة</t>
        </is>
      </c>
      <c r="F170" s="4" t="inlineStr">
        <is>
          <t>نعم</t>
        </is>
      </c>
      <c r="G170" s="4" t="inlineStr">
        <is>
          <t>نعم</t>
        </is>
      </c>
      <c r="H170" s="5" t="str">
        <f>IF(E170="","",IF(AND(F170="نعم",G170="نعم"),"جرد + مراجعة",IF(F170="نعم","جرد فقط",IF(G170="نعم","مراجعة فقط",""))))</f>
        <v>جرد + مراجعة</v>
      </c>
      <c r="I170" s="9">
        <f>IF(H170="جرد + مراجعة",الإعدادات!$B$2,IF(H170="مراجعة فقط",الإعدادات!$B$3,IF(H170="جرد فقط",الإعدادات!$B$4,0)))</f>
        <v>200</v>
      </c>
    </row>
    <row r="171">
      <c r="A171" s="4" t="inlineStr">
        <is>
          <t>2026-10-21</t>
        </is>
      </c>
      <c r="B171" s="5" t="str">
        <f>IF(A171="","",IFERROR(INDEX('جدول الجرد'!$A$2:$A$29,MATCH(A171,'جدول الجرد'!$B$2:$B$29,0)),""))</f>
        <v>الأربعاء</v>
      </c>
      <c r="C171" s="5" t="str">
        <f>IF(A171="","",IFERROR(INDEX('جدول الجرد'!$E$2:$E$29,MATCH(A171,'جدول الجرد'!$B$2:$B$29,0)),""))</f>
        <v>الرياض</v>
      </c>
      <c r="D171" s="4" t="n">
        <v>58</v>
      </c>
      <c r="E171" s="4" t="inlineStr">
        <is>
          <t>د. حسام شلش</t>
        </is>
      </c>
      <c r="F171" s="4" t="inlineStr"/>
      <c r="G171" s="4" t="inlineStr">
        <is>
          <t>نعم</t>
        </is>
      </c>
      <c r="H171" s="5" t="str">
        <f>IF(E171="","",IF(AND(F171="نعم",G171="نعم"),"جرد + مراجعة",IF(F171="نعم","جرد فقط",IF(G171="نعم","مراجعة فقط",""))))</f>
        <v>مراجعة فقط</v>
      </c>
      <c r="I171" s="9">
        <f>IF(H171="جرد + مراجعة",الإعدادات!$B$2,IF(H171="مراجعة فقط",الإعدادات!$B$3,IF(H171="جرد فقط",الإعدادات!$B$4,0)))</f>
        <v>150</v>
      </c>
    </row>
    <row r="172">
      <c r="A172" s="4" t="inlineStr">
        <is>
          <t>2026-10-21</t>
        </is>
      </c>
      <c r="B172" s="5" t="str">
        <f>IF(A172="","",IFERROR(INDEX('جدول الجرد'!$A$2:$A$29,MATCH(A172,'جدول الجرد'!$B$2:$B$29,0)),""))</f>
        <v>الأربعاء</v>
      </c>
      <c r="C172" s="5" t="str">
        <f>IF(A172="","",IFERROR(INDEX('جدول الجرد'!$E$2:$E$29,MATCH(A172,'جدول الجرد'!$B$2:$B$29,0)),""))</f>
        <v>الرياض</v>
      </c>
      <c r="D172" s="4" t="n">
        <v>58</v>
      </c>
      <c r="E172" s="4" t="inlineStr">
        <is>
          <t>د. السيد حسن</t>
        </is>
      </c>
      <c r="F172" s="4" t="inlineStr"/>
      <c r="G172" s="4" t="inlineStr">
        <is>
          <t>نعم</t>
        </is>
      </c>
      <c r="H172" s="5" t="str">
        <f>IF(E172="","",IF(AND(F172="نعم",G172="نعم"),"جرد + مراجعة",IF(F172="نعم","جرد فقط",IF(G172="نعم","مراجعة فقط",""))))</f>
        <v>مراجعة فقط</v>
      </c>
      <c r="I172" s="9">
        <f>IF(H172="جرد + مراجعة",الإعدادات!$B$2,IF(H172="مراجعة فقط",الإعدادات!$B$3,IF(H172="جرد فقط",الإعدادات!$B$4,0)))</f>
        <v>150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2026-10-21T15:09:27Z</dcterms:created>
  <dcterms:modified xsi:type="dcterms:W3CDTF">2026-10-21T15:09:27Z</dcterms:modified>
</cp:coreProperties>
</file>