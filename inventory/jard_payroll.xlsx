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21</v>
      </c>
      <c r="C4" s="5">
        <f>IF(A4="","",COUNTIFS(السجل!$E$2:$E$1000,A4,السجل!$H$2:$H$1000,"مراجعة فقط"))</f>
        <v>19</v>
      </c>
      <c r="D4" s="5">
        <f>IF(A4="","",COUNTIFS(السجل!$E$2:$E$1000,A4,السجل!$H$2:$H$1000,"جرد فقط"))</f>
        <v>0</v>
      </c>
      <c r="E4" s="5">
        <f>IF(A4="","",SUM(B4:D4))</f>
        <v>40</v>
      </c>
      <c r="F4" s="6">
        <f>IF(A4="","",SUMIFS(السجل!$I$2:$I$1000,السجل!$E$2:$E$1000,A4))</f>
        <v>7050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31</v>
      </c>
      <c r="D5" s="5">
        <f>IF(A5="","",COUNTIFS(السجل!$E$2:$E$1000,A5,السجل!$H$2:$H$1000,"جرد فقط"))</f>
        <v>0</v>
      </c>
      <c r="E5" s="5">
        <f>IF(A5="","",SUM(B5:D5))</f>
        <v>39</v>
      </c>
      <c r="F5" s="6">
        <f>IF(A5="","",SUMIFS(السجل!$I$2:$I$1000,السجل!$E$2:$E$1000,A5))</f>
        <v>6250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11</v>
      </c>
      <c r="C8" s="5">
        <f>IF(A8="","",COUNTIFS(السجل!$E$2:$E$1000,A8,السجل!$H$2:$H$1000,"مراجعة فقط"))</f>
        <v>11</v>
      </c>
      <c r="D8" s="5">
        <f>IF(A8="","",COUNTIFS(السجل!$E$2:$E$1000,A8,السجل!$H$2:$H$1000,"جرد فقط"))</f>
        <v>0</v>
      </c>
      <c r="E8" s="5">
        <f>IF(A8="","",SUM(B8:D8))</f>
        <v>22</v>
      </c>
      <c r="F8" s="6">
        <f>IF(A8="","",SUMIFS(السجل!$I$2:$I$1000,السجل!$E$2:$E$1000,A8))</f>
        <v>3850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40</v>
      </c>
      <c r="C19" s="7">
        <f>SUM(C4:C18)</f>
        <v>115</v>
      </c>
      <c r="D19" s="7">
        <f>SUM(D4:D18)</f>
        <v>0</v>
      </c>
      <c r="E19" s="7">
        <f>SUM(E4:E18)</f>
        <v>155</v>
      </c>
      <c r="F19" s="8">
        <f>SUM(F4:F18)</f>
        <v>25250</v>
      </c>
    </row>
    <row r="21">
      <c r="A21" s="5" t="inlineStr">
        <is>
          <t>للتحقق: إجمالي السجل</t>
        </is>
      </c>
      <c r="F21" s="9">
        <f>SUM(السجل!$I$2:$I$1000)</f>
        <v>25250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5" customWidth="1" min="25" max="25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الأحد
2026-10-18</t>
        </is>
      </c>
      <c r="Y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9">
        <f>SUMIFS(السجل!$I$2:$I$1000,السجل!$E$2:$E$1000,$A2,السجل!$A$2:$A$1000,X$1000)</f>
        <v>200</v>
      </c>
      <c r="Y2" s="6">
        <f>SUM(B2:X2)</f>
        <v>7050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9">
        <f>SUMIFS(السجل!$I$2:$I$1000,السجل!$E$2:$E$1000,$A3,السجل!$A$2:$A$1000,X$1000)</f>
        <v>150</v>
      </c>
      <c r="Y3" s="6">
        <f>SUM(B3:X3)</f>
        <v>6250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6">
        <f>SUM(B4:X4)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9">
        <f>SUMIFS(السجل!$I$2:$I$1000,السجل!$E$2:$E$1000,$A5,السجل!$A$2:$A$1000,X$1000)</f>
        <v>0</v>
      </c>
      <c r="Y5" s="6">
        <f>SUM(B5:X5)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9">
        <f>SUMIFS(السجل!$I$2:$I$1000,السجل!$E$2:$E$1000,$A6,السجل!$A$2:$A$1000,X$1000)</f>
        <v>150</v>
      </c>
      <c r="Y6" s="6">
        <f>SUM(B6:X6)</f>
        <v>3850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6">
        <f>SUM(B7:X7)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9">
        <f>SUMIFS(السجل!$I$2:$I$1000,السجل!$E$2:$E$1000,$A8,السجل!$A$2:$A$1000,X$1000)</f>
        <v>0</v>
      </c>
      <c r="Y8" s="6">
        <f>SUM(B8:X8)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500</v>
      </c>
      <c r="Y9" s="8">
        <f>SUM(Y2:Y8)</f>
        <v>25250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  <c r="X1000" t="inlineStr">
        <is>
          <t>2026-10-18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الجرد'!$A$2:$A$29,MATCH(A154,'جدول الجرد'!$B$2:$B$29,0)),""))</f>
        <v>الأحد</v>
      </c>
      <c r="C154" s="5" t="str">
        <f>IF(A154="","",IFERROR(INDEX('جدول الجرد'!$E$2:$E$29,MATCH(A154,'جدول الجرد'!$B$2:$B$29,0)),""))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الجرد'!$A$2:$A$29,MATCH(A155,'جدول الجرد'!$B$2:$B$29,0)),""))</f>
        <v>الأحد</v>
      </c>
      <c r="C155" s="5" t="str">
        <f>IF(A155="","",IFERROR(INDEX('جدول الجرد'!$E$2:$E$29,MATCH(A155,'جدول الجرد'!$B$2:$B$29,0)),""))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الجرد'!$A$2:$A$29,MATCH(A156,'جدول الجرد'!$B$2:$B$29,0)),""))</f>
        <v>الأحد</v>
      </c>
      <c r="C156" s="5" t="str">
        <f>IF(A156="","",IFERROR(INDEX('جدول الجرد'!$E$2:$E$29,MATCH(A156,'جدول الجرد'!$B$2:$B$29,0)),""))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2026-10-19T08:32:24Z</dcterms:created>
  <dcterms:modified xsi:type="dcterms:W3CDTF">2026-10-19T08:32:24Z</dcterms:modified>
</cp:coreProperties>
</file>