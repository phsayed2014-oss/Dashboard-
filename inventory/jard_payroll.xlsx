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9</v>
      </c>
      <c r="C4" s="5">
        <f>IF(A4="","",COUNTIFS(السجل!$E$2:$E$1000,A4,السجل!$H$2:$H$1000,"مراجعة فقط"))</f>
        <v>5</v>
      </c>
      <c r="D4" s="5">
        <f>IF(A4="","",COUNTIFS(السجل!$E$2:$E$1000,A4,السجل!$H$2:$H$1000,"جرد فقط"))</f>
        <v>0</v>
      </c>
      <c r="E4" s="5">
        <f>IF(A4="","",SUM(B4:D4))</f>
        <v>14</v>
      </c>
      <c r="F4" s="6">
        <f>IF(A4="","",SUMIFS(السجل!$I$2:$I$1000,السجل!$E$2:$E$1000,A4))</f>
        <v>2550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0</v>
      </c>
      <c r="C5" s="5">
        <f>IF(A5="","",COUNTIFS(السجل!$E$2:$E$1000,A5,السجل!$H$2:$H$1000,"مراجعة فقط"))</f>
        <v>14</v>
      </c>
      <c r="D5" s="5">
        <f>IF(A5="","",COUNTIFS(السجل!$E$2:$E$1000,A5,السجل!$H$2:$H$1000,"جرد فقط"))</f>
        <v>0</v>
      </c>
      <c r="E5" s="5">
        <f>IF(A5="","",SUM(B5:D5))</f>
        <v>14</v>
      </c>
      <c r="F5" s="6">
        <f>IF(A5="","",SUMIFS(السجل!$I$2:$I$1000,السجل!$E$2:$E$1000,A5))</f>
        <v>2100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10</v>
      </c>
      <c r="D6" s="5">
        <f>IF(A6="","",COUNTIFS(السجل!$E$2:$E$1000,A6,السجل!$H$2:$H$1000,"جرد فقط"))</f>
        <v>0</v>
      </c>
      <c r="E6" s="5">
        <f>IF(A6="","",SUM(B6:D6))</f>
        <v>10</v>
      </c>
      <c r="F6" s="6">
        <f>IF(A6="","",SUMIFS(السجل!$I$2:$I$1000,السجل!$E$2:$E$1000,A6))</f>
        <v>1500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6</v>
      </c>
      <c r="D7" s="5">
        <f>IF(A7="","",COUNTIFS(السجل!$E$2:$E$1000,A7,السجل!$H$2:$H$1000,"جرد فقط"))</f>
        <v>0</v>
      </c>
      <c r="E7" s="5">
        <f>IF(A7="","",SUM(B7:D7))</f>
        <v>6</v>
      </c>
      <c r="F7" s="6">
        <f>IF(A7="","",SUMIFS(السجل!$I$2:$I$1000,السجل!$E$2:$E$1000,A7))</f>
        <v>900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5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12</v>
      </c>
      <c r="F8" s="6">
        <f>IF(A8="","",SUMIFS(السجل!$I$2:$I$1000,السجل!$E$2:$E$1000,A8))</f>
        <v>2050</v>
      </c>
    </row>
    <row r="9">
      <c r="A9" s="4" t="n"/>
      <c r="B9" s="5" t="str">
        <f>IF(A9="","",COUNTIFS(السجل!$E$2:$E$1000,A9,السجل!$H$2:$H$1000,"جرد + مراجعة"))</f>
        <v/>
      </c>
      <c r="C9" s="5" t="str">
        <f>IF(A9="","",COUNTIFS(السجل!$E$2:$E$1000,A9,السجل!$H$2:$H$1000,"مراجعة فقط"))</f>
        <v/>
      </c>
      <c r="D9" s="5" t="str">
        <f>IF(A9="","",COUNTIFS(السجل!$E$2:$E$1000,A9,السجل!$H$2:$H$1000,"جرد فقط"))</f>
        <v/>
      </c>
      <c r="E9" s="5" t="str">
        <f>IF(A9="","",SUM(B9:D9))</f>
        <v/>
      </c>
      <c r="F9" s="6" t="str">
        <f>IF(A9="","",SUMIFS(السجل!$I$2:$I$1000,السجل!$E$2:$E$1000,A9))</f>
        <v/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14</v>
      </c>
      <c r="C19" s="7">
        <f>SUM(C4:C18)</f>
        <v>42</v>
      </c>
      <c r="D19" s="7">
        <f>SUM(D4:D18)</f>
        <v>0</v>
      </c>
      <c r="E19" s="7">
        <f>SUM(E4:E18)</f>
        <v>56</v>
      </c>
      <c r="F19" s="8">
        <f>SUM(F4:F18)</f>
        <v>9100</v>
      </c>
    </row>
    <row r="21">
      <c r="A21" s="5" t="inlineStr">
        <is>
          <t>للتحقق: إجمالي السجل</t>
        </is>
      </c>
      <c r="F21" s="9">
        <f>SUM(السجل!$I$2:$I$1000)</f>
        <v>9100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6">
        <f>SUM(B2:I2)</f>
        <v>2550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6">
        <f>SUM(B3:I3)</f>
        <v>2100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6">
        <f>SUM(B4:I4)</f>
        <v>1500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6">
        <f>SUM(B5:I5)</f>
        <v>900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6">
        <f>SUM(B6:I6)</f>
        <v>2050</v>
      </c>
    </row>
    <row r="7">
      <c r="A7" s="7" t="inlineStr">
        <is>
          <t>الإجمالي</t>
        </is>
      </c>
      <c r="B7" s="8">
        <f>SUM(B2:B6)</f>
        <v>1150</v>
      </c>
      <c r="C7" s="8">
        <f>SUM(C2:C6)</f>
        <v>1000</v>
      </c>
      <c r="D7" s="8">
        <f>SUM(D2:D6)</f>
        <v>1150</v>
      </c>
      <c r="E7" s="8">
        <f>SUM(E2:E6)</f>
        <v>1150</v>
      </c>
      <c r="F7" s="8">
        <f>SUM(F2:F6)</f>
        <v>1600</v>
      </c>
      <c r="G7" s="8">
        <f>SUM(G2:G6)</f>
        <v>1450</v>
      </c>
      <c r="H7" s="8">
        <f>SUM(H2:H6)</f>
        <v>800</v>
      </c>
      <c r="I7" s="8">
        <f>SUM(I2:I6)</f>
        <v>800</v>
      </c>
      <c r="J7" s="8">
        <f>SUM(J2:J6)</f>
        <v>9100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n"/>
      <c r="B58" s="5" t="str">
        <f>IF(A58="","",IFERROR(INDEX('جدول الجرد'!$A$2:$A$29,MATCH(A58,'جدول الجرد'!$B$2:$B$29,0)),""))</f>
        <v/>
      </c>
      <c r="C58" s="5" t="str">
        <f>IF(A58="","",IFERROR(INDEX('جدول الجرد'!$E$2:$E$29,MATCH(A58,'جدول الجرد'!$B$2:$B$29,0)),""))</f>
        <v/>
      </c>
      <c r="D58" s="4" t="n"/>
      <c r="E58" s="4" t="n"/>
      <c r="F58" s="4" t="n"/>
      <c r="G58" s="4" t="n"/>
      <c r="H58" s="5" t="str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>0</v>
      </c>
    </row>
    <row r="59">
      <c r="A59" s="4" t="n"/>
      <c r="B59" s="5" t="str">
        <f>IF(A59="","",IFERROR(INDEX('جدول الجرد'!$A$2:$A$29,MATCH(A59,'جدول الجرد'!$B$2:$B$29,0)),""))</f>
        <v/>
      </c>
      <c r="C59" s="5" t="str">
        <f>IF(A59="","",IFERROR(INDEX('جدول الجرد'!$E$2:$E$29,MATCH(A59,'جدول الجرد'!$B$2:$B$29,0)),""))</f>
        <v/>
      </c>
      <c r="D59" s="4" t="n"/>
      <c r="E59" s="4" t="n"/>
      <c r="F59" s="4" t="n"/>
      <c r="G59" s="4" t="n"/>
      <c r="H59" s="5" t="str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>0</v>
      </c>
    </row>
    <row r="60">
      <c r="A60" s="4" t="n"/>
      <c r="B60" s="5" t="str">
        <f>IF(A60="","",IFERROR(INDEX('جدول الجرد'!$A$2:$A$29,MATCH(A60,'جدول الجرد'!$B$2:$B$29,0)),""))</f>
        <v/>
      </c>
      <c r="C60" s="5" t="str">
        <f>IF(A60="","",IFERROR(INDEX('جدول الجرد'!$E$2:$E$29,MATCH(A60,'جدول الجرد'!$B$2:$B$29,0)),""))</f>
        <v/>
      </c>
      <c r="D60" s="4" t="n"/>
      <c r="E60" s="4" t="n"/>
      <c r="F60" s="4" t="n"/>
      <c r="G60" s="4" t="n"/>
      <c r="H60" s="5" t="str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>0</v>
      </c>
    </row>
    <row r="61">
      <c r="A61" s="4" t="n"/>
      <c r="B61" s="5" t="str">
        <f>IF(A61="","",IFERROR(INDEX('جدول الجرد'!$A$2:$A$29,MATCH(A61,'جدول الجرد'!$B$2:$B$29,0)),""))</f>
        <v/>
      </c>
      <c r="C61" s="5" t="str">
        <f>IF(A61="","",IFERROR(INDEX('جدول الجرد'!$E$2:$E$29,MATCH(A61,'جدول الجرد'!$B$2:$B$29,0)),""))</f>
        <v/>
      </c>
      <c r="D61" s="4" t="n"/>
      <c r="E61" s="4" t="n"/>
      <c r="F61" s="4" t="n"/>
      <c r="G61" s="4" t="n"/>
      <c r="H61" s="5" t="str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>0</v>
      </c>
    </row>
    <row r="62">
      <c r="A62" s="4" t="n"/>
      <c r="B62" s="5" t="str">
        <f>IF(A62="","",IFERROR(INDEX('جدول الجرد'!$A$2:$A$29,MATCH(A62,'جدول الجرد'!$B$2:$B$29,0)),""))</f>
        <v/>
      </c>
      <c r="C62" s="5" t="str">
        <f>IF(A62="","",IFERROR(INDEX('جدول الجرد'!$E$2:$E$29,MATCH(A62,'جدول الجرد'!$B$2:$B$29,0)),""))</f>
        <v/>
      </c>
      <c r="D62" s="4" t="n"/>
      <c r="E62" s="4" t="n"/>
      <c r="F62" s="4" t="n"/>
      <c r="G62" s="4" t="n"/>
      <c r="H62" s="5" t="str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>0</v>
      </c>
    </row>
    <row r="63">
      <c r="A63" s="4" t="n"/>
      <c r="B63" s="5" t="str">
        <f>IF(A63="","",IFERROR(INDEX('جدول الجرد'!$A$2:$A$29,MATCH(A63,'جدول الجرد'!$B$2:$B$29,0)),""))</f>
        <v/>
      </c>
      <c r="C63" s="5" t="str">
        <f>IF(A63="","",IFERROR(INDEX('جدول الجرد'!$E$2:$E$29,MATCH(A63,'جدول الجرد'!$B$2:$B$29,0)),""))</f>
        <v/>
      </c>
      <c r="D63" s="4" t="n"/>
      <c r="E63" s="4" t="n"/>
      <c r="F63" s="4" t="n"/>
      <c r="G63" s="4" t="n"/>
      <c r="H63" s="5" t="str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>0</v>
      </c>
    </row>
    <row r="64">
      <c r="A64" s="4" t="n"/>
      <c r="B64" s="5" t="str">
        <f>IF(A64="","",IFERROR(INDEX('جدول الجرد'!$A$2:$A$29,MATCH(A64,'جدول الجرد'!$B$2:$B$29,0)),""))</f>
        <v/>
      </c>
      <c r="C64" s="5" t="str">
        <f>IF(A64="","",IFERROR(INDEX('جدول الجرد'!$E$2:$E$29,MATCH(A64,'جدول الجرد'!$B$2:$B$29,0)),""))</f>
        <v/>
      </c>
      <c r="D64" s="4" t="n"/>
      <c r="E64" s="4" t="n"/>
      <c r="F64" s="4" t="n"/>
      <c r="G64" s="4" t="n"/>
      <c r="H64" s="5" t="str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>0</v>
      </c>
    </row>
    <row r="65">
      <c r="A65" s="4" t="n"/>
      <c r="B65" s="5" t="str">
        <f>IF(A65="","",IFERROR(INDEX('جدول الجرد'!$A$2:$A$29,MATCH(A65,'جدول الجرد'!$B$2:$B$29,0)),""))</f>
        <v/>
      </c>
      <c r="C65" s="5" t="str">
        <f>IF(A65="","",IFERROR(INDEX('جدول الجرد'!$E$2:$E$29,MATCH(A65,'جدول الجرد'!$B$2:$B$29,0)),""))</f>
        <v/>
      </c>
      <c r="D65" s="4" t="n"/>
      <c r="E65" s="4" t="n"/>
      <c r="F65" s="4" t="n"/>
      <c r="G65" s="4" t="n"/>
      <c r="H65" s="5" t="str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>0</v>
      </c>
    </row>
    <row r="66">
      <c r="A66" s="4" t="n"/>
      <c r="B66" s="5" t="str">
        <f>IF(A66="","",IFERROR(INDEX('جدول الجرد'!$A$2:$A$29,MATCH(A66,'جدول الجرد'!$B$2:$B$29,0)),""))</f>
        <v/>
      </c>
      <c r="C66" s="5" t="str">
        <f>IF(A66="","",IFERROR(INDEX('جدول الجرد'!$E$2:$E$29,MATCH(A66,'جدول الجرد'!$B$2:$B$29,0)),""))</f>
        <v/>
      </c>
      <c r="D66" s="4" t="n"/>
      <c r="E66" s="4" t="n"/>
      <c r="F66" s="4" t="n"/>
      <c r="G66" s="4" t="n"/>
      <c r="H66" s="5" t="str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>0</v>
      </c>
    </row>
    <row r="67">
      <c r="A67" s="4" t="n"/>
      <c r="B67" s="5" t="str">
        <f>IF(A67="","",IFERROR(INDEX('جدول الجرد'!$A$2:$A$29,MATCH(A67,'جدول الجرد'!$B$2:$B$29,0)),""))</f>
        <v/>
      </c>
      <c r="C67" s="5" t="str">
        <f>IF(A67="","",IFERROR(INDEX('جدول الجرد'!$E$2:$E$29,MATCH(A67,'جدول الجرد'!$B$2:$B$29,0)),""))</f>
        <v/>
      </c>
      <c r="D67" s="4" t="n"/>
      <c r="E67" s="4" t="n"/>
      <c r="F67" s="4" t="n"/>
      <c r="G67" s="4" t="n"/>
      <c r="H67" s="5" t="str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>0</v>
      </c>
    </row>
    <row r="68">
      <c r="A68" s="4" t="n"/>
      <c r="B68" s="5" t="str">
        <f>IF(A68="","",IFERROR(INDEX('جدول الجرد'!$A$2:$A$29,MATCH(A68,'جدول الجرد'!$B$2:$B$29,0)),""))</f>
        <v/>
      </c>
      <c r="C68" s="5" t="str">
        <f>IF(A68="","",IFERROR(INDEX('جدول الجرد'!$E$2:$E$29,MATCH(A68,'جدول الجرد'!$B$2:$B$29,0)),""))</f>
        <v/>
      </c>
      <c r="D68" s="4" t="n"/>
      <c r="E68" s="4" t="n"/>
      <c r="F68" s="4" t="n"/>
      <c r="G68" s="4" t="n"/>
      <c r="H68" s="5" t="str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>0</v>
      </c>
    </row>
    <row r="69">
      <c r="A69" s="4" t="n"/>
      <c r="B69" s="5" t="str">
        <f>IF(A69="","",IFERROR(INDEX('جدول الجرد'!$A$2:$A$29,MATCH(A69,'جدول الجرد'!$B$2:$B$29,0)),""))</f>
        <v/>
      </c>
      <c r="C69" s="5" t="str">
        <f>IF(A69="","",IFERROR(INDEX('جدول الجرد'!$E$2:$E$29,MATCH(A69,'جدول الجرد'!$B$2:$B$29,0)),""))</f>
        <v/>
      </c>
      <c r="D69" s="4" t="n"/>
      <c r="E69" s="4" t="n"/>
      <c r="F69" s="4" t="n"/>
      <c r="G69" s="4" t="n"/>
      <c r="H69" s="5" t="str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>0</v>
      </c>
    </row>
    <row r="70">
      <c r="A70" s="4" t="n"/>
      <c r="B70" s="5" t="str">
        <f>IF(A70="","",IFERROR(INDEX('جدول الجرد'!$A$2:$A$29,MATCH(A70,'جدول الجرد'!$B$2:$B$29,0)),""))</f>
        <v/>
      </c>
      <c r="C70" s="5" t="str">
        <f>IF(A70="","",IFERROR(INDEX('جدول الجرد'!$E$2:$E$29,MATCH(A70,'جدول الجرد'!$B$2:$B$29,0)),""))</f>
        <v/>
      </c>
      <c r="D70" s="4" t="n"/>
      <c r="E70" s="4" t="n"/>
      <c r="F70" s="4" t="n"/>
      <c r="G70" s="4" t="n"/>
      <c r="H70" s="5" t="str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>0</v>
      </c>
    </row>
    <row r="71">
      <c r="A71" s="4" t="n"/>
      <c r="B71" s="5" t="str">
        <f>IF(A71="","",IFERROR(INDEX('جدول الجرد'!$A$2:$A$29,MATCH(A71,'جدول الجرد'!$B$2:$B$29,0)),""))</f>
        <v/>
      </c>
      <c r="C71" s="5" t="str">
        <f>IF(A71="","",IFERROR(INDEX('جدول الجرد'!$E$2:$E$29,MATCH(A71,'جدول الجرد'!$B$2:$B$29,0)),""))</f>
        <v/>
      </c>
      <c r="D71" s="4" t="n"/>
      <c r="E71" s="4" t="n"/>
      <c r="F71" s="4" t="n"/>
      <c r="G71" s="4" t="n"/>
      <c r="H71" s="5" t="str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>0</v>
      </c>
    </row>
    <row r="72">
      <c r="A72" s="4" t="n"/>
      <c r="B72" s="5" t="str">
        <f>IF(A72="","",IFERROR(INDEX('جدول الجرد'!$A$2:$A$29,MATCH(A72,'جدول الجرد'!$B$2:$B$29,0)),""))</f>
        <v/>
      </c>
      <c r="C72" s="5" t="str">
        <f>IF(A72="","",IFERROR(INDEX('جدول الجرد'!$E$2:$E$29,MATCH(A72,'جدول الجرد'!$B$2:$B$29,0)),""))</f>
        <v/>
      </c>
      <c r="D72" s="4" t="n"/>
      <c r="E72" s="4" t="n"/>
      <c r="F72" s="4" t="n"/>
      <c r="G72" s="4" t="n"/>
      <c r="H72" s="5" t="str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>0</v>
      </c>
    </row>
    <row r="73">
      <c r="A73" s="4" t="n"/>
      <c r="B73" s="5" t="str">
        <f>IF(A73="","",IFERROR(INDEX('جدول الجرد'!$A$2:$A$29,MATCH(A73,'جدول الجرد'!$B$2:$B$29,0)),""))</f>
        <v/>
      </c>
      <c r="C73" s="5" t="str">
        <f>IF(A73="","",IFERROR(INDEX('جدول الجرد'!$E$2:$E$29,MATCH(A73,'جدول الجرد'!$B$2:$B$29,0)),""))</f>
        <v/>
      </c>
      <c r="D73" s="4" t="n"/>
      <c r="E73" s="4" t="n"/>
      <c r="F73" s="4" t="n"/>
      <c r="G73" s="4" t="n"/>
      <c r="H73" s="5" t="str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>0</v>
      </c>
    </row>
    <row r="74">
      <c r="A74" s="4" t="n"/>
      <c r="B74" s="5" t="str">
        <f>IF(A74="","",IFERROR(INDEX('جدول الجرد'!$A$2:$A$29,MATCH(A74,'جدول الجرد'!$B$2:$B$29,0)),""))</f>
        <v/>
      </c>
      <c r="C74" s="5" t="str">
        <f>IF(A74="","",IFERROR(INDEX('جدول الجرد'!$E$2:$E$29,MATCH(A74,'جدول الجرد'!$B$2:$B$29,0)),""))</f>
        <v/>
      </c>
      <c r="D74" s="4" t="n"/>
      <c r="E74" s="4" t="n"/>
      <c r="F74" s="4" t="n"/>
      <c r="G74" s="4" t="n"/>
      <c r="H74" s="5" t="str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>0</v>
      </c>
    </row>
    <row r="75">
      <c r="A75" s="4" t="n"/>
      <c r="B75" s="5" t="str">
        <f>IF(A75="","",IFERROR(INDEX('جدول الجرد'!$A$2:$A$29,MATCH(A75,'جدول الجرد'!$B$2:$B$29,0)),""))</f>
        <v/>
      </c>
      <c r="C75" s="5" t="str">
        <f>IF(A75="","",IFERROR(INDEX('جدول الجرد'!$E$2:$E$29,MATCH(A75,'جدول الجرد'!$B$2:$B$29,0)),""))</f>
        <v/>
      </c>
      <c r="D75" s="4" t="n"/>
      <c r="E75" s="4" t="n"/>
      <c r="F75" s="4" t="n"/>
      <c r="G75" s="4" t="n"/>
      <c r="H75" s="5" t="str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>0</v>
      </c>
    </row>
    <row r="76">
      <c r="A76" s="4" t="n"/>
      <c r="B76" s="5" t="str">
        <f>IF(A76="","",IFERROR(INDEX('جدول الجرد'!$A$2:$A$29,MATCH(A76,'جدول الجرد'!$B$2:$B$29,0)),""))</f>
        <v/>
      </c>
      <c r="C76" s="5" t="str">
        <f>IF(A76="","",IFERROR(INDEX('جدول الجرد'!$E$2:$E$29,MATCH(A76,'جدول الجرد'!$B$2:$B$29,0)),""))</f>
        <v/>
      </c>
      <c r="D76" s="4" t="n"/>
      <c r="E76" s="4" t="n"/>
      <c r="F76" s="4" t="n"/>
      <c r="G76" s="4" t="n"/>
      <c r="H76" s="5" t="str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>0</v>
      </c>
    </row>
    <row r="77">
      <c r="A77" s="4" t="n"/>
      <c r="B77" s="5" t="str">
        <f>IF(A77="","",IFERROR(INDEX('جدول الجرد'!$A$2:$A$29,MATCH(A77,'جدول الجرد'!$B$2:$B$29,0)),""))</f>
        <v/>
      </c>
      <c r="C77" s="5" t="str">
        <f>IF(A77="","",IFERROR(INDEX('جدول الجرد'!$E$2:$E$29,MATCH(A77,'جدول الجرد'!$B$2:$B$29,0)),""))</f>
        <v/>
      </c>
      <c r="D77" s="4" t="n"/>
      <c r="E77" s="4" t="n"/>
      <c r="F77" s="4" t="n"/>
      <c r="G77" s="4" t="n"/>
      <c r="H77" s="5" t="str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>0</v>
      </c>
    </row>
    <row r="78">
      <c r="A78" s="4" t="n"/>
      <c r="B78" s="5" t="str">
        <f>IF(A78="","",IFERROR(INDEX('جدول الجرد'!$A$2:$A$29,MATCH(A78,'جدول الجرد'!$B$2:$B$29,0)),""))</f>
        <v/>
      </c>
      <c r="C78" s="5" t="str">
        <f>IF(A78="","",IFERROR(INDEX('جدول الجرد'!$E$2:$E$29,MATCH(A78,'جدول الجرد'!$B$2:$B$29,0)),""))</f>
        <v/>
      </c>
      <c r="D78" s="4" t="n"/>
      <c r="E78" s="4" t="n"/>
      <c r="F78" s="4" t="n"/>
      <c r="G78" s="4" t="n"/>
      <c r="H78" s="5" t="str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>0</v>
      </c>
    </row>
    <row r="79">
      <c r="A79" s="4" t="n"/>
      <c r="B79" s="5" t="str">
        <f>IF(A79="","",IFERROR(INDEX('جدول الجرد'!$A$2:$A$29,MATCH(A79,'جدول الجرد'!$B$2:$B$29,0)),""))</f>
        <v/>
      </c>
      <c r="C79" s="5" t="str">
        <f>IF(A79="","",IFERROR(INDEX('جدول الجرد'!$E$2:$E$29,MATCH(A79,'جدول الجرد'!$B$2:$B$29,0)),""))</f>
        <v/>
      </c>
      <c r="D79" s="4" t="n"/>
      <c r="E79" s="4" t="n"/>
      <c r="F79" s="4" t="n"/>
      <c r="G79" s="4" t="n"/>
      <c r="H79" s="5" t="str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>0</v>
      </c>
    </row>
    <row r="80">
      <c r="A80" s="4" t="n"/>
      <c r="B80" s="5" t="str">
        <f>IF(A80="","",IFERROR(INDEX('جدول الجرد'!$A$2:$A$29,MATCH(A80,'جدول الجرد'!$B$2:$B$29,0)),""))</f>
        <v/>
      </c>
      <c r="C80" s="5" t="str">
        <f>IF(A80="","",IFERROR(INDEX('جدول الجرد'!$E$2:$E$29,MATCH(A80,'جدول الجرد'!$B$2:$B$29,0)),""))</f>
        <v/>
      </c>
      <c r="D80" s="4" t="n"/>
      <c r="E80" s="4" t="n"/>
      <c r="F80" s="4" t="n"/>
      <c r="G80" s="4" t="n"/>
      <c r="H80" s="5" t="str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>0</v>
      </c>
    </row>
    <row r="81">
      <c r="A81" s="4" t="n"/>
      <c r="B81" s="5" t="str">
        <f>IF(A81="","",IFERROR(INDEX('جدول الجرد'!$A$2:$A$29,MATCH(A81,'جدول الجرد'!$B$2:$B$29,0)),""))</f>
        <v/>
      </c>
      <c r="C81" s="5" t="str">
        <f>IF(A81="","",IFERROR(INDEX('جدول الجرد'!$E$2:$E$29,MATCH(A81,'جدول الجرد'!$B$2:$B$29,0)),""))</f>
        <v/>
      </c>
      <c r="D81" s="4" t="n"/>
      <c r="E81" s="4" t="n"/>
      <c r="F81" s="4" t="n"/>
      <c r="G81" s="4" t="n"/>
      <c r="H81" s="5" t="str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>0</v>
      </c>
    </row>
    <row r="82">
      <c r="A82" s="4" t="n"/>
      <c r="B82" s="5" t="str">
        <f>IF(A82="","",IFERROR(INDEX('جدول الجرد'!$A$2:$A$29,MATCH(A82,'جدول الجرد'!$B$2:$B$29,0)),""))</f>
        <v/>
      </c>
      <c r="C82" s="5" t="str">
        <f>IF(A82="","",IFERROR(INDEX('جدول الجرد'!$E$2:$E$29,MATCH(A82,'جدول الجرد'!$B$2:$B$29,0)),""))</f>
        <v/>
      </c>
      <c r="D82" s="4" t="n"/>
      <c r="E82" s="4" t="n"/>
      <c r="F82" s="4" t="n"/>
      <c r="G82" s="4" t="n"/>
      <c r="H82" s="5" t="str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>0</v>
      </c>
    </row>
    <row r="83">
      <c r="A83" s="4" t="n"/>
      <c r="B83" s="5" t="str">
        <f>IF(A83="","",IFERROR(INDEX('جدول الجرد'!$A$2:$A$29,MATCH(A83,'جدول الجرد'!$B$2:$B$29,0)),""))</f>
        <v/>
      </c>
      <c r="C83" s="5" t="str">
        <f>IF(A83="","",IFERROR(INDEX('جدول الجرد'!$E$2:$E$29,MATCH(A83,'جدول الجرد'!$B$2:$B$29,0)),""))</f>
        <v/>
      </c>
      <c r="D83" s="4" t="n"/>
      <c r="E83" s="4" t="n"/>
      <c r="F83" s="4" t="n"/>
      <c r="G83" s="4" t="n"/>
      <c r="H83" s="5" t="str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>0</v>
      </c>
    </row>
    <row r="84">
      <c r="A84" s="4" t="n"/>
      <c r="B84" s="5" t="str">
        <f>IF(A84="","",IFERROR(INDEX('جدول الجرد'!$A$2:$A$29,MATCH(A84,'جدول الجرد'!$B$2:$B$29,0)),""))</f>
        <v/>
      </c>
      <c r="C84" s="5" t="str">
        <f>IF(A84="","",IFERROR(INDEX('جدول الجرد'!$E$2:$E$29,MATCH(A84,'جدول الجرد'!$B$2:$B$29,0)),""))</f>
        <v/>
      </c>
      <c r="D84" s="4" t="n"/>
      <c r="E84" s="4" t="n"/>
      <c r="F84" s="4" t="n"/>
      <c r="G84" s="4" t="n"/>
      <c r="H84" s="5" t="str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>0</v>
      </c>
    </row>
    <row r="85">
      <c r="A85" s="4" t="n"/>
      <c r="B85" s="5" t="str">
        <f>IF(A85="","",IFERROR(INDEX('جدول الجرد'!$A$2:$A$29,MATCH(A85,'جدول الجرد'!$B$2:$B$29,0)),""))</f>
        <v/>
      </c>
      <c r="C85" s="5" t="str">
        <f>IF(A85="","",IFERROR(INDEX('جدول الجرد'!$E$2:$E$29,MATCH(A85,'جدول الجرد'!$B$2:$B$29,0)),""))</f>
        <v/>
      </c>
      <c r="D85" s="4" t="n"/>
      <c r="E85" s="4" t="n"/>
      <c r="F85" s="4" t="n"/>
      <c r="G85" s="4" t="n"/>
      <c r="H85" s="5" t="str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>0</v>
      </c>
    </row>
    <row r="86">
      <c r="A86" s="4" t="n"/>
      <c r="B86" s="5" t="str">
        <f>IF(A86="","",IFERROR(INDEX('جدول الجرد'!$A$2:$A$29,MATCH(A86,'جدول الجرد'!$B$2:$B$29,0)),""))</f>
        <v/>
      </c>
      <c r="C86" s="5" t="str">
        <f>IF(A86="","",IFERROR(INDEX('جدول الجرد'!$E$2:$E$29,MATCH(A86,'جدول الجرد'!$B$2:$B$29,0)),""))</f>
        <v/>
      </c>
      <c r="D86" s="4" t="n"/>
      <c r="E86" s="4" t="n"/>
      <c r="F86" s="4" t="n"/>
      <c r="G86" s="4" t="n"/>
      <c r="H86" s="5" t="str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>0</v>
      </c>
    </row>
    <row r="87">
      <c r="A87" s="4" t="n"/>
      <c r="B87" s="5" t="str">
        <f>IF(A87="","",IFERROR(INDEX('جدول الجرد'!$A$2:$A$29,MATCH(A87,'جدول الجرد'!$B$2:$B$29,0)),""))</f>
        <v/>
      </c>
      <c r="C87" s="5" t="str">
        <f>IF(A87="","",IFERROR(INDEX('جدول الجرد'!$E$2:$E$29,MATCH(A87,'جدول الجرد'!$B$2:$B$29,0)),""))</f>
        <v/>
      </c>
      <c r="D87" s="4" t="n"/>
      <c r="E87" s="4" t="n"/>
      <c r="F87" s="4" t="n"/>
      <c r="G87" s="4" t="n"/>
      <c r="H87" s="5" t="str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>0</v>
      </c>
    </row>
    <row r="88">
      <c r="A88" s="4" t="n"/>
      <c r="B88" s="5" t="str">
        <f>IF(A88="","",IFERROR(INDEX('جدول الجرد'!$A$2:$A$29,MATCH(A88,'جدول الجرد'!$B$2:$B$29,0)),""))</f>
        <v/>
      </c>
      <c r="C88" s="5" t="str">
        <f>IF(A88="","",IFERROR(INDEX('جدول الجرد'!$E$2:$E$29,MATCH(A88,'جدول الجرد'!$B$2:$B$29,0)),""))</f>
        <v/>
      </c>
      <c r="D88" s="4" t="n"/>
      <c r="E88" s="4" t="n"/>
      <c r="F88" s="4" t="n"/>
      <c r="G88" s="4" t="n"/>
      <c r="H88" s="5" t="str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>0</v>
      </c>
    </row>
    <row r="89">
      <c r="A89" s="4" t="n"/>
      <c r="B89" s="5" t="str">
        <f>IF(A89="","",IFERROR(INDEX('جدول الجرد'!$A$2:$A$29,MATCH(A89,'جدول الجرد'!$B$2:$B$29,0)),""))</f>
        <v/>
      </c>
      <c r="C89" s="5" t="str">
        <f>IF(A89="","",IFERROR(INDEX('جدول الجرد'!$E$2:$E$29,MATCH(A89,'جدول الجرد'!$B$2:$B$29,0)),""))</f>
        <v/>
      </c>
      <c r="D89" s="4" t="n"/>
      <c r="E89" s="4" t="n"/>
      <c r="F89" s="4" t="n"/>
      <c r="G89" s="4" t="n"/>
      <c r="H89" s="5" t="str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>0</v>
      </c>
    </row>
    <row r="90">
      <c r="A90" s="4" t="n"/>
      <c r="B90" s="5" t="str">
        <f>IF(A90="","",IFERROR(INDEX('جدول الجرد'!$A$2:$A$29,MATCH(A90,'جدول الجرد'!$B$2:$B$29,0)),""))</f>
        <v/>
      </c>
      <c r="C90" s="5" t="str">
        <f>IF(A90="","",IFERROR(INDEX('جدول الجرد'!$E$2:$E$29,MATCH(A90,'جدول الجرد'!$B$2:$B$29,0)),""))</f>
        <v/>
      </c>
      <c r="D90" s="4" t="n"/>
      <c r="E90" s="4" t="n"/>
      <c r="F90" s="4" t="n"/>
      <c r="G90" s="4" t="n"/>
      <c r="H90" s="5" t="str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>0</v>
      </c>
    </row>
    <row r="91">
      <c r="A91" s="4" t="n"/>
      <c r="B91" s="5" t="str">
        <f>IF(A91="","",IFERROR(INDEX('جدول الجرد'!$A$2:$A$29,MATCH(A91,'جدول الجرد'!$B$2:$B$29,0)),""))</f>
        <v/>
      </c>
      <c r="C91" s="5" t="str">
        <f>IF(A91="","",IFERROR(INDEX('جدول الجرد'!$E$2:$E$29,MATCH(A91,'جدول الجرد'!$B$2:$B$29,0)),""))</f>
        <v/>
      </c>
      <c r="D91" s="4" t="n"/>
      <c r="E91" s="4" t="n"/>
      <c r="F91" s="4" t="n"/>
      <c r="G91" s="4" t="n"/>
      <c r="H91" s="5" t="str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>0</v>
      </c>
    </row>
    <row r="92">
      <c r="A92" s="4" t="n"/>
      <c r="B92" s="5" t="str">
        <f>IF(A92="","",IFERROR(INDEX('جدول الجرد'!$A$2:$A$29,MATCH(A92,'جدول الجرد'!$B$2:$B$29,0)),""))</f>
        <v/>
      </c>
      <c r="C92" s="5" t="str">
        <f>IF(A92="","",IFERROR(INDEX('جدول الجرد'!$E$2:$E$29,MATCH(A92,'جدول الجرد'!$B$2:$B$29,0)),""))</f>
        <v/>
      </c>
      <c r="D92" s="4" t="n"/>
      <c r="E92" s="4" t="n"/>
      <c r="F92" s="4" t="n"/>
      <c r="G92" s="4" t="n"/>
      <c r="H92" s="5" t="str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>0</v>
      </c>
    </row>
    <row r="93">
      <c r="A93" s="4" t="n"/>
      <c r="B93" s="5" t="str">
        <f>IF(A93="","",IFERROR(INDEX('جدول الجرد'!$A$2:$A$29,MATCH(A93,'جدول الجرد'!$B$2:$B$29,0)),""))</f>
        <v/>
      </c>
      <c r="C93" s="5" t="str">
        <f>IF(A93="","",IFERROR(INDEX('جدول الجرد'!$E$2:$E$29,MATCH(A93,'جدول الجرد'!$B$2:$B$29,0)),""))</f>
        <v/>
      </c>
      <c r="D93" s="4" t="n"/>
      <c r="E93" s="4" t="n"/>
      <c r="F93" s="4" t="n"/>
      <c r="G93" s="4" t="n"/>
      <c r="H93" s="5" t="str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>0</v>
      </c>
    </row>
    <row r="94">
      <c r="A94" s="4" t="n"/>
      <c r="B94" s="5" t="str">
        <f>IF(A94="","",IFERROR(INDEX('جدول الجرد'!$A$2:$A$29,MATCH(A94,'جدول الجرد'!$B$2:$B$29,0)),""))</f>
        <v/>
      </c>
      <c r="C94" s="5" t="str">
        <f>IF(A94="","",IFERROR(INDEX('جدول الجرد'!$E$2:$E$29,MATCH(A94,'جدول الجرد'!$B$2:$B$29,0)),""))</f>
        <v/>
      </c>
      <c r="D94" s="4" t="n"/>
      <c r="E94" s="4" t="n"/>
      <c r="F94" s="4" t="n"/>
      <c r="G94" s="4" t="n"/>
      <c r="H94" s="5" t="str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>0</v>
      </c>
    </row>
    <row r="95">
      <c r="A95" s="4" t="n"/>
      <c r="B95" s="5" t="str">
        <f>IF(A95="","",IFERROR(INDEX('جدول الجرد'!$A$2:$A$29,MATCH(A95,'جدول الجرد'!$B$2:$B$29,0)),""))</f>
        <v/>
      </c>
      <c r="C95" s="5" t="str">
        <f>IF(A95="","",IFERROR(INDEX('جدول الجرد'!$E$2:$E$29,MATCH(A95,'جدول الجرد'!$B$2:$B$29,0)),""))</f>
        <v/>
      </c>
      <c r="D95" s="4" t="n"/>
      <c r="E95" s="4" t="n"/>
      <c r="F95" s="4" t="n"/>
      <c r="G95" s="4" t="n"/>
      <c r="H95" s="5" t="str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>0</v>
      </c>
    </row>
    <row r="96">
      <c r="A96" s="4" t="n"/>
      <c r="B96" s="5" t="str">
        <f>IF(A96="","",IFERROR(INDEX('جدول الجرد'!$A$2:$A$29,MATCH(A96,'جدول الجرد'!$B$2:$B$29,0)),""))</f>
        <v/>
      </c>
      <c r="C96" s="5" t="str">
        <f>IF(A96="","",IFERROR(INDEX('جدول الجرد'!$E$2:$E$29,MATCH(A96,'جدول الجرد'!$B$2:$B$29,0)),""))</f>
        <v/>
      </c>
      <c r="D96" s="4" t="n"/>
      <c r="E96" s="4" t="n"/>
      <c r="F96" s="4" t="n"/>
      <c r="G96" s="4" t="n"/>
      <c r="H96" s="5" t="str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>0</v>
      </c>
    </row>
    <row r="97">
      <c r="A97" s="4" t="n"/>
      <c r="B97" s="5" t="str">
        <f>IF(A97="","",IFERROR(INDEX('جدول الجرد'!$A$2:$A$29,MATCH(A97,'جدول الجرد'!$B$2:$B$29,0)),""))</f>
        <v/>
      </c>
      <c r="C97" s="5" t="str">
        <f>IF(A97="","",IFERROR(INDEX('جدول الجرد'!$E$2:$E$29,MATCH(A97,'جدول الجرد'!$B$2:$B$29,0)),""))</f>
        <v/>
      </c>
      <c r="D97" s="4" t="n"/>
      <c r="E97" s="4" t="n"/>
      <c r="F97" s="4" t="n"/>
      <c r="G97" s="4" t="n"/>
      <c r="H97" s="5" t="str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>0</v>
      </c>
    </row>
    <row r="98">
      <c r="A98" s="4" t="n"/>
      <c r="B98" s="5" t="str">
        <f>IF(A98="","",IFERROR(INDEX('جدول الجرد'!$A$2:$A$29,MATCH(A98,'جدول الجرد'!$B$2:$B$29,0)),""))</f>
        <v/>
      </c>
      <c r="C98" s="5" t="str">
        <f>IF(A98="","",IFERROR(INDEX('جدول الجرد'!$E$2:$E$29,MATCH(A98,'جدول الجرد'!$B$2:$B$29,0)),""))</f>
        <v/>
      </c>
      <c r="D98" s="4" t="n"/>
      <c r="E98" s="4" t="n"/>
      <c r="F98" s="4" t="n"/>
      <c r="G98" s="4" t="n"/>
      <c r="H98" s="5" t="str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>0</v>
      </c>
    </row>
    <row r="99">
      <c r="A99" s="4" t="n"/>
      <c r="B99" s="5" t="str">
        <f>IF(A99="","",IFERROR(INDEX('جدول الجرد'!$A$2:$A$29,MATCH(A99,'جدول الجرد'!$B$2:$B$29,0)),""))</f>
        <v/>
      </c>
      <c r="C99" s="5" t="str">
        <f>IF(A99="","",IFERROR(INDEX('جدول الجرد'!$E$2:$E$29,MATCH(A99,'جدول الجرد'!$B$2:$B$29,0)),""))</f>
        <v/>
      </c>
      <c r="D99" s="4" t="n"/>
      <c r="E99" s="4" t="n"/>
      <c r="F99" s="4" t="n"/>
      <c r="G99" s="4" t="n"/>
      <c r="H99" s="5" t="str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>0</v>
      </c>
    </row>
    <row r="100">
      <c r="A100" s="4" t="n"/>
      <c r="B100" s="5" t="str">
        <f>IF(A100="","",IFERROR(INDEX('جدول الجرد'!$A$2:$A$29,MATCH(A100,'جدول الجرد'!$B$2:$B$29,0)),""))</f>
        <v/>
      </c>
      <c r="C100" s="5" t="str">
        <f>IF(A100="","",IFERROR(INDEX('جدول الجرد'!$E$2:$E$29,MATCH(A100,'جدول الجرد'!$B$2:$B$29,0)),""))</f>
        <v/>
      </c>
      <c r="D100" s="4" t="n"/>
      <c r="E100" s="4" t="n"/>
      <c r="F100" s="4" t="n"/>
      <c r="G100" s="4" t="n"/>
      <c r="H100" s="5" t="str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>0</v>
      </c>
    </row>
    <row r="101">
      <c r="A101" s="4" t="n"/>
      <c r="B101" s="5" t="str">
        <f>IF(A101="","",IFERROR(INDEX('جدول الجرد'!$A$2:$A$29,MATCH(A101,'جدول الجرد'!$B$2:$B$29,0)),""))</f>
        <v/>
      </c>
      <c r="C101" s="5" t="str">
        <f>IF(A101="","",IFERROR(INDEX('جدول الجرد'!$E$2:$E$29,MATCH(A101,'جدول الجرد'!$B$2:$B$29,0)),""))</f>
        <v/>
      </c>
      <c r="D101" s="4" t="n"/>
      <c r="E101" s="4" t="n"/>
      <c r="F101" s="4" t="n"/>
      <c r="G101" s="4" t="n"/>
      <c r="H101" s="5" t="str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>0</v>
      </c>
    </row>
    <row r="102">
      <c r="A102" s="4" t="n"/>
      <c r="B102" s="5" t="str">
        <f>IF(A102="","",IFERROR(INDEX('جدول الجرد'!$A$2:$A$29,MATCH(A102,'جدول الجرد'!$B$2:$B$29,0)),""))</f>
        <v/>
      </c>
      <c r="C102" s="5" t="str">
        <f>IF(A102="","",IFERROR(INDEX('جدول الجرد'!$E$2:$E$29,MATCH(A102,'جدول الجرد'!$B$2:$B$29,0)),""))</f>
        <v/>
      </c>
      <c r="D102" s="4" t="n"/>
      <c r="E102" s="4" t="n"/>
      <c r="F102" s="4" t="n"/>
      <c r="G102" s="4" t="n"/>
      <c r="H102" s="5" t="str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>0</v>
      </c>
    </row>
    <row r="103">
      <c r="A103" s="4" t="n"/>
      <c r="B103" s="5" t="str">
        <f>IF(A103="","",IFERROR(INDEX('جدول الجرد'!$A$2:$A$29,MATCH(A103,'جدول الجرد'!$B$2:$B$29,0)),""))</f>
        <v/>
      </c>
      <c r="C103" s="5" t="str">
        <f>IF(A103="","",IFERROR(INDEX('جدول الجرد'!$E$2:$E$29,MATCH(A103,'جدول الجرد'!$B$2:$B$29,0)),""))</f>
        <v/>
      </c>
      <c r="D103" s="4" t="n"/>
      <c r="E103" s="4" t="n"/>
      <c r="F103" s="4" t="n"/>
      <c r="G103" s="4" t="n"/>
      <c r="H103" s="5" t="str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>0</v>
      </c>
    </row>
    <row r="104">
      <c r="A104" s="4" t="n"/>
      <c r="B104" s="5" t="str">
        <f>IF(A104="","",IFERROR(INDEX('جدول الجرد'!$A$2:$A$29,MATCH(A104,'جدول الجرد'!$B$2:$B$29,0)),""))</f>
        <v/>
      </c>
      <c r="C104" s="5" t="str">
        <f>IF(A104="","",IFERROR(INDEX('جدول الجرد'!$E$2:$E$29,MATCH(A104,'جدول الجرد'!$B$2:$B$29,0)),""))</f>
        <v/>
      </c>
      <c r="D104" s="4" t="n"/>
      <c r="E104" s="4" t="n"/>
      <c r="F104" s="4" t="n"/>
      <c r="G104" s="4" t="n"/>
      <c r="H104" s="5" t="str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>0</v>
      </c>
    </row>
    <row r="105">
      <c r="A105" s="4" t="n"/>
      <c r="B105" s="5" t="str">
        <f>IF(A105="","",IFERROR(INDEX('جدول الجرد'!$A$2:$A$29,MATCH(A105,'جدول الجرد'!$B$2:$B$29,0)),""))</f>
        <v/>
      </c>
      <c r="C105" s="5" t="str">
        <f>IF(A105="","",IFERROR(INDEX('جدول الجرد'!$E$2:$E$29,MATCH(A105,'جدول الجرد'!$B$2:$B$29,0)),""))</f>
        <v/>
      </c>
      <c r="D105" s="4" t="n"/>
      <c r="E105" s="4" t="n"/>
      <c r="F105" s="4" t="n"/>
      <c r="G105" s="4" t="n"/>
      <c r="H105" s="5" t="str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>0</v>
      </c>
    </row>
    <row r="106">
      <c r="A106" s="4" t="n"/>
      <c r="B106" s="5" t="str">
        <f>IF(A106="","",IFERROR(INDEX('جدول الجرد'!$A$2:$A$29,MATCH(A106,'جدول الجرد'!$B$2:$B$29,0)),""))</f>
        <v/>
      </c>
      <c r="C106" s="5" t="str">
        <f>IF(A106="","",IFERROR(INDEX('جدول الجرد'!$E$2:$E$29,MATCH(A106,'جدول الجرد'!$B$2:$B$29,0)),""))</f>
        <v/>
      </c>
      <c r="D106" s="4" t="n"/>
      <c r="E106" s="4" t="n"/>
      <c r="F106" s="4" t="n"/>
      <c r="G106" s="4" t="n"/>
      <c r="H106" s="5" t="str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>0</v>
      </c>
    </row>
    <row r="107">
      <c r="A107" s="4" t="n"/>
      <c r="B107" s="5" t="str">
        <f>IF(A107="","",IFERROR(INDEX('جدول الجرد'!$A$2:$A$29,MATCH(A107,'جدول الجرد'!$B$2:$B$29,0)),""))</f>
        <v/>
      </c>
      <c r="C107" s="5" t="str">
        <f>IF(A107="","",IFERROR(INDEX('جدول الجرد'!$E$2:$E$29,MATCH(A107,'جدول الجرد'!$B$2:$B$29,0)),""))</f>
        <v/>
      </c>
      <c r="D107" s="4" t="n"/>
      <c r="E107" s="4" t="n"/>
      <c r="F107" s="4" t="n"/>
      <c r="G107" s="4" t="n"/>
      <c r="H107" s="5" t="str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>0</v>
      </c>
    </row>
    <row r="108">
      <c r="A108" s="4" t="n"/>
      <c r="B108" s="5" t="str">
        <f>IF(A108="","",IFERROR(INDEX('جدول الجرد'!$A$2:$A$29,MATCH(A108,'جدول الجرد'!$B$2:$B$29,0)),""))</f>
        <v/>
      </c>
      <c r="C108" s="5" t="str">
        <f>IF(A108="","",IFERROR(INDEX('جدول الجرد'!$E$2:$E$29,MATCH(A108,'جدول الجرد'!$B$2:$B$29,0)),""))</f>
        <v/>
      </c>
      <c r="D108" s="4" t="n"/>
      <c r="E108" s="4" t="n"/>
      <c r="F108" s="4" t="n"/>
      <c r="G108" s="4" t="n"/>
      <c r="H108" s="5" t="str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>0</v>
      </c>
    </row>
    <row r="109">
      <c r="A109" s="4" t="n"/>
      <c r="B109" s="5" t="str">
        <f>IF(A109="","",IFERROR(INDEX('جدول الجرد'!$A$2:$A$29,MATCH(A109,'جدول الجرد'!$B$2:$B$29,0)),""))</f>
        <v/>
      </c>
      <c r="C109" s="5" t="str">
        <f>IF(A109="","",IFERROR(INDEX('جدول الجرد'!$E$2:$E$29,MATCH(A109,'جدول الجرد'!$B$2:$B$29,0)),""))</f>
        <v/>
      </c>
      <c r="D109" s="4" t="n"/>
      <c r="E109" s="4" t="n"/>
      <c r="F109" s="4" t="n"/>
      <c r="G109" s="4" t="n"/>
      <c r="H109" s="5" t="str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>0</v>
      </c>
    </row>
    <row r="110">
      <c r="A110" s="4" t="n"/>
      <c r="B110" s="5" t="str">
        <f>IF(A110="","",IFERROR(INDEX('جدول الجرد'!$A$2:$A$29,MATCH(A110,'جدول الجرد'!$B$2:$B$29,0)),""))</f>
        <v/>
      </c>
      <c r="C110" s="5" t="str">
        <f>IF(A110="","",IFERROR(INDEX('جدول الجرد'!$E$2:$E$29,MATCH(A110,'جدول الجرد'!$B$2:$B$29,0)),""))</f>
        <v/>
      </c>
      <c r="D110" s="4" t="n"/>
      <c r="E110" s="4" t="n"/>
      <c r="F110" s="4" t="n"/>
      <c r="G110" s="4" t="n"/>
      <c r="H110" s="5" t="str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>0</v>
      </c>
    </row>
    <row r="111">
      <c r="A111" s="4" t="n"/>
      <c r="B111" s="5" t="str">
        <f>IF(A111="","",IFERROR(INDEX('جدول الجرد'!$A$2:$A$29,MATCH(A111,'جدول الجرد'!$B$2:$B$29,0)),""))</f>
        <v/>
      </c>
      <c r="C111" s="5" t="str">
        <f>IF(A111="","",IFERROR(INDEX('جدول الجرد'!$E$2:$E$29,MATCH(A111,'جدول الجرد'!$B$2:$B$29,0)),""))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الجرد'!$A$2:$A$29,MATCH(A112,'جدول الجرد'!$B$2:$B$29,0)),""))</f>
        <v/>
      </c>
      <c r="C112" s="5" t="str">
        <f>IF(A112="","",IFERROR(INDEX('جدول الجرد'!$E$2:$E$29,MATCH(A112,'جدول الجرد'!$B$2:$B$29,0)),""))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الجرد'!$A$2:$A$29,MATCH(A113,'جدول الجرد'!$B$2:$B$29,0)),""))</f>
        <v/>
      </c>
      <c r="C113" s="5" t="str">
        <f>IF(A113="","",IFERROR(INDEX('جدول الجرد'!$E$2:$E$29,MATCH(A113,'جدول الجرد'!$B$2:$B$29,0)),""))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الجرد'!$A$2:$A$29,MATCH(A114,'جدول الجرد'!$B$2:$B$29,0)),""))</f>
        <v/>
      </c>
      <c r="C114" s="5" t="str">
        <f>IF(A114="","",IFERROR(INDEX('جدول الجرد'!$E$2:$E$29,MATCH(A114,'جدول الجرد'!$B$2:$B$29,0)),""))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الجرد'!$A$2:$A$29,MATCH(A115,'جدول الجرد'!$B$2:$B$29,0)),""))</f>
        <v/>
      </c>
      <c r="C115" s="5" t="str">
        <f>IF(A115="","",IFERROR(INDEX('جدول الجرد'!$E$2:$E$29,MATCH(A115,'جدول الجرد'!$B$2:$B$29,0)),""))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الجرد'!$A$2:$A$29,MATCH(A116,'جدول الجرد'!$B$2:$B$29,0)),""))</f>
        <v/>
      </c>
      <c r="C116" s="5" t="str">
        <f>IF(A116="","",IFERROR(INDEX('جدول الجرد'!$E$2:$E$29,MATCH(A116,'جدول الجرد'!$B$2:$B$29,0)),""))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الجرد'!$A$2:$A$29,MATCH(A117,'جدول الجرد'!$B$2:$B$29,0)),""))</f>
        <v/>
      </c>
      <c r="C117" s="5" t="str">
        <f>IF(A117="","",IFERROR(INDEX('جدول الجرد'!$E$2:$E$29,MATCH(A117,'جدول الجرد'!$B$2:$B$29,0)),""))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الجرد'!$A$2:$A$29,MATCH(A118,'جدول الجرد'!$B$2:$B$29,0)),""))</f>
        <v/>
      </c>
      <c r="C118" s="5" t="str">
        <f>IF(A118="","",IFERROR(INDEX('جدول الجرد'!$E$2:$E$29,MATCH(A118,'جدول الجرد'!$B$2:$B$29,0)),""))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الجرد'!$A$2:$A$29,MATCH(A119,'جدول الجرد'!$B$2:$B$29,0)),""))</f>
        <v/>
      </c>
      <c r="C119" s="5" t="str">
        <f>IF(A119="","",IFERROR(INDEX('جدول الجرد'!$E$2:$E$29,MATCH(A119,'جدول الجرد'!$B$2:$B$29,0)),""))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الجرد'!$A$2:$A$29,MATCH(A120,'جدول الجرد'!$B$2:$B$29,0)),""))</f>
        <v/>
      </c>
      <c r="C120" s="5" t="str">
        <f>IF(A120="","",IFERROR(INDEX('جدول الجرد'!$E$2:$E$29,MATCH(A120,'جدول الجرد'!$B$2:$B$29,0)),""))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الجرد'!$A$2:$A$29,MATCH(A121,'جدول الجرد'!$B$2:$B$29,0)),""))</f>
        <v/>
      </c>
      <c r="C121" s="5" t="str">
        <f>IF(A121="","",IFERROR(INDEX('جدول الجرد'!$E$2:$E$29,MATCH(A121,'جدول الجرد'!$B$2:$B$29,0)),""))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الجرد'!$A$2:$A$29,MATCH(A122,'جدول الجرد'!$B$2:$B$29,0)),""))</f>
        <v/>
      </c>
      <c r="C122" s="5" t="str">
        <f>IF(A122="","",IFERROR(INDEX('جدول الجرد'!$E$2:$E$29,MATCH(A122,'جدول الجرد'!$B$2:$B$29,0)),""))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الجرد'!$A$2:$A$29,MATCH(A123,'جدول الجرد'!$B$2:$B$29,0)),""))</f>
        <v/>
      </c>
      <c r="C123" s="5" t="str">
        <f>IF(A123="","",IFERROR(INDEX('جدول الجرد'!$E$2:$E$29,MATCH(A123,'جدول الجرد'!$B$2:$B$29,0)),""))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الجرد'!$A$2:$A$29,MATCH(A124,'جدول الجرد'!$B$2:$B$29,0)),""))</f>
        <v/>
      </c>
      <c r="C124" s="5" t="str">
        <f>IF(A124="","",IFERROR(INDEX('جدول الجرد'!$E$2:$E$29,MATCH(A124,'جدول الجرد'!$B$2:$B$29,0)),""))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الجرد'!$A$2:$A$29,MATCH(A125,'جدول الجرد'!$B$2:$B$29,0)),""))</f>
        <v/>
      </c>
      <c r="C125" s="5" t="str">
        <f>IF(A125="","",IFERROR(INDEX('جدول الجرد'!$E$2:$E$29,MATCH(A125,'جدول الجرد'!$B$2:$B$29,0)),""))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الجرد'!$A$2:$A$29,MATCH(A126,'جدول الجرد'!$B$2:$B$29,0)),""))</f>
        <v/>
      </c>
      <c r="C126" s="5" t="str">
        <f>IF(A126="","",IFERROR(INDEX('جدول الجرد'!$E$2:$E$29,MATCH(A126,'جدول الجرد'!$B$2:$B$29,0)),""))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الجرد'!$A$2:$A$29,MATCH(A127,'جدول الجرد'!$B$2:$B$29,0)),""))</f>
        <v/>
      </c>
      <c r="C127" s="5" t="str">
        <f>IF(A127="","",IFERROR(INDEX('جدول الجرد'!$E$2:$E$29,MATCH(A127,'جدول الجرد'!$B$2:$B$29,0)),""))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الجرد'!$A$2:$A$29,MATCH(A128,'جدول الجرد'!$B$2:$B$29,0)),""))</f>
        <v/>
      </c>
      <c r="C128" s="5" t="str">
        <f>IF(A128="","",IFERROR(INDEX('جدول الجرد'!$E$2:$E$29,MATCH(A128,'جدول الجرد'!$B$2:$B$29,0)),""))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الجرد'!$A$2:$A$29,MATCH(A129,'جدول الجرد'!$B$2:$B$29,0)),""))</f>
        <v/>
      </c>
      <c r="C129" s="5" t="str">
        <f>IF(A129="","",IFERROR(INDEX('جدول الجرد'!$E$2:$E$29,MATCH(A129,'جدول الجرد'!$B$2:$B$29,0)),""))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الجرد'!$A$2:$A$29,MATCH(A130,'جدول الجرد'!$B$2:$B$29,0)),""))</f>
        <v/>
      </c>
      <c r="C130" s="5" t="str">
        <f>IF(A130="","",IFERROR(INDEX('جدول الجرد'!$E$2:$E$29,MATCH(A130,'جدول الجرد'!$B$2:$B$29,0)),""))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الجرد'!$A$2:$A$29,MATCH(A131,'جدول الجرد'!$B$2:$B$29,0)),""))</f>
        <v/>
      </c>
      <c r="C131" s="5" t="str">
        <f>IF(A131="","",IFERROR(INDEX('جدول الجرد'!$E$2:$E$29,MATCH(A131,'جدول الجرد'!$B$2:$B$29,0)),""))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الجرد'!$A$2:$A$29,MATCH(A132,'جدول الجرد'!$B$2:$B$29,0)),""))</f>
        <v/>
      </c>
      <c r="C132" s="5" t="str">
        <f>IF(A132="","",IFERROR(INDEX('جدول الجرد'!$E$2:$E$29,MATCH(A132,'جدول الجرد'!$B$2:$B$29,0)),""))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الجرد'!$A$2:$A$29,MATCH(A133,'جدول الجرد'!$B$2:$B$29,0)),""))</f>
        <v/>
      </c>
      <c r="C133" s="5" t="str">
        <f>IF(A133="","",IFERROR(INDEX('جدول الجرد'!$E$2:$E$29,MATCH(A133,'جدول الجرد'!$B$2:$B$29,0)),""))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الجرد'!$A$2:$A$29,MATCH(A134,'جدول الجرد'!$B$2:$B$29,0)),""))</f>
        <v/>
      </c>
      <c r="C134" s="5" t="str">
        <f>IF(A134="","",IFERROR(INDEX('جدول الجرد'!$E$2:$E$29,MATCH(A134,'جدول الجرد'!$B$2:$B$29,0)),""))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2026-10-02T17:54:45Z</dcterms:created>
  <dcterms:modified xsi:type="dcterms:W3CDTF">2026-10-02T17:54:45Z</dcterms:modified>
</cp:coreProperties>
</file>