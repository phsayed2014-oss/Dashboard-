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20</v>
      </c>
      <c r="C4" s="5">
        <f>IF(A4="","",COUNTIFS(السجل!$E$2:$E$1000,A4,السجل!$H$2:$H$1000,"مراجعة فقط"))</f>
        <v>18</v>
      </c>
      <c r="D4" s="5">
        <f>IF(A4="","",COUNTIFS(السجل!$E$2:$E$1000,A4,السجل!$H$2:$H$1000,"جرد فقط"))</f>
        <v>0</v>
      </c>
      <c r="E4" s="5">
        <f>IF(A4="","",SUM(B4:D4))</f>
        <v>38</v>
      </c>
      <c r="F4" s="6">
        <f>IF(A4="","",SUMIFS(السجل!$I$2:$I$1000,السجل!$E$2:$E$1000,A4))</f>
        <v>6700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29</v>
      </c>
      <c r="D5" s="5">
        <f>IF(A5="","",COUNTIFS(السجل!$E$2:$E$1000,A5,السجل!$H$2:$H$1000,"جرد فقط"))</f>
        <v>0</v>
      </c>
      <c r="E5" s="5">
        <f>IF(A5="","",SUM(B5:D5))</f>
        <v>37</v>
      </c>
      <c r="F5" s="6">
        <f>IF(A5="","",SUMIFS(السجل!$I$2:$I$1000,السجل!$E$2:$E$1000,A5))</f>
        <v>5950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10</v>
      </c>
      <c r="C8" s="5">
        <f>IF(A8="","",COUNTIFS(السجل!$E$2:$E$1000,A8,السجل!$H$2:$H$1000,"مراجعة فقط"))</f>
        <v>10</v>
      </c>
      <c r="D8" s="5">
        <f>IF(A8="","",COUNTIFS(السجل!$E$2:$E$1000,A8,السجل!$H$2:$H$1000,"جرد فقط"))</f>
        <v>0</v>
      </c>
      <c r="E8" s="5">
        <f>IF(A8="","",SUM(B8:D8))</f>
        <v>20</v>
      </c>
      <c r="F8" s="6">
        <f>IF(A8="","",SUMIFS(السجل!$I$2:$I$1000,السجل!$E$2:$E$1000,A8))</f>
        <v>3500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38</v>
      </c>
      <c r="C19" s="7">
        <f>SUM(C4:C18)</f>
        <v>111</v>
      </c>
      <c r="D19" s="7">
        <f>SUM(D4:D18)</f>
        <v>0</v>
      </c>
      <c r="E19" s="7">
        <f>SUM(E4:E18)</f>
        <v>149</v>
      </c>
      <c r="F19" s="8">
        <f>SUM(F4:F18)</f>
        <v>24250</v>
      </c>
    </row>
    <row r="21">
      <c r="A21" s="5" t="inlineStr">
        <is>
          <t>للتحقق: إجمالي السجل</t>
        </is>
      </c>
      <c r="F21" s="9">
        <f>SUM(السجل!$I$2:$I$1000)</f>
        <v>24250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5" customWidth="1" min="23" max="23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السبت
2026-10-10</t>
        </is>
      </c>
      <c r="R1" s="3" t="inlineStr">
        <is>
          <t>الأحد
2026-10-11</t>
        </is>
      </c>
      <c r="S1" s="3" t="inlineStr">
        <is>
          <t>الثلاثاء
2026-10-13</t>
        </is>
      </c>
      <c r="T1" s="3" t="inlineStr">
        <is>
          <t>الأربعاء
2026-10-14</t>
        </is>
      </c>
      <c r="U1" s="3" t="inlineStr">
        <is>
          <t>الخميس
2026-10-15</t>
        </is>
      </c>
      <c r="V1" s="3" t="inlineStr">
        <is>
          <t>الجمعة
2026-10-16</t>
        </is>
      </c>
      <c r="W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9">
        <f>SUMIFS(السجل!$I$2:$I$1000,السجل!$E$2:$E$1000,$A2,السجل!$A$2:$A$1000,Q$1000)</f>
        <v>400</v>
      </c>
      <c r="R2" s="9">
        <f>SUMIFS(السجل!$I$2:$I$1000,السجل!$E$2:$E$1000,$A2,السجل!$A$2:$A$1000,R$1000)</f>
        <v>300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400</v>
      </c>
      <c r="U2" s="9">
        <f>SUMIFS(السجل!$I$2:$I$1000,السجل!$E$2:$E$1000,$A2,السجل!$A$2:$A$1000,U$1000)</f>
        <v>300</v>
      </c>
      <c r="V2" s="9">
        <f>SUMIFS(السجل!$I$2:$I$1000,السجل!$E$2:$E$1000,$A2,السجل!$A$2:$A$1000,V$1000)</f>
        <v>200</v>
      </c>
      <c r="W2" s="6">
        <f>SUM(B2:V2)</f>
        <v>6700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9">
        <f>SUMIFS(السجل!$I$2:$I$1000,السجل!$E$2:$E$1000,$A3,السجل!$A$2:$A$1000,Q$1000)</f>
        <v>300</v>
      </c>
      <c r="R3" s="9">
        <f>SUMIFS(السجل!$I$2:$I$1000,السجل!$E$2:$E$1000,$A3,السجل!$A$2:$A$1000,R$1000)</f>
        <v>400</v>
      </c>
      <c r="S3" s="9">
        <f>SUMIFS(السجل!$I$2:$I$1000,السجل!$E$2:$E$1000,$A3,السجل!$A$2:$A$1000,S$1000)</f>
        <v>300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0</v>
      </c>
      <c r="W3" s="6">
        <f>SUM(B3:V3)</f>
        <v>5950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6">
        <f>SUM(B4:V4)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150</v>
      </c>
      <c r="W5" s="6">
        <f>SUM(B5:V5)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400</v>
      </c>
      <c r="T6" s="9">
        <f>SUMIFS(السجل!$I$2:$I$1000,السجل!$E$2:$E$1000,$A6,السجل!$A$2:$A$1000,T$1000)</f>
        <v>300</v>
      </c>
      <c r="U6" s="9">
        <f>SUMIFS(السجل!$I$2:$I$1000,السجل!$E$2:$E$1000,$A6,السجل!$A$2:$A$1000,U$1000)</f>
        <v>400</v>
      </c>
      <c r="V6" s="9">
        <f>SUMIFS(السجل!$I$2:$I$1000,السجل!$E$2:$E$1000,$A6,السجل!$A$2:$A$1000,V$1000)</f>
        <v>150</v>
      </c>
      <c r="W6" s="6">
        <f>SUM(B6:V6)</f>
        <v>3500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6">
        <f>SUM(B7:V7)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150</v>
      </c>
      <c r="W8" s="6">
        <f>SUM(B8:V8)</f>
        <v>150</v>
      </c>
    </row>
    <row r="9">
      <c r="A9" s="7" t="inlineStr">
        <is>
          <t>الإجمالي</t>
        </is>
      </c>
      <c r="B9" s="8">
        <f>SUM(B2:B8)</f>
        <v>1150</v>
      </c>
      <c r="C9" s="8">
        <f>SUM(C2:C8)</f>
        <v>1000</v>
      </c>
      <c r="D9" s="8">
        <f>SUM(D2:D8)</f>
        <v>1150</v>
      </c>
      <c r="E9" s="8">
        <f>SUM(E2:E8)</f>
        <v>1150</v>
      </c>
      <c r="F9" s="8">
        <f>SUM(F2:F8)</f>
        <v>1600</v>
      </c>
      <c r="G9" s="8">
        <f>SUM(G2:G8)</f>
        <v>1450</v>
      </c>
      <c r="H9" s="8">
        <f>SUM(H2:H8)</f>
        <v>800</v>
      </c>
      <c r="I9" s="8">
        <f>SUM(I2:I8)</f>
        <v>800</v>
      </c>
      <c r="J9" s="8">
        <f>SUM(J2:J8)</f>
        <v>800</v>
      </c>
      <c r="K9" s="8">
        <f>SUM(K2:K8)</f>
        <v>1300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1000</v>
      </c>
      <c r="U9" s="8">
        <f>SUM(U2:U8)</f>
        <v>1000</v>
      </c>
      <c r="V9" s="8">
        <f>SUM(V2:V8)</f>
        <v>650</v>
      </c>
      <c r="W9" s="8">
        <f>SUM(W2:W8)</f>
        <v>24250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  <c r="Q1000" t="inlineStr">
        <is>
          <t>2026-10-10</t>
        </is>
      </c>
      <c r="R1000" t="inlineStr">
        <is>
          <t>2026-10-11</t>
        </is>
      </c>
      <c r="S1000" t="inlineStr">
        <is>
          <t>2026-10-13</t>
        </is>
      </c>
      <c r="T1000" t="inlineStr">
        <is>
          <t>2026-10-14</t>
        </is>
      </c>
      <c r="U1000" t="inlineStr">
        <is>
          <t>2026-10-15</t>
        </is>
      </c>
      <c r="V1000" t="inlineStr">
        <is>
          <t>2026-10-16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الجرد'!$A$2:$A$29,MATCH(A111,'جدول الجرد'!$B$2:$B$29,0)),""))</f>
        <v>السبت</v>
      </c>
      <c r="C111" s="5" t="str">
        <f>IF(A111="","",IFERROR(INDEX('جدول الجرد'!$E$2:$E$29,MATCH(A111,'جدول الجرد'!$B$2:$B$29,0)),""))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الجرد'!$A$2:$A$29,MATCH(A112,'جدول الجرد'!$B$2:$B$29,0)),""))</f>
        <v>السبت</v>
      </c>
      <c r="C112" s="5" t="str">
        <f>IF(A112="","",IFERROR(INDEX('جدول الجرد'!$E$2:$E$29,MATCH(A112,'جدول الجرد'!$B$2:$B$29,0)),""))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الجرد'!$A$2:$A$29,MATCH(A113,'جدول الجرد'!$B$2:$B$29,0)),""))</f>
        <v>السبت</v>
      </c>
      <c r="C113" s="5" t="str">
        <f>IF(A113="","",IFERROR(INDEX('جدول الجرد'!$E$2:$E$29,MATCH(A113,'جدول الجرد'!$B$2:$B$29,0)),""))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الجرد'!$A$2:$A$29,MATCH(A114,'جدول الجرد'!$B$2:$B$29,0)),""))</f>
        <v>السبت</v>
      </c>
      <c r="C114" s="5" t="str">
        <f>IF(A114="","",IFERROR(INDEX('جدول الجرد'!$E$2:$E$29,MATCH(A114,'جدول الجرد'!$B$2:$B$29,0)),""))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الجرد'!$A$2:$A$29,MATCH(A115,'جدول الجرد'!$B$2:$B$29,0)),""))</f>
        <v>السبت</v>
      </c>
      <c r="C115" s="5" t="str">
        <f>IF(A115="","",IFERROR(INDEX('جدول الجرد'!$E$2:$E$29,MATCH(A115,'جدول الجرد'!$B$2:$B$29,0)),""))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الجرد'!$A$2:$A$29,MATCH(A116,'جدول الجرد'!$B$2:$B$29,0)),""))</f>
        <v>السبت</v>
      </c>
      <c r="C116" s="5" t="str">
        <f>IF(A116="","",IFERROR(INDEX('جدول الجرد'!$E$2:$E$29,MATCH(A116,'جدول الجرد'!$B$2:$B$29,0)),""))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الجرد'!$A$2:$A$29,MATCH(A117,'جدول الجرد'!$B$2:$B$29,0)),""))</f>
        <v>السبت</v>
      </c>
      <c r="C117" s="5" t="str">
        <f>IF(A117="","",IFERROR(INDEX('جدول الجرد'!$E$2:$E$29,MATCH(A117,'جدول الجرد'!$B$2:$B$29,0)),""))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الجرد'!$A$2:$A$29,MATCH(A118,'جدول الجرد'!$B$2:$B$29,0)),""))</f>
        <v>السبت</v>
      </c>
      <c r="C118" s="5" t="str">
        <f>IF(A118="","",IFERROR(INDEX('جدول الجرد'!$E$2:$E$29,MATCH(A118,'جدول الجرد'!$B$2:$B$29,0)),""))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الجرد'!$A$2:$A$29,MATCH(A119,'جدول الجرد'!$B$2:$B$29,0)),""))</f>
        <v>الأحد</v>
      </c>
      <c r="C119" s="5" t="str">
        <f>IF(A119="","",IFERROR(INDEX('جدول الجرد'!$E$2:$E$29,MATCH(A119,'جدول الجرد'!$B$2:$B$29,0)),""))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الجرد'!$A$2:$A$29,MATCH(A120,'جدول الجرد'!$B$2:$B$29,0)),""))</f>
        <v>الأحد</v>
      </c>
      <c r="C120" s="5" t="str">
        <f>IF(A120="","",IFERROR(INDEX('جدول الجرد'!$E$2:$E$29,MATCH(A120,'جدول الجرد'!$B$2:$B$29,0)),""))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الجرد'!$A$2:$A$29,MATCH(A121,'جدول الجرد'!$B$2:$B$29,0)),""))</f>
        <v>الأحد</v>
      </c>
      <c r="C121" s="5" t="str">
        <f>IF(A121="","",IFERROR(INDEX('جدول الجرد'!$E$2:$E$29,MATCH(A121,'جدول الجرد'!$B$2:$B$29,0)),""))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الجرد'!$A$2:$A$29,MATCH(A122,'جدول الجرد'!$B$2:$B$29,0)),""))</f>
        <v>الأحد</v>
      </c>
      <c r="C122" s="5" t="str">
        <f>IF(A122="","",IFERROR(INDEX('جدول الجرد'!$E$2:$E$29,MATCH(A122,'جدول الجرد'!$B$2:$B$29,0)),""))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الجرد'!$A$2:$A$29,MATCH(A123,'جدول الجرد'!$B$2:$B$29,0)),""))</f>
        <v>الأحد</v>
      </c>
      <c r="C123" s="5" t="str">
        <f>IF(A123="","",IFERROR(INDEX('جدول الجرد'!$E$2:$E$29,MATCH(A123,'جدول الجرد'!$B$2:$B$29,0)),""))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الجرد'!$A$2:$A$29,MATCH(A124,'جدول الجرد'!$B$2:$B$29,0)),""))</f>
        <v>الأحد</v>
      </c>
      <c r="C124" s="5" t="str">
        <f>IF(A124="","",IFERROR(INDEX('جدول الجرد'!$E$2:$E$29,MATCH(A124,'جدول الجرد'!$B$2:$B$29,0)),""))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الجرد'!$A$2:$A$29,MATCH(A125,'جدول الجرد'!$B$2:$B$29,0)),""))</f>
        <v>الأحد</v>
      </c>
      <c r="C125" s="5" t="str">
        <f>IF(A125="","",IFERROR(INDEX('جدول الجرد'!$E$2:$E$29,MATCH(A125,'جدول الجرد'!$B$2:$B$29,0)),""))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الجرد'!$A$2:$A$29,MATCH(A126,'جدول الجرد'!$B$2:$B$29,0)),""))</f>
        <v>الأحد</v>
      </c>
      <c r="C126" s="5" t="str">
        <f>IF(A126="","",IFERROR(INDEX('جدول الجرد'!$E$2:$E$29,MATCH(A126,'جدول الجرد'!$B$2:$B$29,0)),""))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الجرد'!$A$2:$A$29,MATCH(A127,'جدول الجرد'!$B$2:$B$29,0)),""))</f>
        <v>الثلاثاء</v>
      </c>
      <c r="C127" s="5" t="str">
        <f>IF(A127="","",IFERROR(INDEX('جدول الجرد'!$E$2:$E$29,MATCH(A127,'جدول الجرد'!$B$2:$B$29,0)),""))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الجرد'!$A$2:$A$29,MATCH(A128,'جدول الجرد'!$B$2:$B$29,0)),""))</f>
        <v>الثلاثاء</v>
      </c>
      <c r="C128" s="5" t="str">
        <f>IF(A128="","",IFERROR(INDEX('جدول الجرد'!$E$2:$E$29,MATCH(A128,'جدول الجرد'!$B$2:$B$29,0)),""))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الجرد'!$A$2:$A$29,MATCH(A129,'جدول الجرد'!$B$2:$B$29,0)),""))</f>
        <v>الثلاثاء</v>
      </c>
      <c r="C129" s="5" t="str">
        <f>IF(A129="","",IFERROR(INDEX('جدول الجرد'!$E$2:$E$29,MATCH(A129,'جدول الجرد'!$B$2:$B$29,0)),""))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الجرد'!$A$2:$A$29,MATCH(A130,'جدول الجرد'!$B$2:$B$29,0)),""))</f>
        <v>الثلاثاء</v>
      </c>
      <c r="C130" s="5" t="str">
        <f>IF(A130="","",IFERROR(INDEX('جدول الجرد'!$E$2:$E$29,MATCH(A130,'جدول الجرد'!$B$2:$B$29,0)),""))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الجرد'!$A$2:$A$29,MATCH(A131,'جدول الجرد'!$B$2:$B$29,0)),""))</f>
        <v>الثلاثاء</v>
      </c>
      <c r="C131" s="5" t="str">
        <f>IF(A131="","",IFERROR(INDEX('جدول الجرد'!$E$2:$E$29,MATCH(A131,'جدول الجرد'!$B$2:$B$29,0)),""))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الجرد'!$A$2:$A$29,MATCH(A132,'جدول الجرد'!$B$2:$B$29,0)),""))</f>
        <v>الثلاثاء</v>
      </c>
      <c r="C132" s="5" t="str">
        <f>IF(A132="","",IFERROR(INDEX('جدول الجرد'!$E$2:$E$29,MATCH(A132,'جدول الجرد'!$B$2:$B$29,0)),""))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الجرد'!$A$2:$A$29,MATCH(A133,'جدول الجرد'!$B$2:$B$29,0)),""))</f>
        <v>الثلاثاء</v>
      </c>
      <c r="C133" s="5" t="str">
        <f>IF(A133="","",IFERROR(INDEX('جدول الجرد'!$E$2:$E$29,MATCH(A133,'جدول الجرد'!$B$2:$B$29,0)),""))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الجرد'!$A$2:$A$29,MATCH(A134,'جدول الجرد'!$B$2:$B$29,0)),""))</f>
        <v>الثلاثاء</v>
      </c>
      <c r="C134" s="5" t="str">
        <f>IF(A134="","",IFERROR(INDEX('جدول الجرد'!$E$2:$E$29,MATCH(A134,'جدول الجرد'!$B$2:$B$29,0)),""))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الجرد'!$A$2:$A$29,MATCH(A135,'جدول الجرد'!$B$2:$B$29,0)),""))</f>
        <v>الأربعاء</v>
      </c>
      <c r="C135" s="5" t="str">
        <f>IF(A135="","",IFERROR(INDEX('جدول الجرد'!$E$2:$E$29,MATCH(A135,'جدول الجرد'!$B$2:$B$29,0)),""))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الجرد'!$A$2:$A$29,MATCH(A136,'جدول الجرد'!$B$2:$B$29,0)),""))</f>
        <v>الأربعاء</v>
      </c>
      <c r="C136" s="5" t="str">
        <f>IF(A136="","",IFERROR(INDEX('جدول الجرد'!$E$2:$E$29,MATCH(A136,'جدول الجرد'!$B$2:$B$29,0)),""))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الجرد'!$A$2:$A$29,MATCH(A137,'جدول الجرد'!$B$2:$B$29,0)),""))</f>
        <v>الأربعاء</v>
      </c>
      <c r="C137" s="5" t="str">
        <f>IF(A137="","",IFERROR(INDEX('جدول الجرد'!$E$2:$E$29,MATCH(A137,'جدول الجرد'!$B$2:$B$29,0)),""))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الجرد'!$A$2:$A$29,MATCH(A138,'جدول الجرد'!$B$2:$B$29,0)),""))</f>
        <v>الأربعاء</v>
      </c>
      <c r="C138" s="5" t="str">
        <f>IF(A138="","",IFERROR(INDEX('جدول الجرد'!$E$2:$E$29,MATCH(A138,'جدول الجرد'!$B$2:$B$29,0)),""))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الجرد'!$A$2:$A$29,MATCH(A139,'جدول الجرد'!$B$2:$B$29,0)),""))</f>
        <v>الأربعاء</v>
      </c>
      <c r="C139" s="5" t="str">
        <f>IF(A139="","",IFERROR(INDEX('جدول الجرد'!$E$2:$E$29,MATCH(A139,'جدول الجرد'!$B$2:$B$29,0)),""))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الجرد'!$A$2:$A$29,MATCH(A140,'جدول الجرد'!$B$2:$B$29,0)),""))</f>
        <v>الأربعاء</v>
      </c>
      <c r="C140" s="5" t="str">
        <f>IF(A140="","",IFERROR(INDEX('جدول الجرد'!$E$2:$E$29,MATCH(A140,'جدول الجرد'!$B$2:$B$29,0)),""))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الجرد'!$A$2:$A$29,MATCH(A141,'جدول الجرد'!$B$2:$B$29,0)),""))</f>
        <v>الخميس</v>
      </c>
      <c r="C141" s="5" t="str">
        <f>IF(A141="","",IFERROR(INDEX('جدول الجرد'!$E$2:$E$29,MATCH(A141,'جدول الجرد'!$B$2:$B$29,0)),""))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الجرد'!$A$2:$A$29,MATCH(A142,'جدول الجرد'!$B$2:$B$29,0)),""))</f>
        <v>الخميس</v>
      </c>
      <c r="C142" s="5" t="str">
        <f>IF(A142="","",IFERROR(INDEX('جدول الجرد'!$E$2:$E$29,MATCH(A142,'جدول الجرد'!$B$2:$B$29,0)),""))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الجرد'!$A$2:$A$29,MATCH(A143,'جدول الجرد'!$B$2:$B$29,0)),""))</f>
        <v>الخميس</v>
      </c>
      <c r="C143" s="5" t="str">
        <f>IF(A143="","",IFERROR(INDEX('جدول الجرد'!$E$2:$E$29,MATCH(A143,'جدول الجرد'!$B$2:$B$29,0)),""))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الجرد'!$A$2:$A$29,MATCH(A144,'جدول الجرد'!$B$2:$B$29,0)),""))</f>
        <v>الخميس</v>
      </c>
      <c r="C144" s="5" t="str">
        <f>IF(A144="","",IFERROR(INDEX('جدول الجرد'!$E$2:$E$29,MATCH(A144,'جدول الجرد'!$B$2:$B$29,0)),""))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الجرد'!$A$2:$A$29,MATCH(A145,'جدول الجرد'!$B$2:$B$29,0)),""))</f>
        <v>الخميس</v>
      </c>
      <c r="C145" s="5" t="str">
        <f>IF(A145="","",IFERROR(INDEX('جدول الجرد'!$E$2:$E$29,MATCH(A145,'جدول الجرد'!$B$2:$B$29,0)),""))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الجرد'!$A$2:$A$29,MATCH(A146,'جدول الجرد'!$B$2:$B$29,0)),""))</f>
        <v>الخميس</v>
      </c>
      <c r="C146" s="5" t="str">
        <f>IF(A146="","",IFERROR(INDEX('جدول الجرد'!$E$2:$E$29,MATCH(A146,'جدول الجرد'!$B$2:$B$29,0)),""))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الجرد'!$A$2:$A$29,MATCH(A147,'جدول الجرد'!$B$2:$B$29,0)),""))</f>
        <v>الجمعة</v>
      </c>
      <c r="C147" s="5" t="str">
        <f>IF(A147="","",IFERROR(INDEX('جدول الجرد'!$E$2:$E$29,MATCH(A147,'جدول الجرد'!$B$2:$B$29,0)),""))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الجرد'!$A$2:$A$29,MATCH(A148,'جدول الجرد'!$B$2:$B$29,0)),""))</f>
        <v>الجمعة</v>
      </c>
      <c r="C148" s="5" t="str">
        <f>IF(A148="","",IFERROR(INDEX('جدول الجرد'!$E$2:$E$29,MATCH(A148,'جدول الجرد'!$B$2:$B$29,0)),""))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الجرد'!$A$2:$A$29,MATCH(A149,'جدول الجرد'!$B$2:$B$29,0)),""))</f>
        <v>الجمعة</v>
      </c>
      <c r="C149" s="5" t="str">
        <f>IF(A149="","",IFERROR(INDEX('جدول الجرد'!$E$2:$E$29,MATCH(A149,'جدول الجرد'!$B$2:$B$29,0)),""))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الجرد'!$A$2:$A$29,MATCH(A150,'جدول الجرد'!$B$2:$B$29,0)),""))</f>
        <v>الجمعة</v>
      </c>
      <c r="C150" s="5" t="str">
        <f>IF(A150="","",IFERROR(INDEX('جدول الجرد'!$E$2:$E$29,MATCH(A150,'جدول الجرد'!$B$2:$B$29,0)),""))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2026-10-16T19:10:09Z</dcterms:created>
  <dcterms:modified xsi:type="dcterms:W3CDTF">2026-10-16T19:10:09Z</dcterms:modified>
</cp:coreProperties>
</file>