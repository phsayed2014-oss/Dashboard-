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9</v>
      </c>
      <c r="C4" s="5">
        <f>IF(A4="","",COUNTIFS(السجل!$E$2:$E$1000,A4,السجل!$H$2:$H$1000,"مراجعة فقط"))</f>
        <v>6</v>
      </c>
      <c r="D4" s="5">
        <f>IF(A4="","",COUNTIFS(السجل!$E$2:$E$1000,A4,السجل!$H$2:$H$1000,"جرد فقط"))</f>
        <v>0</v>
      </c>
      <c r="E4" s="5">
        <f>IF(A4="","",SUM(B4:D4))</f>
        <v>15</v>
      </c>
      <c r="F4" s="6">
        <f>IF(A4="","",SUMIFS(السجل!$I$2:$I$1000,السجل!$E$2:$E$1000,A4))</f>
        <v>2700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15</v>
      </c>
      <c r="D5" s="5">
        <f>IF(A5="","",COUNTIFS(السجل!$E$2:$E$1000,A5,السجل!$H$2:$H$1000,"جرد فقط"))</f>
        <v>0</v>
      </c>
      <c r="E5" s="5">
        <f>IF(A5="","",SUM(B5:D5))</f>
        <v>15</v>
      </c>
      <c r="F5" s="6">
        <f>IF(A5="","",SUMIFS(السجل!$I$2:$I$1000,السجل!$E$2:$E$1000,A5))</f>
        <v>2250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7</v>
      </c>
      <c r="D7" s="5">
        <f>IF(A7="","",COUNTIFS(السجل!$E$2:$E$1000,A7,السجل!$H$2:$H$1000,"جرد فقط"))</f>
        <v>0</v>
      </c>
      <c r="E7" s="5">
        <f>IF(A7="","",SUM(B7:D7))</f>
        <v>7</v>
      </c>
      <c r="F7" s="6">
        <f>IF(A7="","",SUMIFS(السجل!$I$2:$I$1000,السجل!$E$2:$E$1000,A7))</f>
        <v>1050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15</v>
      </c>
      <c r="C19" s="7">
        <f>SUM(C4:C18)</f>
        <v>46</v>
      </c>
      <c r="D19" s="7">
        <f>SUM(D4:D18)</f>
        <v>0</v>
      </c>
      <c r="E19" s="7">
        <f>SUM(E4:E18)</f>
        <v>61</v>
      </c>
      <c r="F19" s="8">
        <f>SUM(F4:F18)</f>
        <v>9900</v>
      </c>
    </row>
    <row r="21">
      <c r="A21" s="5" t="inlineStr">
        <is>
          <t>للتحقق: إجمالي السجل</t>
        </is>
      </c>
      <c r="F21" s="9">
        <f>SUM(السجل!$I$2:$I$1000)</f>
        <v>9900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6">
        <f>SUM(B2:J2)</f>
        <v>2700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6">
        <f>SUM(B3:J3)</f>
        <v>2250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6">
        <f>SUM(B4:J4)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6">
        <f>SUM(B5:J5)</f>
        <v>1050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6">
        <f>SUM(B6:J6)</f>
        <v>2250</v>
      </c>
    </row>
    <row r="7">
      <c r="A7" s="7" t="inlineStr">
        <is>
          <t>الإجمالي</t>
        </is>
      </c>
      <c r="B7" s="8">
        <f>SUM(B2:B6)</f>
        <v>1150</v>
      </c>
      <c r="C7" s="8">
        <f>SUM(C2:C6)</f>
        <v>1000</v>
      </c>
      <c r="D7" s="8">
        <f>SUM(D2:D6)</f>
        <v>1150</v>
      </c>
      <c r="E7" s="8">
        <f>SUM(E2:E6)</f>
        <v>1150</v>
      </c>
      <c r="F7" s="8">
        <f>SUM(F2:F6)</f>
        <v>1600</v>
      </c>
      <c r="G7" s="8">
        <f>SUM(G2:G6)</f>
        <v>1450</v>
      </c>
      <c r="H7" s="8">
        <f>SUM(H2:H6)</f>
        <v>800</v>
      </c>
      <c r="I7" s="8">
        <f>SUM(I2:I6)</f>
        <v>800</v>
      </c>
      <c r="J7" s="8">
        <f>SUM(J2:J6)</f>
        <v>800</v>
      </c>
      <c r="K7" s="8">
        <f>SUM(K2:K6)</f>
        <v>9900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n"/>
      <c r="B63" s="5" t="str">
        <f>IF(A63="","",IFERROR(INDEX('جدول الجرد'!$A$2:$A$29,MATCH(A63,'جدول الجرد'!$B$2:$B$29,0)),""))</f>
        <v/>
      </c>
      <c r="C63" s="5" t="str">
        <f>IF(A63="","",IFERROR(INDEX('جدول الجرد'!$E$2:$E$29,MATCH(A63,'جدول الجرد'!$B$2:$B$29,0)),""))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الجرد'!$A$2:$A$29,MATCH(A64,'جدول الجرد'!$B$2:$B$29,0)),""))</f>
        <v/>
      </c>
      <c r="C64" s="5" t="str">
        <f>IF(A64="","",IFERROR(INDEX('جدول الجرد'!$E$2:$E$29,MATCH(A64,'جدول الجرد'!$B$2:$B$29,0)),""))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الجرد'!$A$2:$A$29,MATCH(A65,'جدول الجرد'!$B$2:$B$29,0)),""))</f>
        <v/>
      </c>
      <c r="C65" s="5" t="str">
        <f>IF(A65="","",IFERROR(INDEX('جدول الجرد'!$E$2:$E$29,MATCH(A65,'جدول الجرد'!$B$2:$B$29,0)),""))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الجرد'!$A$2:$A$29,MATCH(A66,'جدول الجرد'!$B$2:$B$29,0)),""))</f>
        <v/>
      </c>
      <c r="C66" s="5" t="str">
        <f>IF(A66="","",IFERROR(INDEX('جدول الجرد'!$E$2:$E$29,MATCH(A66,'جدول الجرد'!$B$2:$B$29,0)),""))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الجرد'!$A$2:$A$29,MATCH(A67,'جدول الجرد'!$B$2:$B$29,0)),""))</f>
        <v/>
      </c>
      <c r="C67" s="5" t="str">
        <f>IF(A67="","",IFERROR(INDEX('جدول الجرد'!$E$2:$E$29,MATCH(A67,'جدول الجرد'!$B$2:$B$29,0)),""))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الجرد'!$A$2:$A$29,MATCH(A68,'جدول الجرد'!$B$2:$B$29,0)),""))</f>
        <v/>
      </c>
      <c r="C68" s="5" t="str">
        <f>IF(A68="","",IFERROR(INDEX('جدول الجرد'!$E$2:$E$29,MATCH(A68,'جدول الجرد'!$B$2:$B$29,0)),""))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الجرد'!$A$2:$A$29,MATCH(A69,'جدول الجرد'!$B$2:$B$29,0)),""))</f>
        <v/>
      </c>
      <c r="C69" s="5" t="str">
        <f>IF(A69="","",IFERROR(INDEX('جدول الجرد'!$E$2:$E$29,MATCH(A69,'جدول الجرد'!$B$2:$B$29,0)),""))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الجرد'!$A$2:$A$29,MATCH(A70,'جدول الجرد'!$B$2:$B$29,0)),""))</f>
        <v/>
      </c>
      <c r="C70" s="5" t="str">
        <f>IF(A70="","",IFERROR(INDEX('جدول الجرد'!$E$2:$E$29,MATCH(A70,'جدول الجرد'!$B$2:$B$29,0)),""))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الجرد'!$A$2:$A$29,MATCH(A71,'جدول الجرد'!$B$2:$B$29,0)),""))</f>
        <v/>
      </c>
      <c r="C71" s="5" t="str">
        <f>IF(A71="","",IFERROR(INDEX('جدول الجرد'!$E$2:$E$29,MATCH(A71,'جدول الجرد'!$B$2:$B$29,0)),""))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الجرد'!$A$2:$A$29,MATCH(A72,'جدول الجرد'!$B$2:$B$29,0)),""))</f>
        <v/>
      </c>
      <c r="C72" s="5" t="str">
        <f>IF(A72="","",IFERROR(INDEX('جدول الجرد'!$E$2:$E$29,MATCH(A72,'جدول الجرد'!$B$2:$B$29,0)),""))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الجرد'!$A$2:$A$29,MATCH(A73,'جدول الجرد'!$B$2:$B$29,0)),""))</f>
        <v/>
      </c>
      <c r="C73" s="5" t="str">
        <f>IF(A73="","",IFERROR(INDEX('جدول الجرد'!$E$2:$E$29,MATCH(A73,'جدول الجرد'!$B$2:$B$29,0)),""))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الجرد'!$A$2:$A$29,MATCH(A74,'جدول الجرد'!$B$2:$B$29,0)),""))</f>
        <v/>
      </c>
      <c r="C74" s="5" t="str">
        <f>IF(A74="","",IFERROR(INDEX('جدول الجرد'!$E$2:$E$29,MATCH(A74,'جدول الجرد'!$B$2:$B$29,0)),""))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الجرد'!$A$2:$A$29,MATCH(A75,'جدول الجرد'!$B$2:$B$29,0)),""))</f>
        <v/>
      </c>
      <c r="C75" s="5" t="str">
        <f>IF(A75="","",IFERROR(INDEX('جدول الجرد'!$E$2:$E$29,MATCH(A75,'جدول الجرد'!$B$2:$B$29,0)),""))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الجرد'!$A$2:$A$29,MATCH(A76,'جدول الجرد'!$B$2:$B$29,0)),""))</f>
        <v/>
      </c>
      <c r="C76" s="5" t="str">
        <f>IF(A76="","",IFERROR(INDEX('جدول الجرد'!$E$2:$E$29,MATCH(A76,'جدول الجرد'!$B$2:$B$29,0)),""))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الجرد'!$A$2:$A$29,MATCH(A77,'جدول الجرد'!$B$2:$B$29,0)),""))</f>
        <v/>
      </c>
      <c r="C77" s="5" t="str">
        <f>IF(A77="","",IFERROR(INDEX('جدول الجرد'!$E$2:$E$29,MATCH(A77,'جدول الجرد'!$B$2:$B$29,0)),""))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الجرد'!$A$2:$A$29,MATCH(A78,'جدول الجرد'!$B$2:$B$29,0)),""))</f>
        <v/>
      </c>
      <c r="C78" s="5" t="str">
        <f>IF(A78="","",IFERROR(INDEX('جدول الجرد'!$E$2:$E$29,MATCH(A78,'جدول الجرد'!$B$2:$B$29,0)),""))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الجرد'!$A$2:$A$29,MATCH(A79,'جدول الجرد'!$B$2:$B$29,0)),""))</f>
        <v/>
      </c>
      <c r="C79" s="5" t="str">
        <f>IF(A79="","",IFERROR(INDEX('جدول الجرد'!$E$2:$E$29,MATCH(A79,'جدول الجرد'!$B$2:$B$29,0)),""))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الجرد'!$A$2:$A$29,MATCH(A80,'جدول الجرد'!$B$2:$B$29,0)),""))</f>
        <v/>
      </c>
      <c r="C80" s="5" t="str">
        <f>IF(A80="","",IFERROR(INDEX('جدول الجرد'!$E$2:$E$29,MATCH(A80,'جدول الجرد'!$B$2:$B$29,0)),""))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الجرد'!$A$2:$A$29,MATCH(A81,'جدول الجرد'!$B$2:$B$29,0)),""))</f>
        <v/>
      </c>
      <c r="C81" s="5" t="str">
        <f>IF(A81="","",IFERROR(INDEX('جدول الجرد'!$E$2:$E$29,MATCH(A81,'جدول الجرد'!$B$2:$B$29,0)),""))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الجرد'!$A$2:$A$29,MATCH(A82,'جدول الجرد'!$B$2:$B$29,0)),""))</f>
        <v/>
      </c>
      <c r="C82" s="5" t="str">
        <f>IF(A82="","",IFERROR(INDEX('جدول الجرد'!$E$2:$E$29,MATCH(A82,'جدول الجرد'!$B$2:$B$29,0)),""))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الجرد'!$A$2:$A$29,MATCH(A83,'جدول الجرد'!$B$2:$B$29,0)),""))</f>
        <v/>
      </c>
      <c r="C83" s="5" t="str">
        <f>IF(A83="","",IFERROR(INDEX('جدول الجرد'!$E$2:$E$29,MATCH(A83,'جدول الجرد'!$B$2:$B$29,0)),""))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الجرد'!$A$2:$A$29,MATCH(A84,'جدول الجرد'!$B$2:$B$29,0)),""))</f>
        <v/>
      </c>
      <c r="C84" s="5" t="str">
        <f>IF(A84="","",IFERROR(INDEX('جدول الجرد'!$E$2:$E$29,MATCH(A84,'جدول الجرد'!$B$2:$B$29,0)),""))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الجرد'!$A$2:$A$29,MATCH(A85,'جدول الجرد'!$B$2:$B$29,0)),""))</f>
        <v/>
      </c>
      <c r="C85" s="5" t="str">
        <f>IF(A85="","",IFERROR(INDEX('جدول الجرد'!$E$2:$E$29,MATCH(A85,'جدول الجرد'!$B$2:$B$29,0)),""))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الجرد'!$A$2:$A$29,MATCH(A86,'جدول الجرد'!$B$2:$B$29,0)),""))</f>
        <v/>
      </c>
      <c r="C86" s="5" t="str">
        <f>IF(A86="","",IFERROR(INDEX('جدول الجرد'!$E$2:$E$29,MATCH(A86,'جدول الجرد'!$B$2:$B$29,0)),""))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2026-10-03T17:31:18Z</dcterms:created>
  <dcterms:modified xsi:type="dcterms:W3CDTF">2026-10-03T17:31:19Z</dcterms:modified>
</cp:coreProperties>
</file>