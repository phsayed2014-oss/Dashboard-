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25</v>
      </c>
      <c r="C4" s="5">
        <f>IF(A4="","",COUNTIFS(السجل!$E$2:$E$1000,A4,السجل!$H$2:$H$1000,"مراجعة فقط"))</f>
        <v>23</v>
      </c>
      <c r="D4" s="5">
        <f>IF(A4="","",COUNTIFS(السجل!$E$2:$E$1000,A4,السجل!$H$2:$H$1000,"جرد فقط"))</f>
        <v>0</v>
      </c>
      <c r="E4" s="5">
        <f>IF(A4="","",SUM(B4:D4))</f>
        <v>48</v>
      </c>
      <c r="F4" s="6">
        <f>IF(A4="","",SUMIFS(السجل!$I$2:$I$1000,السجل!$E$2:$E$1000,A4))</f>
        <v>8450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8</v>
      </c>
      <c r="C5" s="5">
        <f>IF(A5="","",COUNTIFS(السجل!$E$2:$E$1000,A5,السجل!$H$2:$H$1000,"مراجعة فقط"))</f>
        <v>38</v>
      </c>
      <c r="D5" s="5">
        <f>IF(A5="","",COUNTIFS(السجل!$E$2:$E$1000,A5,السجل!$H$2:$H$1000,"جرد فقط"))</f>
        <v>0</v>
      </c>
      <c r="E5" s="5">
        <f>IF(A5="","",SUM(B5:D5))</f>
        <v>46</v>
      </c>
      <c r="F5" s="6">
        <f>IF(A5="","",SUMIFS(السجل!$I$2:$I$1000,السجل!$E$2:$E$1000,A5))</f>
        <v>7300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24</v>
      </c>
      <c r="D7" s="5">
        <f>IF(A7="","",COUNTIFS(السجل!$E$2:$E$1000,A7,السجل!$H$2:$H$1000,"جرد فقط"))</f>
        <v>0</v>
      </c>
      <c r="E7" s="5">
        <f>IF(A7="","",SUM(B7:D7))</f>
        <v>24</v>
      </c>
      <c r="F7" s="6">
        <f>IF(A7="","",SUMIFS(السجل!$I$2:$I$1000,السجل!$E$2:$E$1000,A7))</f>
        <v>3600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15</v>
      </c>
      <c r="C8" s="5">
        <f>IF(A8="","",COUNTIFS(السجل!$E$2:$E$1000,A8,السجل!$H$2:$H$1000,"مراجعة فقط"))</f>
        <v>13</v>
      </c>
      <c r="D8" s="5">
        <f>IF(A8="","",COUNTIFS(السجل!$E$2:$E$1000,A8,السجل!$H$2:$H$1000,"جرد فقط"))</f>
        <v>0</v>
      </c>
      <c r="E8" s="5">
        <f>IF(A8="","",SUM(B8:D8))</f>
        <v>28</v>
      </c>
      <c r="F8" s="6">
        <f>IF(A8="","",SUMIFS(السجل!$I$2:$I$1000,السجل!$E$2:$E$1000,A8))</f>
        <v>4950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18</v>
      </c>
      <c r="D9" s="5">
        <f>IF(A9="","",COUNTIFS(السجل!$E$2:$E$1000,A9,السجل!$H$2:$H$1000,"جرد فقط"))</f>
        <v>0</v>
      </c>
      <c r="E9" s="5">
        <f>IF(A9="","",SUM(B9:D9))</f>
        <v>18</v>
      </c>
      <c r="F9" s="6">
        <f>IF(A9="","",SUMIFS(السجل!$I$2:$I$1000,السجل!$E$2:$E$1000,A9))</f>
        <v>2700</v>
      </c>
    </row>
    <row r="10">
      <c r="A10" s="4" t="inlineStr">
        <is>
          <t>د. محمد فؤاد</t>
        </is>
      </c>
      <c r="B10" s="5">
        <f>IF(A10="","",COUNTIFS(السجل!$E$2:$E$1000,A10,السجل!$H$2:$H$1000,"جرد + مراجعة"))</f>
        <v>0</v>
      </c>
      <c r="C10" s="5">
        <f>IF(A10="","",COUNTIFS(السجل!$E$2:$E$1000,A10,السجل!$H$2:$H$1000,"مراجعة فقط"))</f>
        <v>1</v>
      </c>
      <c r="D10" s="5">
        <f>IF(A10="","",COUNTIFS(السجل!$E$2:$E$1000,A10,السجل!$H$2:$H$1000,"جرد فقط"))</f>
        <v>0</v>
      </c>
      <c r="E10" s="5">
        <f>IF(A10="","",SUM(B10:D10))</f>
        <v>1</v>
      </c>
      <c r="F10" s="6">
        <f>IF(A10="","",SUMIFS(السجل!$I$2:$I$1000,السجل!$E$2:$E$1000,A10))</f>
        <v>150</v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48</v>
      </c>
      <c r="C19" s="7">
        <f>SUM(C4:C18)</f>
        <v>128</v>
      </c>
      <c r="D19" s="7">
        <f>SUM(D4:D18)</f>
        <v>0</v>
      </c>
      <c r="E19" s="7">
        <f>SUM(E4:E18)</f>
        <v>176</v>
      </c>
      <c r="F19" s="8">
        <f>SUM(F4:F18)</f>
        <v>28800</v>
      </c>
    </row>
    <row r="21">
      <c r="A21" s="5" t="inlineStr">
        <is>
          <t>للتحقق: إجمالي السجل</t>
        </is>
      </c>
      <c r="F21" s="9">
        <f>SUM(السجل!$I$2:$I$1000)</f>
        <v>28800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5" customWidth="1" min="29" max="29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الثلاثاء
2026-10-06</t>
        </is>
      </c>
      <c r="N1" s="3" t="inlineStr">
        <is>
          <t>الأربعاء
2026-10-07</t>
        </is>
      </c>
      <c r="O1" s="3" t="inlineStr">
        <is>
          <t>الخميس
2026-10-08</t>
        </is>
      </c>
      <c r="P1" s="3" t="inlineStr">
        <is>
          <t>الجمعة
2026-10-09</t>
        </is>
      </c>
      <c r="Q1" s="3" t="inlineStr">
        <is>
          <t>السبت
2026-10-10</t>
        </is>
      </c>
      <c r="R1" s="3" t="inlineStr">
        <is>
          <t>الأحد
2026-10-11</t>
        </is>
      </c>
      <c r="S1" s="3" t="inlineStr">
        <is>
          <t>الثلاثاء
2026-10-13</t>
        </is>
      </c>
      <c r="T1" s="3" t="inlineStr">
        <is>
          <t>الأربعاء
2026-10-14</t>
        </is>
      </c>
      <c r="U1" s="3" t="inlineStr">
        <is>
          <t>الخميس
2026-10-15</t>
        </is>
      </c>
      <c r="V1" s="3" t="inlineStr">
        <is>
          <t>الجمعة
2026-10-16</t>
        </is>
      </c>
      <c r="W1" s="3" t="inlineStr">
        <is>
          <t>السبت
2026-10-17</t>
        </is>
      </c>
      <c r="X1" s="3" t="inlineStr">
        <is>
          <t>الأحد
2026-10-18</t>
        </is>
      </c>
      <c r="Y1" s="3" t="inlineStr">
        <is>
          <t>الاثنين
2026-10-19</t>
        </is>
      </c>
      <c r="Z1" s="3" t="inlineStr">
        <is>
          <t>الثلاثاء
2026-10-20</t>
        </is>
      </c>
      <c r="AA1" s="3" t="inlineStr">
        <is>
          <t>الأربعاء
2026-10-21</t>
        </is>
      </c>
      <c r="AB1" s="3" t="inlineStr">
        <is>
          <t>الخميس
2026-10-22</t>
        </is>
      </c>
      <c r="AC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9">
        <f>SUMIFS(السجل!$I$2:$I$1000,السجل!$E$2:$E$1000,$A2,السجل!$A$2:$A$1000,M$1000)</f>
        <v>400</v>
      </c>
      <c r="N2" s="9">
        <f>SUMIFS(السجل!$I$2:$I$1000,السجل!$E$2:$E$1000,$A2,السجل!$A$2:$A$1000,N$1000)</f>
        <v>300</v>
      </c>
      <c r="O2" s="9">
        <f>SUMIFS(السجل!$I$2:$I$1000,السجل!$E$2:$E$1000,$A2,السجل!$A$2:$A$1000,O$1000)</f>
        <v>400</v>
      </c>
      <c r="P2" s="9">
        <f>SUMIFS(السجل!$I$2:$I$1000,السجل!$E$2:$E$1000,$A2,السجل!$A$2:$A$1000,P$1000)</f>
        <v>300</v>
      </c>
      <c r="Q2" s="9">
        <f>SUMIFS(السجل!$I$2:$I$1000,السجل!$E$2:$E$1000,$A2,السجل!$A$2:$A$1000,Q$1000)</f>
        <v>400</v>
      </c>
      <c r="R2" s="9">
        <f>SUMIFS(السجل!$I$2:$I$1000,السجل!$E$2:$E$1000,$A2,السجل!$A$2:$A$1000,R$1000)</f>
        <v>300</v>
      </c>
      <c r="S2" s="9">
        <f>SUMIFS(السجل!$I$2:$I$1000,السجل!$E$2:$E$1000,$A2,السجل!$A$2:$A$1000,S$1000)</f>
        <v>300</v>
      </c>
      <c r="T2" s="9">
        <f>SUMIFS(السجل!$I$2:$I$1000,السجل!$E$2:$E$1000,$A2,السجل!$A$2:$A$1000,T$1000)</f>
        <v>400</v>
      </c>
      <c r="U2" s="9">
        <f>SUMIFS(السجل!$I$2:$I$1000,السجل!$E$2:$E$1000,$A2,السجل!$A$2:$A$1000,U$1000)</f>
        <v>300</v>
      </c>
      <c r="V2" s="9">
        <f>SUMIFS(السجل!$I$2:$I$1000,السجل!$E$2:$E$1000,$A2,السجل!$A$2:$A$1000,V$1000)</f>
        <v>200</v>
      </c>
      <c r="W2" s="9">
        <f>SUMIFS(السجل!$I$2:$I$1000,السجل!$E$2:$E$1000,$A2,السجل!$A$2:$A$1000,W$1000)</f>
        <v>150</v>
      </c>
      <c r="X2" s="9">
        <f>SUMIFS(السجل!$I$2:$I$1000,السجل!$E$2:$E$1000,$A2,السجل!$A$2:$A$1000,X$1000)</f>
        <v>200</v>
      </c>
      <c r="Y2" s="9">
        <f>SUMIFS(السجل!$I$2:$I$1000,السجل!$E$2:$E$1000,$A2,السجل!$A$2:$A$1000,Y$1000)</f>
        <v>300</v>
      </c>
      <c r="Z2" s="9">
        <f>SUMIFS(السجل!$I$2:$I$1000,السجل!$E$2:$E$1000,$A2,السجل!$A$2:$A$1000,Z$1000)</f>
        <v>400</v>
      </c>
      <c r="AA2" s="9">
        <f>SUMIFS(السجل!$I$2:$I$1000,السجل!$E$2:$E$1000,$A2,السجل!$A$2:$A$1000,AA$1000)</f>
        <v>300</v>
      </c>
      <c r="AB2" s="9">
        <f>SUMIFS(السجل!$I$2:$I$1000,السجل!$E$2:$E$1000,$A2,السجل!$A$2:$A$1000,AB$1000)</f>
        <v>400</v>
      </c>
      <c r="AC2" s="6">
        <f>SUM(B2:AB2)</f>
        <v>8450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9">
        <f>SUMIFS(السجل!$I$2:$I$1000,السجل!$E$2:$E$1000,$A3,السجل!$A$2:$A$1000,M$1000)</f>
        <v>300</v>
      </c>
      <c r="N3" s="9">
        <f>SUMIFS(السجل!$I$2:$I$1000,السجل!$E$2:$E$1000,$A3,السجل!$A$2:$A$1000,N$1000)</f>
        <v>400</v>
      </c>
      <c r="O3" s="9">
        <f>SUMIFS(السجل!$I$2:$I$1000,السجل!$E$2:$E$1000,$A3,السجل!$A$2:$A$1000,O$1000)</f>
        <v>300</v>
      </c>
      <c r="P3" s="9">
        <f>SUMIFS(السجل!$I$2:$I$1000,السجل!$E$2:$E$1000,$A3,السجل!$A$2:$A$1000,P$1000)</f>
        <v>400</v>
      </c>
      <c r="Q3" s="9">
        <f>SUMIFS(السجل!$I$2:$I$1000,السجل!$E$2:$E$1000,$A3,السجل!$A$2:$A$1000,Q$1000)</f>
        <v>300</v>
      </c>
      <c r="R3" s="9">
        <f>SUMIFS(السجل!$I$2:$I$1000,السجل!$E$2:$E$1000,$A3,السجل!$A$2:$A$1000,R$1000)</f>
        <v>400</v>
      </c>
      <c r="S3" s="9">
        <f>SUMIFS(السجل!$I$2:$I$1000,السجل!$E$2:$E$1000,$A3,السجل!$A$2:$A$1000,S$1000)</f>
        <v>300</v>
      </c>
      <c r="T3" s="9">
        <f>SUMIFS(السجل!$I$2:$I$1000,السجل!$E$2:$E$1000,$A3,السجل!$A$2:$A$1000,T$1000)</f>
        <v>300</v>
      </c>
      <c r="U3" s="9">
        <f>SUMIFS(السجل!$I$2:$I$1000,السجل!$E$2:$E$1000,$A3,السجل!$A$2:$A$1000,U$1000)</f>
        <v>300</v>
      </c>
      <c r="V3" s="9">
        <f>SUMIFS(السجل!$I$2:$I$1000,السجل!$E$2:$E$1000,$A3,السجل!$A$2:$A$1000,V$1000)</f>
        <v>0</v>
      </c>
      <c r="W3" s="9">
        <f>SUMIFS(السجل!$I$2:$I$1000,السجل!$E$2:$E$1000,$A3,السجل!$A$2:$A$1000,W$1000)</f>
        <v>150</v>
      </c>
      <c r="X3" s="9">
        <f>SUMIFS(السجل!$I$2:$I$1000,السجل!$E$2:$E$1000,$A3,السجل!$A$2:$A$1000,X$1000)</f>
        <v>150</v>
      </c>
      <c r="Y3" s="9">
        <f>SUMIFS(السجل!$I$2:$I$1000,السجل!$E$2:$E$1000,$A3,السجل!$A$2:$A$1000,Y$1000)</f>
        <v>300</v>
      </c>
      <c r="Z3" s="9">
        <f>SUMIFS(السجل!$I$2:$I$1000,السجل!$E$2:$E$1000,$A3,السجل!$A$2:$A$1000,Z$1000)</f>
        <v>300</v>
      </c>
      <c r="AA3" s="9">
        <f>SUMIFS(السجل!$I$2:$I$1000,السجل!$E$2:$E$1000,$A3,السجل!$A$2:$A$1000,AA$1000)</f>
        <v>300</v>
      </c>
      <c r="AB3" s="9">
        <f>SUMIFS(السجل!$I$2:$I$1000,السجل!$E$2:$E$1000,$A3,السجل!$A$2:$A$1000,AB$1000)</f>
        <v>150</v>
      </c>
      <c r="AC3" s="6">
        <f>SUM(B3:AB3)</f>
        <v>7300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9">
        <f>SUMIFS(السجل!$I$2:$I$1000,السجل!$E$2:$E$1000,$A4,السجل!$A$2:$A$1000,O$1000)</f>
        <v>0</v>
      </c>
      <c r="P4" s="9">
        <f>SUMIFS(السجل!$I$2:$I$1000,السجل!$E$2:$E$1000,$A4,السجل!$A$2:$A$1000,P$1000)</f>
        <v>0</v>
      </c>
      <c r="Q4" s="9">
        <f>SUMIFS(السجل!$I$2:$I$1000,السجل!$E$2:$E$1000,$A4,السجل!$A$2:$A$1000,Q$1000)</f>
        <v>0</v>
      </c>
      <c r="R4" s="9">
        <f>SUMIFS(السجل!$I$2:$I$1000,السجل!$E$2:$E$1000,$A4,السجل!$A$2:$A$1000,R$1000)</f>
        <v>0</v>
      </c>
      <c r="S4" s="9">
        <f>SUMIFS(السجل!$I$2:$I$1000,السجل!$E$2:$E$1000,$A4,السجل!$A$2:$A$1000,S$1000)</f>
        <v>0</v>
      </c>
      <c r="T4" s="9">
        <f>SUMIFS(السجل!$I$2:$I$1000,السجل!$E$2:$E$1000,$A4,السجل!$A$2:$A$1000,T$1000)</f>
        <v>0</v>
      </c>
      <c r="U4" s="9">
        <f>SUMIFS(السجل!$I$2:$I$1000,السجل!$E$2:$E$1000,$A4,السجل!$A$2:$A$1000,U$1000)</f>
        <v>0</v>
      </c>
      <c r="V4" s="9">
        <f>SUMIFS(السجل!$I$2:$I$1000,السجل!$E$2:$E$1000,$A4,السجل!$A$2:$A$1000,V$1000)</f>
        <v>0</v>
      </c>
      <c r="W4" s="9">
        <f>SUMIFS(السجل!$I$2:$I$1000,السجل!$E$2:$E$1000,$A4,السجل!$A$2:$A$1000,W$1000)</f>
        <v>0</v>
      </c>
      <c r="X4" s="9">
        <f>SUMIFS(السجل!$I$2:$I$1000,السجل!$E$2:$E$1000,$A4,السجل!$A$2:$A$1000,X$1000)</f>
        <v>0</v>
      </c>
      <c r="Y4" s="9">
        <f>SUMIFS(السجل!$I$2:$I$1000,السجل!$E$2:$E$1000,$A4,السجل!$A$2:$A$1000,Y$1000)</f>
        <v>0</v>
      </c>
      <c r="Z4" s="9">
        <f>SUMIFS(السجل!$I$2:$I$1000,السجل!$E$2:$E$1000,$A4,السجل!$A$2:$A$1000,Z$1000)</f>
        <v>0</v>
      </c>
      <c r="AA4" s="9">
        <f>SUMIFS(السجل!$I$2:$I$1000,السجل!$E$2:$E$1000,$A4,السجل!$A$2:$A$1000,AA$1000)</f>
        <v>0</v>
      </c>
      <c r="AB4" s="9">
        <f>SUMIFS(السجل!$I$2:$I$1000,السجل!$E$2:$E$1000,$A4,السجل!$A$2:$A$1000,AB$1000)</f>
        <v>0</v>
      </c>
      <c r="AC4" s="6">
        <f>SUM(B4:AB4)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9">
        <f>SUMIFS(السجل!$I$2:$I$1000,السجل!$E$2:$E$1000,$A5,السجل!$A$2:$A$1000,O$1000)</f>
        <v>300</v>
      </c>
      <c r="P5" s="9">
        <f>SUMIFS(السجل!$I$2:$I$1000,السجل!$E$2:$E$1000,$A5,السجل!$A$2:$A$1000,P$1000)</f>
        <v>300</v>
      </c>
      <c r="Q5" s="9">
        <f>SUMIFS(السجل!$I$2:$I$1000,السجل!$E$2:$E$1000,$A5,السجل!$A$2:$A$1000,Q$1000)</f>
        <v>300</v>
      </c>
      <c r="R5" s="9">
        <f>SUMIFS(السجل!$I$2:$I$1000,السجل!$E$2:$E$1000,$A5,السجل!$A$2:$A$1000,R$1000)</f>
        <v>300</v>
      </c>
      <c r="S5" s="9">
        <f>SUMIFS(السجل!$I$2:$I$1000,السجل!$E$2:$E$1000,$A5,السجل!$A$2:$A$1000,S$1000)</f>
        <v>0</v>
      </c>
      <c r="T5" s="9">
        <f>SUMIFS(السجل!$I$2:$I$1000,السجل!$E$2:$E$1000,$A5,السجل!$A$2:$A$1000,T$1000)</f>
        <v>0</v>
      </c>
      <c r="U5" s="9">
        <f>SUMIFS(السجل!$I$2:$I$1000,السجل!$E$2:$E$1000,$A5,السجل!$A$2:$A$1000,U$1000)</f>
        <v>0</v>
      </c>
      <c r="V5" s="9">
        <f>SUMIFS(السجل!$I$2:$I$1000,السجل!$E$2:$E$1000,$A5,السجل!$A$2:$A$1000,V$1000)</f>
        <v>150</v>
      </c>
      <c r="W5" s="9">
        <f>SUMIFS(السجل!$I$2:$I$1000,السجل!$E$2:$E$1000,$A5,السجل!$A$2:$A$1000,W$1000)</f>
        <v>0</v>
      </c>
      <c r="X5" s="9">
        <f>SUMIFS(السجل!$I$2:$I$1000,السجل!$E$2:$E$1000,$A5,السجل!$A$2:$A$1000,X$1000)</f>
        <v>0</v>
      </c>
      <c r="Y5" s="9">
        <f>SUMIFS(السجل!$I$2:$I$1000,السجل!$E$2:$E$1000,$A5,السجل!$A$2:$A$1000,Y$1000)</f>
        <v>0</v>
      </c>
      <c r="Z5" s="9">
        <f>SUMIFS(السجل!$I$2:$I$1000,السجل!$E$2:$E$1000,$A5,السجل!$A$2:$A$1000,Z$1000)</f>
        <v>0</v>
      </c>
      <c r="AA5" s="9">
        <f>SUMIFS(السجل!$I$2:$I$1000,السجل!$E$2:$E$1000,$A5,السجل!$A$2:$A$1000,AA$1000)</f>
        <v>0</v>
      </c>
      <c r="AB5" s="9">
        <f>SUMIFS(السجل!$I$2:$I$1000,السجل!$E$2:$E$1000,$A5,السجل!$A$2:$A$1000,AB$1000)</f>
        <v>0</v>
      </c>
      <c r="AC5" s="6">
        <f>SUM(B5:AB5)</f>
        <v>3600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9">
        <f>SUMIFS(السجل!$I$2:$I$1000,السجل!$E$2:$E$1000,$A6,السجل!$A$2:$A$1000,O$1000)</f>
        <v>0</v>
      </c>
      <c r="P6" s="9">
        <f>SUMIFS(السجل!$I$2:$I$1000,السجل!$E$2:$E$1000,$A6,السجل!$A$2:$A$1000,P$1000)</f>
        <v>0</v>
      </c>
      <c r="Q6" s="9">
        <f>SUMIFS(السجل!$I$2:$I$1000,السجل!$E$2:$E$1000,$A6,السجل!$A$2:$A$1000,Q$1000)</f>
        <v>0</v>
      </c>
      <c r="R6" s="9">
        <f>SUMIFS(السجل!$I$2:$I$1000,السجل!$E$2:$E$1000,$A6,السجل!$A$2:$A$1000,R$1000)</f>
        <v>0</v>
      </c>
      <c r="S6" s="9">
        <f>SUMIFS(السجل!$I$2:$I$1000,السجل!$E$2:$E$1000,$A6,السجل!$A$2:$A$1000,S$1000)</f>
        <v>400</v>
      </c>
      <c r="T6" s="9">
        <f>SUMIFS(السجل!$I$2:$I$1000,السجل!$E$2:$E$1000,$A6,السجل!$A$2:$A$1000,T$1000)</f>
        <v>300</v>
      </c>
      <c r="U6" s="9">
        <f>SUMIFS(السجل!$I$2:$I$1000,السجل!$E$2:$E$1000,$A6,السجل!$A$2:$A$1000,U$1000)</f>
        <v>400</v>
      </c>
      <c r="V6" s="9">
        <f>SUMIFS(السجل!$I$2:$I$1000,السجل!$E$2:$E$1000,$A6,السجل!$A$2:$A$1000,V$1000)</f>
        <v>150</v>
      </c>
      <c r="W6" s="9">
        <f>SUMIFS(السجل!$I$2:$I$1000,السجل!$E$2:$E$1000,$A6,السجل!$A$2:$A$1000,W$1000)</f>
        <v>200</v>
      </c>
      <c r="X6" s="9">
        <f>SUMIFS(السجل!$I$2:$I$1000,السجل!$E$2:$E$1000,$A6,السجل!$A$2:$A$1000,X$1000)</f>
        <v>150</v>
      </c>
      <c r="Y6" s="9">
        <f>SUMIFS(السجل!$I$2:$I$1000,السجل!$E$2:$E$1000,$A6,السجل!$A$2:$A$1000,Y$1000)</f>
        <v>400</v>
      </c>
      <c r="Z6" s="9">
        <f>SUMIFS(السجل!$I$2:$I$1000,السجل!$E$2:$E$1000,$A6,السجل!$A$2:$A$1000,Z$1000)</f>
        <v>0</v>
      </c>
      <c r="AA6" s="9">
        <f>SUMIFS(السجل!$I$2:$I$1000,السجل!$E$2:$E$1000,$A6,السجل!$A$2:$A$1000,AA$1000)</f>
        <v>400</v>
      </c>
      <c r="AB6" s="9">
        <f>SUMIFS(السجل!$I$2:$I$1000,السجل!$E$2:$E$1000,$A6,السجل!$A$2:$A$1000,AB$1000)</f>
        <v>300</v>
      </c>
      <c r="AC6" s="6">
        <f>SUM(B6:AB6)</f>
        <v>4950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9">
        <f>SUMIFS(السجل!$I$2:$I$1000,السجل!$E$2:$E$1000,$A7,السجل!$A$2:$A$1000,O$1000)</f>
        <v>300</v>
      </c>
      <c r="P7" s="9">
        <f>SUMIFS(السجل!$I$2:$I$1000,السجل!$E$2:$E$1000,$A7,السجل!$A$2:$A$1000,P$1000)</f>
        <v>300</v>
      </c>
      <c r="Q7" s="9">
        <f>SUMIFS(السجل!$I$2:$I$1000,السجل!$E$2:$E$1000,$A7,السجل!$A$2:$A$1000,Q$1000)</f>
        <v>300</v>
      </c>
      <c r="R7" s="9">
        <f>SUMIFS(السجل!$I$2:$I$1000,السجل!$E$2:$E$1000,$A7,السجل!$A$2:$A$1000,R$1000)</f>
        <v>300</v>
      </c>
      <c r="S7" s="9">
        <f>SUMIFS(السجل!$I$2:$I$1000,السجل!$E$2:$E$1000,$A7,السجل!$A$2:$A$1000,S$1000)</f>
        <v>300</v>
      </c>
      <c r="T7" s="9">
        <f>SUMIFS(السجل!$I$2:$I$1000,السجل!$E$2:$E$1000,$A7,السجل!$A$2:$A$1000,T$1000)</f>
        <v>0</v>
      </c>
      <c r="U7" s="9">
        <f>SUMIFS(السجل!$I$2:$I$1000,السجل!$E$2:$E$1000,$A7,السجل!$A$2:$A$1000,U$1000)</f>
        <v>0</v>
      </c>
      <c r="V7" s="9">
        <f>SUMIFS(السجل!$I$2:$I$1000,السجل!$E$2:$E$1000,$A7,السجل!$A$2:$A$1000,V$1000)</f>
        <v>0</v>
      </c>
      <c r="W7" s="9">
        <f>SUMIFS(السجل!$I$2:$I$1000,السجل!$E$2:$E$1000,$A7,السجل!$A$2:$A$1000,W$1000)</f>
        <v>0</v>
      </c>
      <c r="X7" s="9">
        <f>SUMIFS(السجل!$I$2:$I$1000,السجل!$E$2:$E$1000,$A7,السجل!$A$2:$A$1000,X$1000)</f>
        <v>0</v>
      </c>
      <c r="Y7" s="9">
        <f>SUMIFS(السجل!$I$2:$I$1000,السجل!$E$2:$E$1000,$A7,السجل!$A$2:$A$1000,Y$1000)</f>
        <v>0</v>
      </c>
      <c r="Z7" s="9">
        <f>SUMIFS(السجل!$I$2:$I$1000,السجل!$E$2:$E$1000,$A7,السجل!$A$2:$A$1000,Z$1000)</f>
        <v>0</v>
      </c>
      <c r="AA7" s="9">
        <f>SUMIFS(السجل!$I$2:$I$1000,السجل!$E$2:$E$1000,$A7,السجل!$A$2:$A$1000,AA$1000)</f>
        <v>0</v>
      </c>
      <c r="AB7" s="9">
        <f>SUMIFS(السجل!$I$2:$I$1000,السجل!$E$2:$E$1000,$A7,السجل!$A$2:$A$1000,AB$1000)</f>
        <v>0</v>
      </c>
      <c r="AC7" s="6">
        <f>SUM(B7:AB7)</f>
        <v>2700</v>
      </c>
    </row>
    <row r="8">
      <c r="A8" s="10" t="str">
        <f>الملخص!A10</f>
        <v>د. محمد فؤاد</v>
      </c>
      <c r="B8" s="9">
        <f>SUMIFS(السجل!$I$2:$I$1000,السجل!$E$2:$E$1000,$A8,السجل!$A$2:$A$1000,B$1000)</f>
        <v>0</v>
      </c>
      <c r="C8" s="9">
        <f>SUMIFS(السجل!$I$2:$I$1000,السجل!$E$2:$E$1000,$A8,السجل!$A$2:$A$1000,C$1000)</f>
        <v>0</v>
      </c>
      <c r="D8" s="9">
        <f>SUMIFS(السجل!$I$2:$I$1000,السجل!$E$2:$E$1000,$A8,السجل!$A$2:$A$1000,D$1000)</f>
        <v>0</v>
      </c>
      <c r="E8" s="9">
        <f>SUMIFS(السجل!$I$2:$I$1000,السجل!$E$2:$E$1000,$A8,السجل!$A$2:$A$1000,E$1000)</f>
        <v>0</v>
      </c>
      <c r="F8" s="9">
        <f>SUMIFS(السجل!$I$2:$I$1000,السجل!$E$2:$E$1000,$A8,السجل!$A$2:$A$1000,F$1000)</f>
        <v>0</v>
      </c>
      <c r="G8" s="9">
        <f>SUMIFS(السجل!$I$2:$I$1000,السجل!$E$2:$E$1000,$A8,السجل!$A$2:$A$1000,G$1000)</f>
        <v>0</v>
      </c>
      <c r="H8" s="9">
        <f>SUMIFS(السجل!$I$2:$I$1000,السجل!$E$2:$E$1000,$A8,السجل!$A$2:$A$1000,H$1000)</f>
        <v>0</v>
      </c>
      <c r="I8" s="9">
        <f>SUMIFS(السجل!$I$2:$I$1000,السجل!$E$2:$E$1000,$A8,السجل!$A$2:$A$1000,I$1000)</f>
        <v>0</v>
      </c>
      <c r="J8" s="9">
        <f>SUMIFS(السجل!$I$2:$I$1000,السجل!$E$2:$E$1000,$A8,السجل!$A$2:$A$1000,J$1000)</f>
        <v>0</v>
      </c>
      <c r="K8" s="9">
        <f>SUMIFS(السجل!$I$2:$I$1000,السجل!$E$2:$E$1000,$A8,السجل!$A$2:$A$1000,K$1000)</f>
        <v>0</v>
      </c>
      <c r="L8" s="9">
        <f>SUMIFS(السجل!$I$2:$I$1000,السجل!$E$2:$E$1000,$A8,السجل!$A$2:$A$1000,L$1000)</f>
        <v>0</v>
      </c>
      <c r="M8" s="9">
        <f>SUMIFS(السجل!$I$2:$I$1000,السجل!$E$2:$E$1000,$A8,السجل!$A$2:$A$1000,M$1000)</f>
        <v>0</v>
      </c>
      <c r="N8" s="9">
        <f>SUMIFS(السجل!$I$2:$I$1000,السجل!$E$2:$E$1000,$A8,السجل!$A$2:$A$1000,N$1000)</f>
        <v>0</v>
      </c>
      <c r="O8" s="9">
        <f>SUMIFS(السجل!$I$2:$I$1000,السجل!$E$2:$E$1000,$A8,السجل!$A$2:$A$1000,O$1000)</f>
        <v>0</v>
      </c>
      <c r="P8" s="9">
        <f>SUMIFS(السجل!$I$2:$I$1000,السجل!$E$2:$E$1000,$A8,السجل!$A$2:$A$1000,P$1000)</f>
        <v>0</v>
      </c>
      <c r="Q8" s="9">
        <f>SUMIFS(السجل!$I$2:$I$1000,السجل!$E$2:$E$1000,$A8,السجل!$A$2:$A$1000,Q$1000)</f>
        <v>0</v>
      </c>
      <c r="R8" s="9">
        <f>SUMIFS(السجل!$I$2:$I$1000,السجل!$E$2:$E$1000,$A8,السجل!$A$2:$A$1000,R$1000)</f>
        <v>0</v>
      </c>
      <c r="S8" s="9">
        <f>SUMIFS(السجل!$I$2:$I$1000,السجل!$E$2:$E$1000,$A8,السجل!$A$2:$A$1000,S$1000)</f>
        <v>0</v>
      </c>
      <c r="T8" s="9">
        <f>SUMIFS(السجل!$I$2:$I$1000,السجل!$E$2:$E$1000,$A8,السجل!$A$2:$A$1000,T$1000)</f>
        <v>0</v>
      </c>
      <c r="U8" s="9">
        <f>SUMIFS(السجل!$I$2:$I$1000,السجل!$E$2:$E$1000,$A8,السجل!$A$2:$A$1000,U$1000)</f>
        <v>0</v>
      </c>
      <c r="V8" s="9">
        <f>SUMIFS(السجل!$I$2:$I$1000,السجل!$E$2:$E$1000,$A8,السجل!$A$2:$A$1000,V$1000)</f>
        <v>150</v>
      </c>
      <c r="W8" s="9">
        <f>SUMIFS(السجل!$I$2:$I$1000,السجل!$E$2:$E$1000,$A8,السجل!$A$2:$A$1000,W$1000)</f>
        <v>0</v>
      </c>
      <c r="X8" s="9">
        <f>SUMIFS(السجل!$I$2:$I$1000,السجل!$E$2:$E$1000,$A8,السجل!$A$2:$A$1000,X$1000)</f>
        <v>0</v>
      </c>
      <c r="Y8" s="9">
        <f>SUMIFS(السجل!$I$2:$I$1000,السجل!$E$2:$E$1000,$A8,السجل!$A$2:$A$1000,Y$1000)</f>
        <v>0</v>
      </c>
      <c r="Z8" s="9">
        <f>SUMIFS(السجل!$I$2:$I$1000,السجل!$E$2:$E$1000,$A8,السجل!$A$2:$A$1000,Z$1000)</f>
        <v>0</v>
      </c>
      <c r="AA8" s="9">
        <f>SUMIFS(السجل!$I$2:$I$1000,السجل!$E$2:$E$1000,$A8,السجل!$A$2:$A$1000,AA$1000)</f>
        <v>0</v>
      </c>
      <c r="AB8" s="9">
        <f>SUMIFS(السجل!$I$2:$I$1000,السجل!$E$2:$E$1000,$A8,السجل!$A$2:$A$1000,AB$1000)</f>
        <v>0</v>
      </c>
      <c r="AC8" s="6">
        <f>SUM(B8:AB8)</f>
        <v>150</v>
      </c>
    </row>
    <row r="9">
      <c r="A9" s="7" t="inlineStr">
        <is>
          <t>الإجمالي</t>
        </is>
      </c>
      <c r="B9" s="8">
        <f>SUM(B2:B8)</f>
        <v>1150</v>
      </c>
      <c r="C9" s="8">
        <f>SUM(C2:C8)</f>
        <v>1000</v>
      </c>
      <c r="D9" s="8">
        <f>SUM(D2:D8)</f>
        <v>1150</v>
      </c>
      <c r="E9" s="8">
        <f>SUM(E2:E8)</f>
        <v>1150</v>
      </c>
      <c r="F9" s="8">
        <f>SUM(F2:F8)</f>
        <v>1600</v>
      </c>
      <c r="G9" s="8">
        <f>SUM(G2:G8)</f>
        <v>1450</v>
      </c>
      <c r="H9" s="8">
        <f>SUM(H2:H8)</f>
        <v>800</v>
      </c>
      <c r="I9" s="8">
        <f>SUM(I2:I8)</f>
        <v>800</v>
      </c>
      <c r="J9" s="8">
        <f>SUM(J2:J8)</f>
        <v>800</v>
      </c>
      <c r="K9" s="8">
        <f>SUM(K2:K8)</f>
        <v>1300</v>
      </c>
      <c r="L9" s="8">
        <f>SUM(L2:L8)</f>
        <v>1300</v>
      </c>
      <c r="M9" s="8">
        <f>SUM(M2:M8)</f>
        <v>1300</v>
      </c>
      <c r="N9" s="8">
        <f>SUM(N2:N8)</f>
        <v>1300</v>
      </c>
      <c r="O9" s="8">
        <f>SUM(O2:O8)</f>
        <v>1300</v>
      </c>
      <c r="P9" s="8">
        <f>SUM(P2:P8)</f>
        <v>1300</v>
      </c>
      <c r="Q9" s="8">
        <f>SUM(Q2:Q8)</f>
        <v>1300</v>
      </c>
      <c r="R9" s="8">
        <f>SUM(R2:R8)</f>
        <v>1300</v>
      </c>
      <c r="S9" s="8">
        <f>SUM(S2:S8)</f>
        <v>1300</v>
      </c>
      <c r="T9" s="8">
        <f>SUM(T2:T8)</f>
        <v>1000</v>
      </c>
      <c r="U9" s="8">
        <f>SUM(U2:U8)</f>
        <v>1000</v>
      </c>
      <c r="V9" s="8">
        <f>SUM(V2:V8)</f>
        <v>650</v>
      </c>
      <c r="W9" s="8">
        <f>SUM(W2:W8)</f>
        <v>500</v>
      </c>
      <c r="X9" s="8">
        <f>SUM(X2:X8)</f>
        <v>500</v>
      </c>
      <c r="Y9" s="8">
        <f>SUM(Y2:Y8)</f>
        <v>1000</v>
      </c>
      <c r="Z9" s="8">
        <f>SUM(Z2:Z8)</f>
        <v>700</v>
      </c>
      <c r="AA9" s="8">
        <f>SUM(AA2:AA8)</f>
        <v>1000</v>
      </c>
      <c r="AB9" s="8">
        <f>SUM(AB2:AB8)</f>
        <v>850</v>
      </c>
      <c r="AC9" s="8">
        <f>SUM(AC2:AC8)</f>
        <v>28800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  <c r="M1000" t="inlineStr">
        <is>
          <t>2026-10-06</t>
        </is>
      </c>
      <c r="N1000" t="inlineStr">
        <is>
          <t>2026-10-07</t>
        </is>
      </c>
      <c r="O1000" t="inlineStr">
        <is>
          <t>2026-10-08</t>
        </is>
      </c>
      <c r="P1000" t="inlineStr">
        <is>
          <t>2026-10-09</t>
        </is>
      </c>
      <c r="Q1000" t="inlineStr">
        <is>
          <t>2026-10-10</t>
        </is>
      </c>
      <c r="R1000" t="inlineStr">
        <is>
          <t>2026-10-11</t>
        </is>
      </c>
      <c r="S1000" t="inlineStr">
        <is>
          <t>2026-10-13</t>
        </is>
      </c>
      <c r="T1000" t="inlineStr">
        <is>
          <t>2026-10-14</t>
        </is>
      </c>
      <c r="U1000" t="inlineStr">
        <is>
          <t>2026-10-15</t>
        </is>
      </c>
      <c r="V1000" t="inlineStr">
        <is>
          <t>2026-10-16</t>
        </is>
      </c>
      <c r="W1000" t="inlineStr">
        <is>
          <t>2026-10-17</t>
        </is>
      </c>
      <c r="X1000" t="inlineStr">
        <is>
          <t>2026-10-18</t>
        </is>
      </c>
      <c r="Y1000" t="inlineStr">
        <is>
          <t>2026-10-19</t>
        </is>
      </c>
      <c r="Z1000" t="inlineStr">
        <is>
          <t>2026-10-20</t>
        </is>
      </c>
      <c r="AA1000" t="inlineStr">
        <is>
          <t>2026-10-21</t>
        </is>
      </c>
      <c r="AB1000" t="inlineStr">
        <is>
          <t>2026-10-22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الجرد'!$A$2:$A$29,MATCH(A71,'جدول الجرد'!$B$2:$B$29,0)),""))</f>
        <v>الاثنين</v>
      </c>
      <c r="C71" s="5" t="str">
        <f>IF(A71="","",IFERROR(INDEX('جدول الجرد'!$E$2:$E$29,MATCH(A71,'جدول الجرد'!$B$2:$B$29,0)),""))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الجرد'!$A$2:$A$29,MATCH(A72,'جدول الجرد'!$B$2:$B$29,0)),""))</f>
        <v>الاثنين</v>
      </c>
      <c r="C72" s="5" t="str">
        <f>IF(A72="","",IFERROR(INDEX('جدول الجرد'!$E$2:$E$29,MATCH(A72,'جدول الجرد'!$B$2:$B$29,0)),""))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الجرد'!$A$2:$A$29,MATCH(A73,'جدول الجرد'!$B$2:$B$29,0)),""))</f>
        <v>الاثنين</v>
      </c>
      <c r="C73" s="5" t="str">
        <f>IF(A73="","",IFERROR(INDEX('جدول الجرد'!$E$2:$E$29,MATCH(A73,'جدول الجرد'!$B$2:$B$29,0)),""))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الجرد'!$A$2:$A$29,MATCH(A74,'جدول الجرد'!$B$2:$B$29,0)),""))</f>
        <v>الاثنين</v>
      </c>
      <c r="C74" s="5" t="str">
        <f>IF(A74="","",IFERROR(INDEX('جدول الجرد'!$E$2:$E$29,MATCH(A74,'جدول الجرد'!$B$2:$B$29,0)),""))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الجرد'!$A$2:$A$29,MATCH(A75,'جدول الجرد'!$B$2:$B$29,0)),""))</f>
        <v>الاثنين</v>
      </c>
      <c r="C75" s="5" t="str">
        <f>IF(A75="","",IFERROR(INDEX('جدول الجرد'!$E$2:$E$29,MATCH(A75,'جدول الجرد'!$B$2:$B$29,0)),""))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الجرد'!$A$2:$A$29,MATCH(A76,'جدول الجرد'!$B$2:$B$29,0)),""))</f>
        <v>الاثنين</v>
      </c>
      <c r="C76" s="5" t="str">
        <f>IF(A76="","",IFERROR(INDEX('جدول الجرد'!$E$2:$E$29,MATCH(A76,'جدول الجرد'!$B$2:$B$29,0)),""))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الجرد'!$A$2:$A$29,MATCH(A77,'جدول الجرد'!$B$2:$B$29,0)),""))</f>
        <v>الاثنين</v>
      </c>
      <c r="C77" s="5" t="str">
        <f>IF(A77="","",IFERROR(INDEX('جدول الجرد'!$E$2:$E$29,MATCH(A77,'جدول الجرد'!$B$2:$B$29,0)),""))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الجرد'!$A$2:$A$29,MATCH(A78,'جدول الجرد'!$B$2:$B$29,0)),""))</f>
        <v>الاثنين</v>
      </c>
      <c r="C78" s="5" t="str">
        <f>IF(A78="","",IFERROR(INDEX('جدول الجرد'!$E$2:$E$29,MATCH(A78,'جدول الجرد'!$B$2:$B$29,0)),""))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الجرد'!$A$2:$A$29,MATCH(A79,'جدول الجرد'!$B$2:$B$29,0)),""))</f>
        <v>الثلاثاء</v>
      </c>
      <c r="C79" s="5" t="str">
        <f>IF(A79="","",IFERROR(INDEX('جدول الجرد'!$E$2:$E$29,MATCH(A79,'جدول الجرد'!$B$2:$B$29,0)),""))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الجرد'!$A$2:$A$29,MATCH(A80,'جدول الجرد'!$B$2:$B$29,0)),""))</f>
        <v>الثلاثاء</v>
      </c>
      <c r="C80" s="5" t="str">
        <f>IF(A80="","",IFERROR(INDEX('جدول الجرد'!$E$2:$E$29,MATCH(A80,'جدول الجرد'!$B$2:$B$29,0)),""))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الجرد'!$A$2:$A$29,MATCH(A81,'جدول الجرد'!$B$2:$B$29,0)),""))</f>
        <v>الثلاثاء</v>
      </c>
      <c r="C81" s="5" t="str">
        <f>IF(A81="","",IFERROR(INDEX('جدول الجرد'!$E$2:$E$29,MATCH(A81,'جدول الجرد'!$B$2:$B$29,0)),""))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الجرد'!$A$2:$A$29,MATCH(A82,'جدول الجرد'!$B$2:$B$29,0)),""))</f>
        <v>الثلاثاء</v>
      </c>
      <c r="C82" s="5" t="str">
        <f>IF(A82="","",IFERROR(INDEX('جدول الجرد'!$E$2:$E$29,MATCH(A82,'جدول الجرد'!$B$2:$B$29,0)),""))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الجرد'!$A$2:$A$29,MATCH(A83,'جدول الجرد'!$B$2:$B$29,0)),""))</f>
        <v>الثلاثاء</v>
      </c>
      <c r="C83" s="5" t="str">
        <f>IF(A83="","",IFERROR(INDEX('جدول الجرد'!$E$2:$E$29,MATCH(A83,'جدول الجرد'!$B$2:$B$29,0)),""))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الجرد'!$A$2:$A$29,MATCH(A84,'جدول الجرد'!$B$2:$B$29,0)),""))</f>
        <v>الثلاثاء</v>
      </c>
      <c r="C84" s="5" t="str">
        <f>IF(A84="","",IFERROR(INDEX('جدول الجرد'!$E$2:$E$29,MATCH(A84,'جدول الجرد'!$B$2:$B$29,0)),""))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الجرد'!$A$2:$A$29,MATCH(A85,'جدول الجرد'!$B$2:$B$29,0)),""))</f>
        <v>الثلاثاء</v>
      </c>
      <c r="C85" s="5" t="str">
        <f>IF(A85="","",IFERROR(INDEX('جدول الجرد'!$E$2:$E$29,MATCH(A85,'جدول الجرد'!$B$2:$B$29,0)),""))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الجرد'!$A$2:$A$29,MATCH(A86,'جدول الجرد'!$B$2:$B$29,0)),""))</f>
        <v>الثلاثاء</v>
      </c>
      <c r="C86" s="5" t="str">
        <f>IF(A86="","",IFERROR(INDEX('جدول الجرد'!$E$2:$E$29,MATCH(A86,'جدول الجرد'!$B$2:$B$29,0)),""))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الجرد'!$A$2:$A$29,MATCH(A87,'جدول الجرد'!$B$2:$B$29,0)),""))</f>
        <v>الأربعاء</v>
      </c>
      <c r="C87" s="5" t="str">
        <f>IF(A87="","",IFERROR(INDEX('جدول الجرد'!$E$2:$E$29,MATCH(A87,'جدول الجرد'!$B$2:$B$29,0)),""))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الجرد'!$A$2:$A$29,MATCH(A88,'جدول الجرد'!$B$2:$B$29,0)),""))</f>
        <v>الأربعاء</v>
      </c>
      <c r="C88" s="5" t="str">
        <f>IF(A88="","",IFERROR(INDEX('جدول الجرد'!$E$2:$E$29,MATCH(A88,'جدول الجرد'!$B$2:$B$29,0)),""))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الجرد'!$A$2:$A$29,MATCH(A89,'جدول الجرد'!$B$2:$B$29,0)),""))</f>
        <v>الأربعاء</v>
      </c>
      <c r="C89" s="5" t="str">
        <f>IF(A89="","",IFERROR(INDEX('جدول الجرد'!$E$2:$E$29,MATCH(A89,'جدول الجرد'!$B$2:$B$29,0)),""))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الجرد'!$A$2:$A$29,MATCH(A90,'جدول الجرد'!$B$2:$B$29,0)),""))</f>
        <v>الأربعاء</v>
      </c>
      <c r="C90" s="5" t="str">
        <f>IF(A90="","",IFERROR(INDEX('جدول الجرد'!$E$2:$E$29,MATCH(A90,'جدول الجرد'!$B$2:$B$29,0)),""))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الجرد'!$A$2:$A$29,MATCH(A91,'جدول الجرد'!$B$2:$B$29,0)),""))</f>
        <v>الأربعاء</v>
      </c>
      <c r="C91" s="5" t="str">
        <f>IF(A91="","",IFERROR(INDEX('جدول الجرد'!$E$2:$E$29,MATCH(A91,'جدول الجرد'!$B$2:$B$29,0)),""))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الجرد'!$A$2:$A$29,MATCH(A92,'جدول الجرد'!$B$2:$B$29,0)),""))</f>
        <v>الأربعاء</v>
      </c>
      <c r="C92" s="5" t="str">
        <f>IF(A92="","",IFERROR(INDEX('جدول الجرد'!$E$2:$E$29,MATCH(A92,'جدول الجرد'!$B$2:$B$29,0)),""))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الجرد'!$A$2:$A$29,MATCH(A93,'جدول الجرد'!$B$2:$B$29,0)),""))</f>
        <v>الأربعاء</v>
      </c>
      <c r="C93" s="5" t="str">
        <f>IF(A93="","",IFERROR(INDEX('جدول الجرد'!$E$2:$E$29,MATCH(A93,'جدول الجرد'!$B$2:$B$29,0)),""))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الجرد'!$A$2:$A$29,MATCH(A94,'جدول الجرد'!$B$2:$B$29,0)),""))</f>
        <v>الأربعاء</v>
      </c>
      <c r="C94" s="5" t="str">
        <f>IF(A94="","",IFERROR(INDEX('جدول الجرد'!$E$2:$E$29,MATCH(A94,'جدول الجرد'!$B$2:$B$29,0)),""))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inlineStr">
        <is>
          <t>2026-10-08</t>
        </is>
      </c>
      <c r="B95" s="5" t="str">
        <f>IF(A95="","",IFERROR(INDEX('جدول الجرد'!$A$2:$A$29,MATCH(A95,'جدول الجرد'!$B$2:$B$29,0)),""))</f>
        <v>الخميس</v>
      </c>
      <c r="C95" s="5" t="str">
        <f>IF(A95="","",IFERROR(INDEX('جدول الجرد'!$E$2:$E$29,MATCH(A95,'جدول الجرد'!$B$2:$B$29,0)),""))</f>
        <v>الدواسر</v>
      </c>
      <c r="D95" s="4" t="n">
        <v>47</v>
      </c>
      <c r="E95" s="4" t="inlineStr">
        <is>
          <t>د. حسام شلش</t>
        </is>
      </c>
      <c r="F95" s="4" t="inlineStr">
        <is>
          <t>نعم</t>
        </is>
      </c>
      <c r="G95" s="4" t="inlineStr">
        <is>
          <t>نعم</t>
        </is>
      </c>
      <c r="H95" s="5" t="str">
        <f>IF(E95="","",IF(AND(F95="نعم",G95="نعم"),"جرد + مراجعة",IF(F95="نعم","جرد فقط",IF(G95="نعم","مراجعة فقط",""))))</f>
        <v>جرد + مراجعة</v>
      </c>
      <c r="I95" s="9">
        <f>IF(H95="جرد + مراجعة",الإعدادات!$B$2,IF(H95="مراجعة فقط",الإعدادات!$B$3,IF(H95="جرد فقط",الإعدادات!$B$4,0)))</f>
        <v>200</v>
      </c>
    </row>
    <row r="96">
      <c r="A96" s="4" t="inlineStr">
        <is>
          <t>2026-10-08</t>
        </is>
      </c>
      <c r="B96" s="5" t="str">
        <f>IF(A96="","",IFERROR(INDEX('جدول الجرد'!$A$2:$A$29,MATCH(A96,'جدول الجرد'!$B$2:$B$29,0)),""))</f>
        <v>الخميس</v>
      </c>
      <c r="C96" s="5" t="str">
        <f>IF(A96="","",IFERROR(INDEX('جدول الجرد'!$E$2:$E$29,MATCH(A96,'جدول الجرد'!$B$2:$B$29,0)),""))</f>
        <v>الدواسر</v>
      </c>
      <c r="D96" s="4" t="n">
        <v>47</v>
      </c>
      <c r="E96" s="4" t="inlineStr">
        <is>
          <t>د. السيد حسن</t>
        </is>
      </c>
      <c r="F96" s="4" t="inlineStr"/>
      <c r="G96" s="4" t="inlineStr">
        <is>
          <t>نعم</t>
        </is>
      </c>
      <c r="H96" s="5" t="str">
        <f>IF(E96="","",IF(AND(F96="نعم",G96="نعم"),"جرد + مراجعة",IF(F96="نعم","جرد فقط",IF(G96="نعم","مراجعة فقط",""))))</f>
        <v>مراجعة فقط</v>
      </c>
      <c r="I96" s="9">
        <f>IF(H96="جرد + مراجعة",الإعدادات!$B$2,IF(H96="مراجعة فقط",الإعدادات!$B$3,IF(H96="جرد فقط",الإعدادات!$B$4,0)))</f>
        <v>150</v>
      </c>
    </row>
    <row r="97">
      <c r="A97" s="4" t="inlineStr">
        <is>
          <t>2026-10-08</t>
        </is>
      </c>
      <c r="B97" s="5" t="str">
        <f>IF(A97="","",IFERROR(INDEX('جدول الجرد'!$A$2:$A$29,MATCH(A97,'جدول الجرد'!$B$2:$B$29,0)),""))</f>
        <v>الخميس</v>
      </c>
      <c r="C97" s="5" t="str">
        <f>IF(A97="","",IFERROR(INDEX('جدول الجرد'!$E$2:$E$29,MATCH(A97,'جدول الجرد'!$B$2:$B$29,0)),""))</f>
        <v>الدواسر</v>
      </c>
      <c r="D97" s="4" t="n">
        <v>47</v>
      </c>
      <c r="E97" s="4" t="inlineStr">
        <is>
          <t>د. الحسن الغنيمي</t>
        </is>
      </c>
      <c r="F97" s="4" t="inlineStr"/>
      <c r="G97" s="4" t="inlineStr">
        <is>
          <t>نعم</t>
        </is>
      </c>
      <c r="H97" s="5" t="str">
        <f>IF(E97="","",IF(AND(F97="نعم",G97="نعم"),"جرد + مراجعة",IF(F97="نعم","جرد فقط",IF(G97="نعم","مراجعة فقط",""))))</f>
        <v>مراجعة فقط</v>
      </c>
      <c r="I97" s="9">
        <f>IF(H97="جرد + مراجعة",الإعدادات!$B$2,IF(H97="مراجعة فقط",الإعدادات!$B$3,IF(H97="جرد فقط",الإعدادات!$B$4,0)))</f>
        <v>150</v>
      </c>
    </row>
    <row r="98">
      <c r="A98" s="4" t="inlineStr">
        <is>
          <t>2026-10-08</t>
        </is>
      </c>
      <c r="B98" s="5" t="str">
        <f>IF(A98="","",IFERROR(INDEX('جدول الجرد'!$A$2:$A$29,MATCH(A98,'جدول الجرد'!$B$2:$B$29,0)),""))</f>
        <v>الخميس</v>
      </c>
      <c r="C98" s="5" t="str">
        <f>IF(A98="","",IFERROR(INDEX('جدول الجرد'!$E$2:$E$29,MATCH(A98,'جدول الجرد'!$B$2:$B$29,0)),""))</f>
        <v>الدواسر</v>
      </c>
      <c r="D98" s="4" t="n">
        <v>47</v>
      </c>
      <c r="E98" s="4" t="inlineStr">
        <is>
          <t>د. محمد جمال</t>
        </is>
      </c>
      <c r="F98" s="4" t="inlineStr"/>
      <c r="G98" s="4" t="inlineStr">
        <is>
          <t>نعم</t>
        </is>
      </c>
      <c r="H98" s="5" t="str">
        <f>IF(E98="","",IF(AND(F98="نعم",G98="نعم"),"جرد + مراجعة",IF(F98="نعم","جرد فقط",IF(G98="نعم","مراجعة فقط",""))))</f>
        <v>مراجعة فقط</v>
      </c>
      <c r="I98" s="9">
        <f>IF(H98="جرد + مراجعة",الإعدادات!$B$2,IF(H98="مراجعة فقط",الإعدادات!$B$3,IF(H98="جرد فقط",الإعدادات!$B$4,0)))</f>
        <v>150</v>
      </c>
    </row>
    <row r="99">
      <c r="A99" s="4" t="inlineStr">
        <is>
          <t>2026-10-08</t>
        </is>
      </c>
      <c r="B99" s="5" t="str">
        <f>IF(A99="","",IFERROR(INDEX('جدول الجرد'!$A$2:$A$29,MATCH(A99,'جدول الجرد'!$B$2:$B$29,0)),""))</f>
        <v>الخميس</v>
      </c>
      <c r="C99" s="5" t="str">
        <f>IF(A99="","",IFERROR(INDEX('جدول الجرد'!$E$2:$E$29,MATCH(A99,'جدول الجرد'!$B$2:$B$29,0)),""))</f>
        <v>الدواسر</v>
      </c>
      <c r="D99" s="4" t="n">
        <v>37</v>
      </c>
      <c r="E99" s="4" t="inlineStr">
        <is>
          <t>د. حسام شلش</t>
        </is>
      </c>
      <c r="F99" s="4" t="inlineStr">
        <is>
          <t>نعم</t>
        </is>
      </c>
      <c r="G99" s="4" t="inlineStr">
        <is>
          <t>نعم</t>
        </is>
      </c>
      <c r="H99" s="5" t="str">
        <f>IF(E99="","",IF(AND(F99="نعم",G99="نعم"),"جرد + مراجعة",IF(F99="نعم","جرد فقط",IF(G99="نعم","مراجعة فقط",""))))</f>
        <v>جرد + مراجعة</v>
      </c>
      <c r="I99" s="9">
        <f>IF(H99="جرد + مراجعة",الإعدادات!$B$2,IF(H99="مراجعة فقط",الإعدادات!$B$3,IF(H99="جرد فقط",الإعدادات!$B$4,0)))</f>
        <v>200</v>
      </c>
    </row>
    <row r="100">
      <c r="A100" s="4" t="inlineStr">
        <is>
          <t>2026-10-08</t>
        </is>
      </c>
      <c r="B100" s="5" t="str">
        <f>IF(A100="","",IFERROR(INDEX('جدول الجرد'!$A$2:$A$29,MATCH(A100,'جدول الجرد'!$B$2:$B$29,0)),""))</f>
        <v>الخميس</v>
      </c>
      <c r="C100" s="5" t="str">
        <f>IF(A100="","",IFERROR(INDEX('جدول الجرد'!$E$2:$E$29,MATCH(A100,'جدول الجرد'!$B$2:$B$29,0)),""))</f>
        <v>الدواسر</v>
      </c>
      <c r="D100" s="4" t="n">
        <v>37</v>
      </c>
      <c r="E100" s="4" t="inlineStr">
        <is>
          <t>د. السيد حسن</t>
        </is>
      </c>
      <c r="F100" s="4" t="inlineStr"/>
      <c r="G100" s="4" t="inlineStr">
        <is>
          <t>نعم</t>
        </is>
      </c>
      <c r="H100" s="5" t="str">
        <f>IF(E100="","",IF(AND(F100="نعم",G100="نعم"),"جرد + مراجعة",IF(F100="نعم","جرد فقط",IF(G100="نعم","مراجعة فقط",""))))</f>
        <v>مراجعة فقط</v>
      </c>
      <c r="I100" s="9">
        <f>IF(H100="جرد + مراجعة",الإعدادات!$B$2,IF(H100="مراجعة فقط",الإعدادات!$B$3,IF(H100="جرد فقط",الإعدادات!$B$4,0)))</f>
        <v>150</v>
      </c>
    </row>
    <row r="101">
      <c r="A101" s="4" t="inlineStr">
        <is>
          <t>2026-10-08</t>
        </is>
      </c>
      <c r="B101" s="5" t="str">
        <f>IF(A101="","",IFERROR(INDEX('جدول الجرد'!$A$2:$A$29,MATCH(A101,'جدول الجرد'!$B$2:$B$29,0)),""))</f>
        <v>الخميس</v>
      </c>
      <c r="C101" s="5" t="str">
        <f>IF(A101="","",IFERROR(INDEX('جدول الجرد'!$E$2:$E$29,MATCH(A101,'جدول الجرد'!$B$2:$B$29,0)),""))</f>
        <v>الدواسر</v>
      </c>
      <c r="D101" s="4" t="n">
        <v>37</v>
      </c>
      <c r="E101" s="4" t="inlineStr">
        <is>
          <t>د. الحسن الغنيمي</t>
        </is>
      </c>
      <c r="F101" s="4" t="inlineStr"/>
      <c r="G101" s="4" t="inlineStr">
        <is>
          <t>نعم</t>
        </is>
      </c>
      <c r="H101" s="5" t="str">
        <f>IF(E101="","",IF(AND(F101="نعم",G101="نعم"),"جرد + مراجعة",IF(F101="نعم","جرد فقط",IF(G101="نعم","مراجعة فقط",""))))</f>
        <v>مراجعة فقط</v>
      </c>
      <c r="I101" s="9">
        <f>IF(H101="جرد + مراجعة",الإعدادات!$B$2,IF(H101="مراجعة فقط",الإعدادات!$B$3,IF(H101="جرد فقط",الإعدادات!$B$4,0)))</f>
        <v>150</v>
      </c>
    </row>
    <row r="102">
      <c r="A102" s="4" t="inlineStr">
        <is>
          <t>2026-10-08</t>
        </is>
      </c>
      <c r="B102" s="5" t="str">
        <f>IF(A102="","",IFERROR(INDEX('جدول الجرد'!$A$2:$A$29,MATCH(A102,'جدول الجرد'!$B$2:$B$29,0)),""))</f>
        <v>الخميس</v>
      </c>
      <c r="C102" s="5" t="str">
        <f>IF(A102="","",IFERROR(INDEX('جدول الجرد'!$E$2:$E$29,MATCH(A102,'جدول الجرد'!$B$2:$B$29,0)),""))</f>
        <v>الدواسر</v>
      </c>
      <c r="D102" s="4" t="n">
        <v>37</v>
      </c>
      <c r="E102" s="4" t="inlineStr">
        <is>
          <t>د. محمد جمال</t>
        </is>
      </c>
      <c r="F102" s="4" t="inlineStr"/>
      <c r="G102" s="4" t="inlineStr">
        <is>
          <t>نعم</t>
        </is>
      </c>
      <c r="H102" s="5" t="str">
        <f>IF(E102="","",IF(AND(F102="نعم",G102="نعم"),"جرد + مراجعة",IF(F102="نعم","جرد فقط",IF(G102="نعم","مراجعة فقط",""))))</f>
        <v>مراجعة فقط</v>
      </c>
      <c r="I102" s="9">
        <f>IF(H102="جرد + مراجعة",الإعدادات!$B$2,IF(H102="مراجعة فقط",الإعدادات!$B$3,IF(H102="جرد فقط",الإعدادات!$B$4,0)))</f>
        <v>150</v>
      </c>
    </row>
    <row r="103">
      <c r="A103" s="4" t="inlineStr">
        <is>
          <t>2026-10-09</t>
        </is>
      </c>
      <c r="B103" s="5" t="str">
        <f>IF(A103="","",IFERROR(INDEX('جدول الجرد'!$A$2:$A$29,MATCH(A103,'جدول الجرد'!$B$2:$B$29,0)),""))</f>
        <v>الجمعة</v>
      </c>
      <c r="C103" s="5" t="str">
        <f>IF(A103="","",IFERROR(INDEX('جدول الجرد'!$E$2:$E$29,MATCH(A103,'جدول الجرد'!$B$2:$B$29,0)),""))</f>
        <v>الدواسر</v>
      </c>
      <c r="D103" s="4" t="n">
        <v>38</v>
      </c>
      <c r="E103" s="4" t="inlineStr">
        <is>
          <t>د. السيد حسن</t>
        </is>
      </c>
      <c r="F103" s="4" t="inlineStr">
        <is>
          <t>نعم</t>
        </is>
      </c>
      <c r="G103" s="4" t="inlineStr">
        <is>
          <t>نعم</t>
        </is>
      </c>
      <c r="H103" s="5" t="str">
        <f>IF(E103="","",IF(AND(F103="نعم",G103="نعم"),"جرد + مراجعة",IF(F103="نعم","جرد فقط",IF(G103="نعم","مراجعة فقط",""))))</f>
        <v>جرد + مراجعة</v>
      </c>
      <c r="I103" s="9">
        <f>IF(H103="جرد + مراجعة",الإعدادات!$B$2,IF(H103="مراجعة فقط",الإعدادات!$B$3,IF(H103="جرد فقط",الإعدادات!$B$4,0)))</f>
        <v>200</v>
      </c>
    </row>
    <row r="104">
      <c r="A104" s="4" t="inlineStr">
        <is>
          <t>2026-10-09</t>
        </is>
      </c>
      <c r="B104" s="5" t="str">
        <f>IF(A104="","",IFERROR(INDEX('جدول الجرد'!$A$2:$A$29,MATCH(A104,'جدول الجرد'!$B$2:$B$29,0)),""))</f>
        <v>الجمعة</v>
      </c>
      <c r="C104" s="5" t="str">
        <f>IF(A104="","",IFERROR(INDEX('جدول الجرد'!$E$2:$E$29,MATCH(A104,'جدول الجرد'!$B$2:$B$29,0)),""))</f>
        <v>الدواسر</v>
      </c>
      <c r="D104" s="4" t="n">
        <v>38</v>
      </c>
      <c r="E104" s="4" t="inlineStr">
        <is>
          <t>د. حسام شلش</t>
        </is>
      </c>
      <c r="F104" s="4" t="inlineStr"/>
      <c r="G104" s="4" t="inlineStr">
        <is>
          <t>نعم</t>
        </is>
      </c>
      <c r="H104" s="5" t="str">
        <f>IF(E104="","",IF(AND(F104="نعم",G104="نعم"),"جرد + مراجعة",IF(F104="نعم","جرد فقط",IF(G104="نعم","مراجعة فقط",""))))</f>
        <v>مراجعة فقط</v>
      </c>
      <c r="I104" s="9">
        <f>IF(H104="جرد + مراجعة",الإعدادات!$B$2,IF(H104="مراجعة فقط",الإعدادات!$B$3,IF(H104="جرد فقط",الإعدادات!$B$4,0)))</f>
        <v>150</v>
      </c>
    </row>
    <row r="105">
      <c r="A105" s="4" t="inlineStr">
        <is>
          <t>2026-10-09</t>
        </is>
      </c>
      <c r="B105" s="5" t="str">
        <f>IF(A105="","",IFERROR(INDEX('جدول الجرد'!$A$2:$A$29,MATCH(A105,'جدول الجرد'!$B$2:$B$29,0)),""))</f>
        <v>الجمعة</v>
      </c>
      <c r="C105" s="5" t="str">
        <f>IF(A105="","",IFERROR(INDEX('جدول الجرد'!$E$2:$E$29,MATCH(A105,'جدول الجرد'!$B$2:$B$29,0)),""))</f>
        <v>الدواسر</v>
      </c>
      <c r="D105" s="4" t="n">
        <v>38</v>
      </c>
      <c r="E105" s="4" t="inlineStr">
        <is>
          <t>د. الحسن الغنيمي</t>
        </is>
      </c>
      <c r="F105" s="4" t="inlineStr"/>
      <c r="G105" s="4" t="inlineStr">
        <is>
          <t>نعم</t>
        </is>
      </c>
      <c r="H105" s="5" t="str">
        <f>IF(E105="","",IF(AND(F105="نعم",G105="نعم"),"جرد + مراجعة",IF(F105="نعم","جرد فقط",IF(G105="نعم","مراجعة فقط",""))))</f>
        <v>مراجعة فقط</v>
      </c>
      <c r="I105" s="9">
        <f>IF(H105="جرد + مراجعة",الإعدادات!$B$2,IF(H105="مراجعة فقط",الإعدادات!$B$3,IF(H105="جرد فقط",الإعدادات!$B$4,0)))</f>
        <v>150</v>
      </c>
    </row>
    <row r="106">
      <c r="A106" s="4" t="inlineStr">
        <is>
          <t>2026-10-09</t>
        </is>
      </c>
      <c r="B106" s="5" t="str">
        <f>IF(A106="","",IFERROR(INDEX('جدول الجرد'!$A$2:$A$29,MATCH(A106,'جدول الجرد'!$B$2:$B$29,0)),""))</f>
        <v>الجمعة</v>
      </c>
      <c r="C106" s="5" t="str">
        <f>IF(A106="","",IFERROR(INDEX('جدول الجرد'!$E$2:$E$29,MATCH(A106,'جدول الجرد'!$B$2:$B$29,0)),""))</f>
        <v>الدواسر</v>
      </c>
      <c r="D106" s="4" t="n">
        <v>38</v>
      </c>
      <c r="E106" s="4" t="inlineStr">
        <is>
          <t>د. محمد جمال</t>
        </is>
      </c>
      <c r="F106" s="4" t="inlineStr"/>
      <c r="G106" s="4" t="inlineStr">
        <is>
          <t>نعم</t>
        </is>
      </c>
      <c r="H106" s="5" t="str">
        <f>IF(E106="","",IF(AND(F106="نعم",G106="نعم"),"جرد + مراجعة",IF(F106="نعم","جرد فقط",IF(G106="نعم","مراجعة فقط",""))))</f>
        <v>مراجعة فقط</v>
      </c>
      <c r="I106" s="9">
        <f>IF(H106="جرد + مراجعة",الإعدادات!$B$2,IF(H106="مراجعة فقط",الإعدادات!$B$3,IF(H106="جرد فقط",الإعدادات!$B$4,0)))</f>
        <v>150</v>
      </c>
    </row>
    <row r="107">
      <c r="A107" s="4" t="inlineStr">
        <is>
          <t>2026-10-09</t>
        </is>
      </c>
      <c r="B107" s="5" t="str">
        <f>IF(A107="","",IFERROR(INDEX('جدول الجرد'!$A$2:$A$29,MATCH(A107,'جدول الجرد'!$B$2:$B$29,0)),""))</f>
        <v>الجمعة</v>
      </c>
      <c r="C107" s="5" t="str">
        <f>IF(A107="","",IFERROR(INDEX('جدول الجرد'!$E$2:$E$29,MATCH(A107,'جدول الجرد'!$B$2:$B$29,0)),""))</f>
        <v>الدواسر</v>
      </c>
      <c r="D107" s="4" t="n">
        <v>59</v>
      </c>
      <c r="E107" s="4" t="inlineStr">
        <is>
          <t>د. السيد حسن</t>
        </is>
      </c>
      <c r="F107" s="4" t="inlineStr">
        <is>
          <t>نعم</t>
        </is>
      </c>
      <c r="G107" s="4" t="inlineStr">
        <is>
          <t>نعم</t>
        </is>
      </c>
      <c r="H107" s="5" t="str">
        <f>IF(E107="","",IF(AND(F107="نعم",G107="نعم"),"جرد + مراجعة",IF(F107="نعم","جرد فقط",IF(G107="نعم","مراجعة فقط",""))))</f>
        <v>جرد + مراجعة</v>
      </c>
      <c r="I107" s="9">
        <f>IF(H107="جرد + مراجعة",الإعدادات!$B$2,IF(H107="مراجعة فقط",الإعدادات!$B$3,IF(H107="جرد فقط",الإعدادات!$B$4,0)))</f>
        <v>200</v>
      </c>
    </row>
    <row r="108">
      <c r="A108" s="4" t="inlineStr">
        <is>
          <t>2026-10-09</t>
        </is>
      </c>
      <c r="B108" s="5" t="str">
        <f>IF(A108="","",IFERROR(INDEX('جدول الجرد'!$A$2:$A$29,MATCH(A108,'جدول الجرد'!$B$2:$B$29,0)),""))</f>
        <v>الجمعة</v>
      </c>
      <c r="C108" s="5" t="str">
        <f>IF(A108="","",IFERROR(INDEX('جدول الجرد'!$E$2:$E$29,MATCH(A108,'جدول الجرد'!$B$2:$B$29,0)),""))</f>
        <v>الدواسر</v>
      </c>
      <c r="D108" s="4" t="n">
        <v>59</v>
      </c>
      <c r="E108" s="4" t="inlineStr">
        <is>
          <t>د. حسام شلش</t>
        </is>
      </c>
      <c r="F108" s="4" t="inlineStr"/>
      <c r="G108" s="4" t="inlineStr">
        <is>
          <t>نعم</t>
        </is>
      </c>
      <c r="H108" s="5" t="str">
        <f>IF(E108="","",IF(AND(F108="نعم",G108="نعم"),"جرد + مراجعة",IF(F108="نعم","جرد فقط",IF(G108="نعم","مراجعة فقط",""))))</f>
        <v>مراجعة فقط</v>
      </c>
      <c r="I108" s="9">
        <f>IF(H108="جرد + مراجعة",الإعدادات!$B$2,IF(H108="مراجعة فقط",الإعدادات!$B$3,IF(H108="جرد فقط",الإعدادات!$B$4,0)))</f>
        <v>150</v>
      </c>
    </row>
    <row r="109">
      <c r="A109" s="4" t="inlineStr">
        <is>
          <t>2026-10-09</t>
        </is>
      </c>
      <c r="B109" s="5" t="str">
        <f>IF(A109="","",IFERROR(INDEX('جدول الجرد'!$A$2:$A$29,MATCH(A109,'جدول الجرد'!$B$2:$B$29,0)),""))</f>
        <v>الجمعة</v>
      </c>
      <c r="C109" s="5" t="str">
        <f>IF(A109="","",IFERROR(INDEX('جدول الجرد'!$E$2:$E$29,MATCH(A109,'جدول الجرد'!$B$2:$B$29,0)),""))</f>
        <v>الدواسر</v>
      </c>
      <c r="D109" s="4" t="n">
        <v>59</v>
      </c>
      <c r="E109" s="4" t="inlineStr">
        <is>
          <t>د. الحسن الغنيمي</t>
        </is>
      </c>
      <c r="F109" s="4" t="inlineStr"/>
      <c r="G109" s="4" t="inlineStr">
        <is>
          <t>نعم</t>
        </is>
      </c>
      <c r="H109" s="5" t="str">
        <f>IF(E109="","",IF(AND(F109="نعم",G109="نعم"),"جرد + مراجعة",IF(F109="نعم","جرد فقط",IF(G109="نعم","مراجعة فقط",""))))</f>
        <v>مراجعة فقط</v>
      </c>
      <c r="I109" s="9">
        <f>IF(H109="جرد + مراجعة",الإعدادات!$B$2,IF(H109="مراجعة فقط",الإعدادات!$B$3,IF(H109="جرد فقط",الإعدادات!$B$4,0)))</f>
        <v>150</v>
      </c>
    </row>
    <row r="110">
      <c r="A110" s="4" t="inlineStr">
        <is>
          <t>2026-10-09</t>
        </is>
      </c>
      <c r="B110" s="5" t="str">
        <f>IF(A110="","",IFERROR(INDEX('جدول الجرد'!$A$2:$A$29,MATCH(A110,'جدول الجرد'!$B$2:$B$29,0)),""))</f>
        <v>الجمعة</v>
      </c>
      <c r="C110" s="5" t="str">
        <f>IF(A110="","",IFERROR(INDEX('جدول الجرد'!$E$2:$E$29,MATCH(A110,'جدول الجرد'!$B$2:$B$29,0)),""))</f>
        <v>الدواسر</v>
      </c>
      <c r="D110" s="4" t="n">
        <v>59</v>
      </c>
      <c r="E110" s="4" t="inlineStr">
        <is>
          <t>د. محمد جمال</t>
        </is>
      </c>
      <c r="F110" s="4" t="inlineStr"/>
      <c r="G110" s="4" t="inlineStr">
        <is>
          <t>نعم</t>
        </is>
      </c>
      <c r="H110" s="5" t="str">
        <f>IF(E110="","",IF(AND(F110="نعم",G110="نعم"),"جرد + مراجعة",IF(F110="نعم","جرد فقط",IF(G110="نعم","مراجعة فقط",""))))</f>
        <v>مراجعة فقط</v>
      </c>
      <c r="I110" s="9">
        <f>IF(H110="جرد + مراجعة",الإعدادات!$B$2,IF(H110="مراجعة فقط",الإعدادات!$B$3,IF(H110="جرد فقط",الإعدادات!$B$4,0)))</f>
        <v>150</v>
      </c>
    </row>
    <row r="111">
      <c r="A111" s="4" t="inlineStr">
        <is>
          <t>2026-10-10</t>
        </is>
      </c>
      <c r="B111" s="5" t="str">
        <f>IF(A111="","",IFERROR(INDEX('جدول الجرد'!$A$2:$A$29,MATCH(A111,'جدول الجرد'!$B$2:$B$29,0)),""))</f>
        <v>السبت</v>
      </c>
      <c r="C111" s="5" t="str">
        <f>IF(A111="","",IFERROR(INDEX('جدول الجرد'!$E$2:$E$29,MATCH(A111,'جدول الجرد'!$B$2:$B$29,0)),""))</f>
        <v>الدواسر</v>
      </c>
      <c r="D111" s="4" t="n">
        <v>36</v>
      </c>
      <c r="E111" s="4" t="inlineStr">
        <is>
          <t>د. حسام شلش</t>
        </is>
      </c>
      <c r="F111" s="4" t="inlineStr">
        <is>
          <t>نعم</t>
        </is>
      </c>
      <c r="G111" s="4" t="inlineStr">
        <is>
          <t>نعم</t>
        </is>
      </c>
      <c r="H111" s="5" t="str">
        <f>IF(E111="","",IF(AND(F111="نعم",G111="نعم"),"جرد + مراجعة",IF(F111="نعم","جرد فقط",IF(G111="نعم","مراجعة فقط",""))))</f>
        <v>جرد + مراجعة</v>
      </c>
      <c r="I111" s="9">
        <f>IF(H111="جرد + مراجعة",الإعدادات!$B$2,IF(H111="مراجعة فقط",الإعدادات!$B$3,IF(H111="جرد فقط",الإعدادات!$B$4,0)))</f>
        <v>200</v>
      </c>
    </row>
    <row r="112">
      <c r="A112" s="4" t="inlineStr">
        <is>
          <t>2026-10-10</t>
        </is>
      </c>
      <c r="B112" s="5" t="str">
        <f>IF(A112="","",IFERROR(INDEX('جدول الجرد'!$A$2:$A$29,MATCH(A112,'جدول الجرد'!$B$2:$B$29,0)),""))</f>
        <v>السبت</v>
      </c>
      <c r="C112" s="5" t="str">
        <f>IF(A112="","",IFERROR(INDEX('جدول الجرد'!$E$2:$E$29,MATCH(A112,'جدول الجرد'!$B$2:$B$29,0)),""))</f>
        <v>الدواسر</v>
      </c>
      <c r="D112" s="4" t="n">
        <v>36</v>
      </c>
      <c r="E112" s="4" t="inlineStr">
        <is>
          <t>د. السيد حسن</t>
        </is>
      </c>
      <c r="F112" s="4" t="inlineStr"/>
      <c r="G112" s="4" t="inlineStr">
        <is>
          <t>نعم</t>
        </is>
      </c>
      <c r="H112" s="5" t="str">
        <f>IF(E112="","",IF(AND(F112="نعم",G112="نعم"),"جرد + مراجعة",IF(F112="نعم","جرد فقط",IF(G112="نعم","مراجعة فقط",""))))</f>
        <v>مراجعة فقط</v>
      </c>
      <c r="I112" s="9">
        <f>IF(H112="جرد + مراجعة",الإعدادات!$B$2,IF(H112="مراجعة فقط",الإعدادات!$B$3,IF(H112="جرد فقط",الإعدادات!$B$4,0)))</f>
        <v>150</v>
      </c>
    </row>
    <row r="113">
      <c r="A113" s="4" t="inlineStr">
        <is>
          <t>2026-10-10</t>
        </is>
      </c>
      <c r="B113" s="5" t="str">
        <f>IF(A113="","",IFERROR(INDEX('جدول الجرد'!$A$2:$A$29,MATCH(A113,'جدول الجرد'!$B$2:$B$29,0)),""))</f>
        <v>السبت</v>
      </c>
      <c r="C113" s="5" t="str">
        <f>IF(A113="","",IFERROR(INDEX('جدول الجرد'!$E$2:$E$29,MATCH(A113,'جدول الجرد'!$B$2:$B$29,0)),""))</f>
        <v>الدواسر</v>
      </c>
      <c r="D113" s="4" t="n">
        <v>36</v>
      </c>
      <c r="E113" s="4" t="inlineStr">
        <is>
          <t>د. الحسن الغنيمي</t>
        </is>
      </c>
      <c r="F113" s="4" t="inlineStr"/>
      <c r="G113" s="4" t="inlineStr">
        <is>
          <t>نعم</t>
        </is>
      </c>
      <c r="H113" s="5" t="str">
        <f>IF(E113="","",IF(AND(F113="نعم",G113="نعم"),"جرد + مراجعة",IF(F113="نعم","جرد فقط",IF(G113="نعم","مراجعة فقط",""))))</f>
        <v>مراجعة فقط</v>
      </c>
      <c r="I113" s="9">
        <f>IF(H113="جرد + مراجعة",الإعدادات!$B$2,IF(H113="مراجعة فقط",الإعدادات!$B$3,IF(H113="جرد فقط",الإعدادات!$B$4,0)))</f>
        <v>150</v>
      </c>
    </row>
    <row r="114">
      <c r="A114" s="4" t="inlineStr">
        <is>
          <t>2026-10-10</t>
        </is>
      </c>
      <c r="B114" s="5" t="str">
        <f>IF(A114="","",IFERROR(INDEX('جدول الجرد'!$A$2:$A$29,MATCH(A114,'جدول الجرد'!$B$2:$B$29,0)),""))</f>
        <v>السبت</v>
      </c>
      <c r="C114" s="5" t="str">
        <f>IF(A114="","",IFERROR(INDEX('جدول الجرد'!$E$2:$E$29,MATCH(A114,'جدول الجرد'!$B$2:$B$29,0)),""))</f>
        <v>الدواسر</v>
      </c>
      <c r="D114" s="4" t="n">
        <v>36</v>
      </c>
      <c r="E114" s="4" t="inlineStr">
        <is>
          <t>د. محمد جمال</t>
        </is>
      </c>
      <c r="F114" s="4" t="inlineStr"/>
      <c r="G114" s="4" t="inlineStr">
        <is>
          <t>نعم</t>
        </is>
      </c>
      <c r="H114" s="5" t="str">
        <f>IF(E114="","",IF(AND(F114="نعم",G114="نعم"),"جرد + مراجعة",IF(F114="نعم","جرد فقط",IF(G114="نعم","مراجعة فقط",""))))</f>
        <v>مراجعة فقط</v>
      </c>
      <c r="I114" s="9">
        <f>IF(H114="جرد + مراجعة",الإعدادات!$B$2,IF(H114="مراجعة فقط",الإعدادات!$B$3,IF(H114="جرد فقط",الإعدادات!$B$4,0)))</f>
        <v>150</v>
      </c>
    </row>
    <row r="115">
      <c r="A115" s="4" t="inlineStr">
        <is>
          <t>2026-10-10</t>
        </is>
      </c>
      <c r="B115" s="5" t="str">
        <f>IF(A115="","",IFERROR(INDEX('جدول الجرد'!$A$2:$A$29,MATCH(A115,'جدول الجرد'!$B$2:$B$29,0)),""))</f>
        <v>السبت</v>
      </c>
      <c r="C115" s="5" t="str">
        <f>IF(A115="","",IFERROR(INDEX('جدول الجرد'!$E$2:$E$29,MATCH(A115,'جدول الجرد'!$B$2:$B$29,0)),""))</f>
        <v>الدواسر</v>
      </c>
      <c r="D115" s="4" t="n">
        <v>57</v>
      </c>
      <c r="E115" s="4" t="inlineStr">
        <is>
          <t>د. حسام شلش</t>
        </is>
      </c>
      <c r="F115" s="4" t="inlineStr">
        <is>
          <t>نعم</t>
        </is>
      </c>
      <c r="G115" s="4" t="inlineStr">
        <is>
          <t>نعم</t>
        </is>
      </c>
      <c r="H115" s="5" t="str">
        <f>IF(E115="","",IF(AND(F115="نعم",G115="نعم"),"جرد + مراجعة",IF(F115="نعم","جرد فقط",IF(G115="نعم","مراجعة فقط",""))))</f>
        <v>جرد + مراجعة</v>
      </c>
      <c r="I115" s="9">
        <f>IF(H115="جرد + مراجعة",الإعدادات!$B$2,IF(H115="مراجعة فقط",الإعدادات!$B$3,IF(H115="جرد فقط",الإعدادات!$B$4,0)))</f>
        <v>200</v>
      </c>
    </row>
    <row r="116">
      <c r="A116" s="4" t="inlineStr">
        <is>
          <t>2026-10-10</t>
        </is>
      </c>
      <c r="B116" s="5" t="str">
        <f>IF(A116="","",IFERROR(INDEX('جدول الجرد'!$A$2:$A$29,MATCH(A116,'جدول الجرد'!$B$2:$B$29,0)),""))</f>
        <v>السبت</v>
      </c>
      <c r="C116" s="5" t="str">
        <f>IF(A116="","",IFERROR(INDEX('جدول الجرد'!$E$2:$E$29,MATCH(A116,'جدول الجرد'!$B$2:$B$29,0)),""))</f>
        <v>الدواسر</v>
      </c>
      <c r="D116" s="4" t="n">
        <v>57</v>
      </c>
      <c r="E116" s="4" t="inlineStr">
        <is>
          <t>د. السيد حسن</t>
        </is>
      </c>
      <c r="F116" s="4" t="inlineStr"/>
      <c r="G116" s="4" t="inlineStr">
        <is>
          <t>نعم</t>
        </is>
      </c>
      <c r="H116" s="5" t="str">
        <f>IF(E116="","",IF(AND(F116="نعم",G116="نعم"),"جرد + مراجعة",IF(F116="نعم","جرد فقط",IF(G116="نعم","مراجعة فقط",""))))</f>
        <v>مراجعة فقط</v>
      </c>
      <c r="I116" s="9">
        <f>IF(H116="جرد + مراجعة",الإعدادات!$B$2,IF(H116="مراجعة فقط",الإعدادات!$B$3,IF(H116="جرد فقط",الإعدادات!$B$4,0)))</f>
        <v>150</v>
      </c>
    </row>
    <row r="117">
      <c r="A117" s="4" t="inlineStr">
        <is>
          <t>2026-10-10</t>
        </is>
      </c>
      <c r="B117" s="5" t="str">
        <f>IF(A117="","",IFERROR(INDEX('جدول الجرد'!$A$2:$A$29,MATCH(A117,'جدول الجرد'!$B$2:$B$29,0)),""))</f>
        <v>السبت</v>
      </c>
      <c r="C117" s="5" t="str">
        <f>IF(A117="","",IFERROR(INDEX('جدول الجرد'!$E$2:$E$29,MATCH(A117,'جدول الجرد'!$B$2:$B$29,0)),""))</f>
        <v>الدواسر</v>
      </c>
      <c r="D117" s="4" t="n">
        <v>57</v>
      </c>
      <c r="E117" s="4" t="inlineStr">
        <is>
          <t>د. الحسن الغنيمي</t>
        </is>
      </c>
      <c r="F117" s="4" t="inlineStr"/>
      <c r="G117" s="4" t="inlineStr">
        <is>
          <t>نعم</t>
        </is>
      </c>
      <c r="H117" s="5" t="str">
        <f>IF(E117="","",IF(AND(F117="نعم",G117="نعم"),"جرد + مراجعة",IF(F117="نعم","جرد فقط",IF(G117="نعم","مراجعة فقط",""))))</f>
        <v>مراجعة فقط</v>
      </c>
      <c r="I117" s="9">
        <f>IF(H117="جرد + مراجعة",الإعدادات!$B$2,IF(H117="مراجعة فقط",الإعدادات!$B$3,IF(H117="جرد فقط",الإعدادات!$B$4,0)))</f>
        <v>150</v>
      </c>
    </row>
    <row r="118">
      <c r="A118" s="4" t="inlineStr">
        <is>
          <t>2026-10-10</t>
        </is>
      </c>
      <c r="B118" s="5" t="str">
        <f>IF(A118="","",IFERROR(INDEX('جدول الجرد'!$A$2:$A$29,MATCH(A118,'جدول الجرد'!$B$2:$B$29,0)),""))</f>
        <v>السبت</v>
      </c>
      <c r="C118" s="5" t="str">
        <f>IF(A118="","",IFERROR(INDEX('جدول الجرد'!$E$2:$E$29,MATCH(A118,'جدول الجرد'!$B$2:$B$29,0)),""))</f>
        <v>الدواسر</v>
      </c>
      <c r="D118" s="4" t="n">
        <v>57</v>
      </c>
      <c r="E118" s="4" t="inlineStr">
        <is>
          <t>د. محمد جمال</t>
        </is>
      </c>
      <c r="F118" s="4" t="inlineStr"/>
      <c r="G118" s="4" t="inlineStr">
        <is>
          <t>نعم</t>
        </is>
      </c>
      <c r="H118" s="5" t="str">
        <f>IF(E118="","",IF(AND(F118="نعم",G118="نعم"),"جرد + مراجعة",IF(F118="نعم","جرد فقط",IF(G118="نعم","مراجعة فقط",""))))</f>
        <v>مراجعة فقط</v>
      </c>
      <c r="I118" s="9">
        <f>IF(H118="جرد + مراجعة",الإعدادات!$B$2,IF(H118="مراجعة فقط",الإعدادات!$B$3,IF(H118="جرد فقط",الإعدادات!$B$4,0)))</f>
        <v>150</v>
      </c>
    </row>
    <row r="119">
      <c r="A119" s="4" t="inlineStr">
        <is>
          <t>2026-10-11</t>
        </is>
      </c>
      <c r="B119" s="5" t="str">
        <f>IF(A119="","",IFERROR(INDEX('جدول الجرد'!$A$2:$A$29,MATCH(A119,'جدول الجرد'!$B$2:$B$29,0)),""))</f>
        <v>الأحد</v>
      </c>
      <c r="C119" s="5" t="str">
        <f>IF(A119="","",IFERROR(INDEX('جدول الجرد'!$E$2:$E$29,MATCH(A119,'جدول الجرد'!$B$2:$B$29,0)),""))</f>
        <v>رنية</v>
      </c>
      <c r="D119" s="4" t="n">
        <v>48</v>
      </c>
      <c r="E119" s="4" t="inlineStr">
        <is>
          <t>د. السيد حسن</t>
        </is>
      </c>
      <c r="F119" s="4" t="inlineStr">
        <is>
          <t>نعم</t>
        </is>
      </c>
      <c r="G119" s="4" t="inlineStr">
        <is>
          <t>نعم</t>
        </is>
      </c>
      <c r="H119" s="5" t="str">
        <f>IF(E119="","",IF(AND(F119="نعم",G119="نعم"),"جرد + مراجعة",IF(F119="نعم","جرد فقط",IF(G119="نعم","مراجعة فقط",""))))</f>
        <v>جرد + مراجعة</v>
      </c>
      <c r="I119" s="9">
        <f>IF(H119="جرد + مراجعة",الإعدادات!$B$2,IF(H119="مراجعة فقط",الإعدادات!$B$3,IF(H119="جرد فقط",الإعدادات!$B$4,0)))</f>
        <v>200</v>
      </c>
    </row>
    <row r="120">
      <c r="A120" s="4" t="inlineStr">
        <is>
          <t>2026-10-11</t>
        </is>
      </c>
      <c r="B120" s="5" t="str">
        <f>IF(A120="","",IFERROR(INDEX('جدول الجرد'!$A$2:$A$29,MATCH(A120,'جدول الجرد'!$B$2:$B$29,0)),""))</f>
        <v>الأحد</v>
      </c>
      <c r="C120" s="5" t="str">
        <f>IF(A120="","",IFERROR(INDEX('جدول الجرد'!$E$2:$E$29,MATCH(A120,'جدول الجرد'!$B$2:$B$29,0)),""))</f>
        <v>رنية</v>
      </c>
      <c r="D120" s="4" t="n">
        <v>48</v>
      </c>
      <c r="E120" s="4" t="inlineStr">
        <is>
          <t>د. حسام شلش</t>
        </is>
      </c>
      <c r="F120" s="4" t="inlineStr"/>
      <c r="G120" s="4" t="inlineStr">
        <is>
          <t>نعم</t>
        </is>
      </c>
      <c r="H120" s="5" t="str">
        <f>IF(E120="","",IF(AND(F120="نعم",G120="نعم"),"جرد + مراجعة",IF(F120="نعم","جرد فقط",IF(G120="نعم","مراجعة فقط",""))))</f>
        <v>مراجعة فقط</v>
      </c>
      <c r="I120" s="9">
        <f>IF(H120="جرد + مراجعة",الإعدادات!$B$2,IF(H120="مراجعة فقط",الإعدادات!$B$3,IF(H120="جرد فقط",الإعدادات!$B$4,0)))</f>
        <v>150</v>
      </c>
    </row>
    <row r="121">
      <c r="A121" s="4" t="inlineStr">
        <is>
          <t>2026-10-11</t>
        </is>
      </c>
      <c r="B121" s="5" t="str">
        <f>IF(A121="","",IFERROR(INDEX('جدول الجرد'!$A$2:$A$29,MATCH(A121,'جدول الجرد'!$B$2:$B$29,0)),""))</f>
        <v>الأحد</v>
      </c>
      <c r="C121" s="5" t="str">
        <f>IF(A121="","",IFERROR(INDEX('جدول الجرد'!$E$2:$E$29,MATCH(A121,'جدول الجرد'!$B$2:$B$29,0)),""))</f>
        <v>رنية</v>
      </c>
      <c r="D121" s="4" t="n">
        <v>48</v>
      </c>
      <c r="E121" s="4" t="inlineStr">
        <is>
          <t>د. الحسن الغنيمي</t>
        </is>
      </c>
      <c r="F121" s="4" t="inlineStr"/>
      <c r="G121" s="4" t="inlineStr">
        <is>
          <t>نعم</t>
        </is>
      </c>
      <c r="H121" s="5" t="str">
        <f>IF(E121="","",IF(AND(F121="نعم",G121="نعم"),"جرد + مراجعة",IF(F121="نعم","جرد فقط",IF(G121="نعم","مراجعة فقط",""))))</f>
        <v>مراجعة فقط</v>
      </c>
      <c r="I121" s="9">
        <f>IF(H121="جرد + مراجعة",الإعدادات!$B$2,IF(H121="مراجعة فقط",الإعدادات!$B$3,IF(H121="جرد فقط",الإعدادات!$B$4,0)))</f>
        <v>150</v>
      </c>
    </row>
    <row r="122">
      <c r="A122" s="4" t="inlineStr">
        <is>
          <t>2026-10-11</t>
        </is>
      </c>
      <c r="B122" s="5" t="str">
        <f>IF(A122="","",IFERROR(INDEX('جدول الجرد'!$A$2:$A$29,MATCH(A122,'جدول الجرد'!$B$2:$B$29,0)),""))</f>
        <v>الأحد</v>
      </c>
      <c r="C122" s="5" t="str">
        <f>IF(A122="","",IFERROR(INDEX('جدول الجرد'!$E$2:$E$29,MATCH(A122,'جدول الجرد'!$B$2:$B$29,0)),""))</f>
        <v>رنية</v>
      </c>
      <c r="D122" s="4" t="n">
        <v>48</v>
      </c>
      <c r="E122" s="4" t="inlineStr">
        <is>
          <t>د. محمد جمال</t>
        </is>
      </c>
      <c r="F122" s="4" t="inlineStr"/>
      <c r="G122" s="4" t="inlineStr">
        <is>
          <t>نعم</t>
        </is>
      </c>
      <c r="H122" s="5" t="str">
        <f>IF(E122="","",IF(AND(F122="نعم",G122="نعم"),"جرد + مراجعة",IF(F122="نعم","جرد فقط",IF(G122="نعم","مراجعة فقط",""))))</f>
        <v>مراجعة فقط</v>
      </c>
      <c r="I122" s="9">
        <f>IF(H122="جرد + مراجعة",الإعدادات!$B$2,IF(H122="مراجعة فقط",الإعدادات!$B$3,IF(H122="جرد فقط",الإعدادات!$B$4,0)))</f>
        <v>150</v>
      </c>
    </row>
    <row r="123">
      <c r="A123" s="4" t="inlineStr">
        <is>
          <t>2026-10-11</t>
        </is>
      </c>
      <c r="B123" s="5" t="str">
        <f>IF(A123="","",IFERROR(INDEX('جدول الجرد'!$A$2:$A$29,MATCH(A123,'جدول الجرد'!$B$2:$B$29,0)),""))</f>
        <v>الأحد</v>
      </c>
      <c r="C123" s="5" t="str">
        <f>IF(A123="","",IFERROR(INDEX('جدول الجرد'!$E$2:$E$29,MATCH(A123,'جدول الجرد'!$B$2:$B$29,0)),""))</f>
        <v>رنية</v>
      </c>
      <c r="D123" s="4" t="n">
        <v>49</v>
      </c>
      <c r="E123" s="4" t="inlineStr">
        <is>
          <t>د. السيد حسن</t>
        </is>
      </c>
      <c r="F123" s="4" t="inlineStr">
        <is>
          <t>نعم</t>
        </is>
      </c>
      <c r="G123" s="4" t="inlineStr">
        <is>
          <t>نعم</t>
        </is>
      </c>
      <c r="H123" s="5" t="str">
        <f>IF(E123="","",IF(AND(F123="نعم",G123="نعم"),"جرد + مراجعة",IF(F123="نعم","جرد فقط",IF(G123="نعم","مراجعة فقط",""))))</f>
        <v>جرد + مراجعة</v>
      </c>
      <c r="I123" s="9">
        <f>IF(H123="جرد + مراجعة",الإعدادات!$B$2,IF(H123="مراجعة فقط",الإعدادات!$B$3,IF(H123="جرد فقط",الإعدادات!$B$4,0)))</f>
        <v>200</v>
      </c>
    </row>
    <row r="124">
      <c r="A124" s="4" t="inlineStr">
        <is>
          <t>2026-10-11</t>
        </is>
      </c>
      <c r="B124" s="5" t="str">
        <f>IF(A124="","",IFERROR(INDEX('جدول الجرد'!$A$2:$A$29,MATCH(A124,'جدول الجرد'!$B$2:$B$29,0)),""))</f>
        <v>الأحد</v>
      </c>
      <c r="C124" s="5" t="str">
        <f>IF(A124="","",IFERROR(INDEX('جدول الجرد'!$E$2:$E$29,MATCH(A124,'جدول الجرد'!$B$2:$B$29,0)),""))</f>
        <v>رنية</v>
      </c>
      <c r="D124" s="4" t="n">
        <v>49</v>
      </c>
      <c r="E124" s="4" t="inlineStr">
        <is>
          <t>د. حسام شلش</t>
        </is>
      </c>
      <c r="F124" s="4" t="inlineStr"/>
      <c r="G124" s="4" t="inlineStr">
        <is>
          <t>نعم</t>
        </is>
      </c>
      <c r="H124" s="5" t="str">
        <f>IF(E124="","",IF(AND(F124="نعم",G124="نعم"),"جرد + مراجعة",IF(F124="نعم","جرد فقط",IF(G124="نعم","مراجعة فقط",""))))</f>
        <v>مراجعة فقط</v>
      </c>
      <c r="I124" s="9">
        <f>IF(H124="جرد + مراجعة",الإعدادات!$B$2,IF(H124="مراجعة فقط",الإعدادات!$B$3,IF(H124="جرد فقط",الإعدادات!$B$4,0)))</f>
        <v>150</v>
      </c>
    </row>
    <row r="125">
      <c r="A125" s="4" t="inlineStr">
        <is>
          <t>2026-10-11</t>
        </is>
      </c>
      <c r="B125" s="5" t="str">
        <f>IF(A125="","",IFERROR(INDEX('جدول الجرد'!$A$2:$A$29,MATCH(A125,'جدول الجرد'!$B$2:$B$29,0)),""))</f>
        <v>الأحد</v>
      </c>
      <c r="C125" s="5" t="str">
        <f>IF(A125="","",IFERROR(INDEX('جدول الجرد'!$E$2:$E$29,MATCH(A125,'جدول الجرد'!$B$2:$B$29,0)),""))</f>
        <v>رنية</v>
      </c>
      <c r="D125" s="4" t="n">
        <v>49</v>
      </c>
      <c r="E125" s="4" t="inlineStr">
        <is>
          <t>د. الحسن الغنيمي</t>
        </is>
      </c>
      <c r="F125" s="4" t="inlineStr"/>
      <c r="G125" s="4" t="inlineStr">
        <is>
          <t>نعم</t>
        </is>
      </c>
      <c r="H125" s="5" t="str">
        <f>IF(E125="","",IF(AND(F125="نعم",G125="نعم"),"جرد + مراجعة",IF(F125="نعم","جرد فقط",IF(G125="نعم","مراجعة فقط",""))))</f>
        <v>مراجعة فقط</v>
      </c>
      <c r="I125" s="9">
        <f>IF(H125="جرد + مراجعة",الإعدادات!$B$2,IF(H125="مراجعة فقط",الإعدادات!$B$3,IF(H125="جرد فقط",الإعدادات!$B$4,0)))</f>
        <v>150</v>
      </c>
    </row>
    <row r="126">
      <c r="A126" s="4" t="inlineStr">
        <is>
          <t>2026-10-11</t>
        </is>
      </c>
      <c r="B126" s="5" t="str">
        <f>IF(A126="","",IFERROR(INDEX('جدول الجرد'!$A$2:$A$29,MATCH(A126,'جدول الجرد'!$B$2:$B$29,0)),""))</f>
        <v>الأحد</v>
      </c>
      <c r="C126" s="5" t="str">
        <f>IF(A126="","",IFERROR(INDEX('جدول الجرد'!$E$2:$E$29,MATCH(A126,'جدول الجرد'!$B$2:$B$29,0)),""))</f>
        <v>رنية</v>
      </c>
      <c r="D126" s="4" t="n">
        <v>49</v>
      </c>
      <c r="E126" s="4" t="inlineStr">
        <is>
          <t>د. محمد جمال</t>
        </is>
      </c>
      <c r="F126" s="4" t="inlineStr"/>
      <c r="G126" s="4" t="inlineStr">
        <is>
          <t>نعم</t>
        </is>
      </c>
      <c r="H126" s="5" t="str">
        <f>IF(E126="","",IF(AND(F126="نعم",G126="نعم"),"جرد + مراجعة",IF(F126="نعم","جرد فقط",IF(G126="نعم","مراجعة فقط",""))))</f>
        <v>مراجعة فقط</v>
      </c>
      <c r="I126" s="9">
        <f>IF(H126="جرد + مراجعة",الإعدادات!$B$2,IF(H126="مراجعة فقط",الإعدادات!$B$3,IF(H126="جرد فقط",الإعدادات!$B$4,0)))</f>
        <v>150</v>
      </c>
    </row>
    <row r="127">
      <c r="A127" s="4" t="inlineStr">
        <is>
          <t>2026-10-13</t>
        </is>
      </c>
      <c r="B127" s="5" t="str">
        <f>IF(A127="","",IFERROR(INDEX('جدول الجرد'!$A$2:$A$29,MATCH(A127,'جدول الجرد'!$B$2:$B$29,0)),""))</f>
        <v>الثلاثاء</v>
      </c>
      <c r="C127" s="5" t="str">
        <f>IF(A127="","",IFERROR(INDEX('جدول الجرد'!$E$2:$E$29,MATCH(A127,'جدول الجرد'!$B$2:$B$29,0)),""))</f>
        <v>الخرج</v>
      </c>
      <c r="D127" s="4" t="n">
        <v>8</v>
      </c>
      <c r="E127" s="4" t="inlineStr">
        <is>
          <t>د. علي خليفة</t>
        </is>
      </c>
      <c r="F127" s="4" t="inlineStr">
        <is>
          <t>نعم</t>
        </is>
      </c>
      <c r="G127" s="4" t="inlineStr">
        <is>
          <t>نعم</t>
        </is>
      </c>
      <c r="H127" s="5" t="str">
        <f>IF(E127="","",IF(AND(F127="نعم",G127="نعم"),"جرد + مراجعة",IF(F127="نعم","جرد فقط",IF(G127="نعم","مراجعة فقط",""))))</f>
        <v>جرد + مراجعة</v>
      </c>
      <c r="I127" s="9">
        <f>IF(H127="جرد + مراجعة",الإعدادات!$B$2,IF(H127="مراجعة فقط",الإعدادات!$B$3,IF(H127="جرد فقط",الإعدادات!$B$4,0)))</f>
        <v>200</v>
      </c>
    </row>
    <row r="128">
      <c r="A128" s="4" t="inlineStr">
        <is>
          <t>2026-10-13</t>
        </is>
      </c>
      <c r="B128" s="5" t="str">
        <f>IF(A128="","",IFERROR(INDEX('جدول الجرد'!$A$2:$A$29,MATCH(A128,'جدول الجرد'!$B$2:$B$29,0)),""))</f>
        <v>الثلاثاء</v>
      </c>
      <c r="C128" s="5" t="str">
        <f>IF(A128="","",IFERROR(INDEX('جدول الجرد'!$E$2:$E$29,MATCH(A128,'جدول الجرد'!$B$2:$B$29,0)),""))</f>
        <v>الخرج</v>
      </c>
      <c r="D128" s="4" t="n">
        <v>8</v>
      </c>
      <c r="E128" s="4" t="inlineStr">
        <is>
          <t>د. السيد حسن</t>
        </is>
      </c>
      <c r="F128" s="4" t="inlineStr"/>
      <c r="G128" s="4" t="inlineStr">
        <is>
          <t>نعم</t>
        </is>
      </c>
      <c r="H128" s="5" t="str">
        <f>IF(E128="","",IF(AND(F128="نعم",G128="نعم"),"جرد + مراجعة",IF(F128="نعم","جرد فقط",IF(G128="نعم","مراجعة فقط",""))))</f>
        <v>مراجعة فقط</v>
      </c>
      <c r="I128" s="9">
        <f>IF(H128="جرد + مراجعة",الإعدادات!$B$2,IF(H128="مراجعة فقط",الإعدادات!$B$3,IF(H128="جرد فقط",الإعدادات!$B$4,0)))</f>
        <v>150</v>
      </c>
    </row>
    <row r="129">
      <c r="A129" s="4" t="inlineStr">
        <is>
          <t>2026-10-13</t>
        </is>
      </c>
      <c r="B129" s="5" t="str">
        <f>IF(A129="","",IFERROR(INDEX('جدول الجرد'!$A$2:$A$29,MATCH(A129,'جدول الجرد'!$B$2:$B$29,0)),""))</f>
        <v>الثلاثاء</v>
      </c>
      <c r="C129" s="5" t="str">
        <f>IF(A129="","",IFERROR(INDEX('جدول الجرد'!$E$2:$E$29,MATCH(A129,'جدول الجرد'!$B$2:$B$29,0)),""))</f>
        <v>الخرج</v>
      </c>
      <c r="D129" s="4" t="n">
        <v>8</v>
      </c>
      <c r="E129" s="4" t="inlineStr">
        <is>
          <t>د. محمد جمال</t>
        </is>
      </c>
      <c r="F129" s="4" t="inlineStr"/>
      <c r="G129" s="4" t="inlineStr">
        <is>
          <t>نعم</t>
        </is>
      </c>
      <c r="H129" s="5" t="str">
        <f>IF(E129="","",IF(AND(F129="نعم",G129="نعم"),"جرد + مراجعة",IF(F129="نعم","جرد فقط",IF(G129="نعم","مراجعة فقط",""))))</f>
        <v>مراجعة فقط</v>
      </c>
      <c r="I129" s="9">
        <f>IF(H129="جرد + مراجعة",الإعدادات!$B$2,IF(H129="مراجعة فقط",الإعدادات!$B$3,IF(H129="جرد فقط",الإعدادات!$B$4,0)))</f>
        <v>150</v>
      </c>
    </row>
    <row r="130">
      <c r="A130" s="4" t="inlineStr">
        <is>
          <t>2026-10-13</t>
        </is>
      </c>
      <c r="B130" s="5" t="str">
        <f>IF(A130="","",IFERROR(INDEX('جدول الجرد'!$A$2:$A$29,MATCH(A130,'جدول الجرد'!$B$2:$B$29,0)),""))</f>
        <v>الثلاثاء</v>
      </c>
      <c r="C130" s="5" t="str">
        <f>IF(A130="","",IFERROR(INDEX('جدول الجرد'!$E$2:$E$29,MATCH(A130,'جدول الجرد'!$B$2:$B$29,0)),""))</f>
        <v>الخرج</v>
      </c>
      <c r="D130" s="4" t="n">
        <v>8</v>
      </c>
      <c r="E130" s="4" t="inlineStr">
        <is>
          <t>د. حسام شلش</t>
        </is>
      </c>
      <c r="F130" s="4" t="inlineStr"/>
      <c r="G130" s="4" t="inlineStr">
        <is>
          <t>نعم</t>
        </is>
      </c>
      <c r="H130" s="5" t="str">
        <f>IF(E130="","",IF(AND(F130="نعم",G130="نعم"),"جرد + مراجعة",IF(F130="نعم","جرد فقط",IF(G130="نعم","مراجعة فقط",""))))</f>
        <v>مراجعة فقط</v>
      </c>
      <c r="I130" s="9">
        <f>IF(H130="جرد + مراجعة",الإعدادات!$B$2,IF(H130="مراجعة فقط",الإعدادات!$B$3,IF(H130="جرد فقط",الإعدادات!$B$4,0)))</f>
        <v>150</v>
      </c>
    </row>
    <row r="131">
      <c r="A131" s="4" t="inlineStr">
        <is>
          <t>2026-10-13</t>
        </is>
      </c>
      <c r="B131" s="5" t="str">
        <f>IF(A131="","",IFERROR(INDEX('جدول الجرد'!$A$2:$A$29,MATCH(A131,'جدول الجرد'!$B$2:$B$29,0)),""))</f>
        <v>الثلاثاء</v>
      </c>
      <c r="C131" s="5" t="str">
        <f>IF(A131="","",IFERROR(INDEX('جدول الجرد'!$E$2:$E$29,MATCH(A131,'جدول الجرد'!$B$2:$B$29,0)),""))</f>
        <v>الخرج</v>
      </c>
      <c r="D131" s="4" t="n">
        <v>60</v>
      </c>
      <c r="E131" s="4" t="inlineStr">
        <is>
          <t>د. علي خليفة</t>
        </is>
      </c>
      <c r="F131" s="4" t="inlineStr">
        <is>
          <t>نعم</t>
        </is>
      </c>
      <c r="G131" s="4" t="inlineStr">
        <is>
          <t>نعم</t>
        </is>
      </c>
      <c r="H131" s="5" t="str">
        <f>IF(E131="","",IF(AND(F131="نعم",G131="نعم"),"جرد + مراجعة",IF(F131="نعم","جرد فقط",IF(G131="نعم","مراجعة فقط",""))))</f>
        <v>جرد + مراجعة</v>
      </c>
      <c r="I131" s="9">
        <f>IF(H131="جرد + مراجعة",الإعدادات!$B$2,IF(H131="مراجعة فقط",الإعدادات!$B$3,IF(H131="جرد فقط",الإعدادات!$B$4,0)))</f>
        <v>200</v>
      </c>
    </row>
    <row r="132">
      <c r="A132" s="4" t="inlineStr">
        <is>
          <t>2026-10-13</t>
        </is>
      </c>
      <c r="B132" s="5" t="str">
        <f>IF(A132="","",IFERROR(INDEX('جدول الجرد'!$A$2:$A$29,MATCH(A132,'جدول الجرد'!$B$2:$B$29,0)),""))</f>
        <v>الثلاثاء</v>
      </c>
      <c r="C132" s="5" t="str">
        <f>IF(A132="","",IFERROR(INDEX('جدول الجرد'!$E$2:$E$29,MATCH(A132,'جدول الجرد'!$B$2:$B$29,0)),""))</f>
        <v>الخرج</v>
      </c>
      <c r="D132" s="4" t="n">
        <v>60</v>
      </c>
      <c r="E132" s="4" t="inlineStr">
        <is>
          <t>د. السيد حسن</t>
        </is>
      </c>
      <c r="F132" s="4" t="inlineStr"/>
      <c r="G132" s="4" t="inlineStr">
        <is>
          <t>نعم</t>
        </is>
      </c>
      <c r="H132" s="5" t="str">
        <f>IF(E132="","",IF(AND(F132="نعم",G132="نعم"),"جرد + مراجعة",IF(F132="نعم","جرد فقط",IF(G132="نعم","مراجعة فقط",""))))</f>
        <v>مراجعة فقط</v>
      </c>
      <c r="I132" s="9">
        <f>IF(H132="جرد + مراجعة",الإعدادات!$B$2,IF(H132="مراجعة فقط",الإعدادات!$B$3,IF(H132="جرد فقط",الإعدادات!$B$4,0)))</f>
        <v>150</v>
      </c>
    </row>
    <row r="133">
      <c r="A133" s="4" t="inlineStr">
        <is>
          <t>2026-10-13</t>
        </is>
      </c>
      <c r="B133" s="5" t="str">
        <f>IF(A133="","",IFERROR(INDEX('جدول الجرد'!$A$2:$A$29,MATCH(A133,'جدول الجرد'!$B$2:$B$29,0)),""))</f>
        <v>الثلاثاء</v>
      </c>
      <c r="C133" s="5" t="str">
        <f>IF(A133="","",IFERROR(INDEX('جدول الجرد'!$E$2:$E$29,MATCH(A133,'جدول الجرد'!$B$2:$B$29,0)),""))</f>
        <v>الخرج</v>
      </c>
      <c r="D133" s="4" t="n">
        <v>60</v>
      </c>
      <c r="E133" s="4" t="inlineStr">
        <is>
          <t>د. محمد جمال</t>
        </is>
      </c>
      <c r="F133" s="4" t="inlineStr"/>
      <c r="G133" s="4" t="inlineStr">
        <is>
          <t>نعم</t>
        </is>
      </c>
      <c r="H133" s="5" t="str">
        <f>IF(E133="","",IF(AND(F133="نعم",G133="نعم"),"جرد + مراجعة",IF(F133="نعم","جرد فقط",IF(G133="نعم","مراجعة فقط",""))))</f>
        <v>مراجعة فقط</v>
      </c>
      <c r="I133" s="9">
        <f>IF(H133="جرد + مراجعة",الإعدادات!$B$2,IF(H133="مراجعة فقط",الإعدادات!$B$3,IF(H133="جرد فقط",الإعدادات!$B$4,0)))</f>
        <v>150</v>
      </c>
    </row>
    <row r="134">
      <c r="A134" s="4" t="inlineStr">
        <is>
          <t>2026-10-13</t>
        </is>
      </c>
      <c r="B134" s="5" t="str">
        <f>IF(A134="","",IFERROR(INDEX('جدول الجرد'!$A$2:$A$29,MATCH(A134,'جدول الجرد'!$B$2:$B$29,0)),""))</f>
        <v>الثلاثاء</v>
      </c>
      <c r="C134" s="5" t="str">
        <f>IF(A134="","",IFERROR(INDEX('جدول الجرد'!$E$2:$E$29,MATCH(A134,'جدول الجرد'!$B$2:$B$29,0)),""))</f>
        <v>الخرج</v>
      </c>
      <c r="D134" s="4" t="n">
        <v>60</v>
      </c>
      <c r="E134" s="4" t="inlineStr">
        <is>
          <t>د. حسام شلش</t>
        </is>
      </c>
      <c r="F134" s="4" t="inlineStr"/>
      <c r="G134" s="4" t="inlineStr">
        <is>
          <t>نعم</t>
        </is>
      </c>
      <c r="H134" s="5" t="str">
        <f>IF(E134="","",IF(AND(F134="نعم",G134="نعم"),"جرد + مراجعة",IF(F134="نعم","جرد فقط",IF(G134="نعم","مراجعة فقط",""))))</f>
        <v>مراجعة فقط</v>
      </c>
      <c r="I134" s="9">
        <f>IF(H134="جرد + مراجعة",الإعدادات!$B$2,IF(H134="مراجعة فقط",الإعدادات!$B$3,IF(H134="جرد فقط",الإعدادات!$B$4,0)))</f>
        <v>150</v>
      </c>
    </row>
    <row r="135">
      <c r="A135" s="4" t="inlineStr">
        <is>
          <t>2026-10-14</t>
        </is>
      </c>
      <c r="B135" s="5" t="str">
        <f>IF(A135="","",IFERROR(INDEX('جدول الجرد'!$A$2:$A$29,MATCH(A135,'جدول الجرد'!$B$2:$B$29,0)),""))</f>
        <v>الأربعاء</v>
      </c>
      <c r="C135" s="5" t="str">
        <f>IF(A135="","",IFERROR(INDEX('جدول الجرد'!$E$2:$E$29,MATCH(A135,'جدول الجرد'!$B$2:$B$29,0)),""))</f>
        <v>الخرج</v>
      </c>
      <c r="D135" s="4" t="n">
        <v>24</v>
      </c>
      <c r="E135" s="4" t="inlineStr">
        <is>
          <t>د. حسام شلش</t>
        </is>
      </c>
      <c r="F135" s="4" t="inlineStr">
        <is>
          <t>نعم</t>
        </is>
      </c>
      <c r="G135" s="4" t="inlineStr">
        <is>
          <t>نعم</t>
        </is>
      </c>
      <c r="H135" s="5" t="str">
        <f>IF(E135="","",IF(AND(F135="نعم",G135="نعم"),"جرد + مراجعة",IF(F135="نعم","جرد فقط",IF(G135="نعم","مراجعة فقط",""))))</f>
        <v>جرد + مراجعة</v>
      </c>
      <c r="I135" s="9">
        <f>IF(H135="جرد + مراجعة",الإعدادات!$B$2,IF(H135="مراجعة فقط",الإعدادات!$B$3,IF(H135="جرد فقط",الإعدادات!$B$4,0)))</f>
        <v>200</v>
      </c>
    </row>
    <row r="136">
      <c r="A136" s="4" t="inlineStr">
        <is>
          <t>2026-10-14</t>
        </is>
      </c>
      <c r="B136" s="5" t="str">
        <f>IF(A136="","",IFERROR(INDEX('جدول الجرد'!$A$2:$A$29,MATCH(A136,'جدول الجرد'!$B$2:$B$29,0)),""))</f>
        <v>الأربعاء</v>
      </c>
      <c r="C136" s="5" t="str">
        <f>IF(A136="","",IFERROR(INDEX('جدول الجرد'!$E$2:$E$29,MATCH(A136,'جدول الجرد'!$B$2:$B$29,0)),""))</f>
        <v>الخرج</v>
      </c>
      <c r="D136" s="4" t="n">
        <v>24</v>
      </c>
      <c r="E136" s="4" t="inlineStr">
        <is>
          <t>د. علي خليفة</t>
        </is>
      </c>
      <c r="F136" s="4" t="inlineStr"/>
      <c r="G136" s="4" t="inlineStr">
        <is>
          <t>نعم</t>
        </is>
      </c>
      <c r="H136" s="5" t="str">
        <f>IF(E136="","",IF(AND(F136="نعم",G136="نعم"),"جرد + مراجعة",IF(F136="نعم","جرد فقط",IF(G136="نعم","مراجعة فقط",""))))</f>
        <v>مراجعة فقط</v>
      </c>
      <c r="I136" s="9">
        <f>IF(H136="جرد + مراجعة",الإعدادات!$B$2,IF(H136="مراجعة فقط",الإعدادات!$B$3,IF(H136="جرد فقط",الإعدادات!$B$4,0)))</f>
        <v>150</v>
      </c>
    </row>
    <row r="137">
      <c r="A137" s="4" t="inlineStr">
        <is>
          <t>2026-10-14</t>
        </is>
      </c>
      <c r="B137" s="5" t="str">
        <f>IF(A137="","",IFERROR(INDEX('جدول الجرد'!$A$2:$A$29,MATCH(A137,'جدول الجرد'!$B$2:$B$29,0)),""))</f>
        <v>الأربعاء</v>
      </c>
      <c r="C137" s="5" t="str">
        <f>IF(A137="","",IFERROR(INDEX('جدول الجرد'!$E$2:$E$29,MATCH(A137,'جدول الجرد'!$B$2:$B$29,0)),""))</f>
        <v>الخرج</v>
      </c>
      <c r="D137" s="4" t="n">
        <v>24</v>
      </c>
      <c r="E137" s="4" t="inlineStr">
        <is>
          <t>د. السيد حسن</t>
        </is>
      </c>
      <c r="F137" s="4" t="inlineStr"/>
      <c r="G137" s="4" t="inlineStr">
        <is>
          <t>نعم</t>
        </is>
      </c>
      <c r="H137" s="5" t="str">
        <f>IF(E137="","",IF(AND(F137="نعم",G137="نعم"),"جرد + مراجعة",IF(F137="نعم","جرد فقط",IF(G137="نعم","مراجعة فقط",""))))</f>
        <v>مراجعة فقط</v>
      </c>
      <c r="I137" s="9">
        <f>IF(H137="جرد + مراجعة",الإعدادات!$B$2,IF(H137="مراجعة فقط",الإعدادات!$B$3,IF(H137="جرد فقط",الإعدادات!$B$4,0)))</f>
        <v>150</v>
      </c>
    </row>
    <row r="138">
      <c r="A138" s="4" t="inlineStr">
        <is>
          <t>2026-10-14</t>
        </is>
      </c>
      <c r="B138" s="5" t="str">
        <f>IF(A138="","",IFERROR(INDEX('جدول الجرد'!$A$2:$A$29,MATCH(A138,'جدول الجرد'!$B$2:$B$29,0)),""))</f>
        <v>الأربعاء</v>
      </c>
      <c r="C138" s="5" t="str">
        <f>IF(A138="","",IFERROR(INDEX('جدول الجرد'!$E$2:$E$29,MATCH(A138,'جدول الجرد'!$B$2:$B$29,0)),""))</f>
        <v>الخرج</v>
      </c>
      <c r="D138" s="4" t="n">
        <v>27</v>
      </c>
      <c r="E138" s="4" t="inlineStr">
        <is>
          <t>د. حسام شلش</t>
        </is>
      </c>
      <c r="F138" s="4" t="inlineStr">
        <is>
          <t>نعم</t>
        </is>
      </c>
      <c r="G138" s="4" t="inlineStr">
        <is>
          <t>نعم</t>
        </is>
      </c>
      <c r="H138" s="5" t="str">
        <f>IF(E138="","",IF(AND(F138="نعم",G138="نعم"),"جرد + مراجعة",IF(F138="نعم","جرد فقط",IF(G138="نعم","مراجعة فقط",""))))</f>
        <v>جرد + مراجعة</v>
      </c>
      <c r="I138" s="9">
        <f>IF(H138="جرد + مراجعة",الإعدادات!$B$2,IF(H138="مراجعة فقط",الإعدادات!$B$3,IF(H138="جرد فقط",الإعدادات!$B$4,0)))</f>
        <v>200</v>
      </c>
    </row>
    <row r="139">
      <c r="A139" s="4" t="inlineStr">
        <is>
          <t>2026-10-14</t>
        </is>
      </c>
      <c r="B139" s="5" t="str">
        <f>IF(A139="","",IFERROR(INDEX('جدول الجرد'!$A$2:$A$29,MATCH(A139,'جدول الجرد'!$B$2:$B$29,0)),""))</f>
        <v>الأربعاء</v>
      </c>
      <c r="C139" s="5" t="str">
        <f>IF(A139="","",IFERROR(INDEX('جدول الجرد'!$E$2:$E$29,MATCH(A139,'جدول الجرد'!$B$2:$B$29,0)),""))</f>
        <v>الخرج</v>
      </c>
      <c r="D139" s="4" t="n">
        <v>27</v>
      </c>
      <c r="E139" s="4" t="inlineStr">
        <is>
          <t>د. علي خليفة</t>
        </is>
      </c>
      <c r="F139" s="4" t="inlineStr"/>
      <c r="G139" s="4" t="inlineStr">
        <is>
          <t>نعم</t>
        </is>
      </c>
      <c r="H139" s="5" t="str">
        <f>IF(E139="","",IF(AND(F139="نعم",G139="نعم"),"جرد + مراجعة",IF(F139="نعم","جرد فقط",IF(G139="نعم","مراجعة فقط",""))))</f>
        <v>مراجعة فقط</v>
      </c>
      <c r="I139" s="9">
        <f>IF(H139="جرد + مراجعة",الإعدادات!$B$2,IF(H139="مراجعة فقط",الإعدادات!$B$3,IF(H139="جرد فقط",الإعدادات!$B$4,0)))</f>
        <v>150</v>
      </c>
    </row>
    <row r="140">
      <c r="A140" s="4" t="inlineStr">
        <is>
          <t>2026-10-14</t>
        </is>
      </c>
      <c r="B140" s="5" t="str">
        <f>IF(A140="","",IFERROR(INDEX('جدول الجرد'!$A$2:$A$29,MATCH(A140,'جدول الجرد'!$B$2:$B$29,0)),""))</f>
        <v>الأربعاء</v>
      </c>
      <c r="C140" s="5" t="str">
        <f>IF(A140="","",IFERROR(INDEX('جدول الجرد'!$E$2:$E$29,MATCH(A140,'جدول الجرد'!$B$2:$B$29,0)),""))</f>
        <v>الخرج</v>
      </c>
      <c r="D140" s="4" t="n">
        <v>27</v>
      </c>
      <c r="E140" s="4" t="inlineStr">
        <is>
          <t>د. السيد حسن</t>
        </is>
      </c>
      <c r="F140" s="4" t="inlineStr"/>
      <c r="G140" s="4" t="inlineStr">
        <is>
          <t>نعم</t>
        </is>
      </c>
      <c r="H140" s="5" t="str">
        <f>IF(E140="","",IF(AND(F140="نعم",G140="نعم"),"جرد + مراجعة",IF(F140="نعم","جرد فقط",IF(G140="نعم","مراجعة فقط",""))))</f>
        <v>مراجعة فقط</v>
      </c>
      <c r="I140" s="9">
        <f>IF(H140="جرد + مراجعة",الإعدادات!$B$2,IF(H140="مراجعة فقط",الإعدادات!$B$3,IF(H140="جرد فقط",الإعدادات!$B$4,0)))</f>
        <v>150</v>
      </c>
    </row>
    <row r="141">
      <c r="A141" s="4" t="inlineStr">
        <is>
          <t>2026-10-15</t>
        </is>
      </c>
      <c r="B141" s="5" t="str">
        <f>IF(A141="","",IFERROR(INDEX('جدول الجرد'!$A$2:$A$29,MATCH(A141,'جدول الجرد'!$B$2:$B$29,0)),""))</f>
        <v>الخميس</v>
      </c>
      <c r="C141" s="5" t="str">
        <f>IF(A141="","",IFERROR(INDEX('جدول الجرد'!$E$2:$E$29,MATCH(A141,'جدول الجرد'!$B$2:$B$29,0)),""))</f>
        <v>الخرج</v>
      </c>
      <c r="D141" s="4" t="n">
        <v>11</v>
      </c>
      <c r="E141" s="4" t="inlineStr">
        <is>
          <t>د. علي خليفة</t>
        </is>
      </c>
      <c r="F141" s="4" t="inlineStr">
        <is>
          <t>نعم</t>
        </is>
      </c>
      <c r="G141" s="4" t="inlineStr">
        <is>
          <t>نعم</t>
        </is>
      </c>
      <c r="H141" s="5" t="str">
        <f>IF(E141="","",IF(AND(F141="نعم",G141="نعم"),"جرد + مراجعة",IF(F141="نعم","جرد فقط",IF(G141="نعم","مراجعة فقط",""))))</f>
        <v>جرد + مراجعة</v>
      </c>
      <c r="I141" s="9">
        <f>IF(H141="جرد + مراجعة",الإعدادات!$B$2,IF(H141="مراجعة فقط",الإعدادات!$B$3,IF(H141="جرد فقط",الإعدادات!$B$4,0)))</f>
        <v>200</v>
      </c>
    </row>
    <row r="142">
      <c r="A142" s="4" t="inlineStr">
        <is>
          <t>2026-10-15</t>
        </is>
      </c>
      <c r="B142" s="5" t="str">
        <f>IF(A142="","",IFERROR(INDEX('جدول الجرد'!$A$2:$A$29,MATCH(A142,'جدول الجرد'!$B$2:$B$29,0)),""))</f>
        <v>الخميس</v>
      </c>
      <c r="C142" s="5" t="str">
        <f>IF(A142="","",IFERROR(INDEX('جدول الجرد'!$E$2:$E$29,MATCH(A142,'جدول الجرد'!$B$2:$B$29,0)),""))</f>
        <v>الخرج</v>
      </c>
      <c r="D142" s="4" t="n">
        <v>11</v>
      </c>
      <c r="E142" s="4" t="inlineStr">
        <is>
          <t>د. حسام شلش</t>
        </is>
      </c>
      <c r="F142" s="4" t="inlineStr"/>
      <c r="G142" s="4" t="inlineStr">
        <is>
          <t>نعم</t>
        </is>
      </c>
      <c r="H142" s="5" t="str">
        <f>IF(E142="","",IF(AND(F142="نعم",G142="نعم"),"جرد + مراجعة",IF(F142="نعم","جرد فقط",IF(G142="نعم","مراجعة فقط",""))))</f>
        <v>مراجعة فقط</v>
      </c>
      <c r="I142" s="9">
        <f>IF(H142="جرد + مراجعة",الإعدادات!$B$2,IF(H142="مراجعة فقط",الإعدادات!$B$3,IF(H142="جرد فقط",الإعدادات!$B$4,0)))</f>
        <v>150</v>
      </c>
    </row>
    <row r="143">
      <c r="A143" s="4" t="inlineStr">
        <is>
          <t>2026-10-15</t>
        </is>
      </c>
      <c r="B143" s="5" t="str">
        <f>IF(A143="","",IFERROR(INDEX('جدول الجرد'!$A$2:$A$29,MATCH(A143,'جدول الجرد'!$B$2:$B$29,0)),""))</f>
        <v>الخميس</v>
      </c>
      <c r="C143" s="5" t="str">
        <f>IF(A143="","",IFERROR(INDEX('جدول الجرد'!$E$2:$E$29,MATCH(A143,'جدول الجرد'!$B$2:$B$29,0)),""))</f>
        <v>الخرج</v>
      </c>
      <c r="D143" s="4" t="n">
        <v>11</v>
      </c>
      <c r="E143" s="4" t="inlineStr">
        <is>
          <t>د. السيد حسن</t>
        </is>
      </c>
      <c r="F143" s="4" t="inlineStr"/>
      <c r="G143" s="4" t="inlineStr">
        <is>
          <t>نعم</t>
        </is>
      </c>
      <c r="H143" s="5" t="str">
        <f>IF(E143="","",IF(AND(F143="نعم",G143="نعم"),"جرد + مراجعة",IF(F143="نعم","جرد فقط",IF(G143="نعم","مراجعة فقط",""))))</f>
        <v>مراجعة فقط</v>
      </c>
      <c r="I143" s="9">
        <f>IF(H143="جرد + مراجعة",الإعدادات!$B$2,IF(H143="مراجعة فقط",الإعدادات!$B$3,IF(H143="جرد فقط",الإعدادات!$B$4,0)))</f>
        <v>150</v>
      </c>
    </row>
    <row r="144">
      <c r="A144" s="4" t="inlineStr">
        <is>
          <t>2026-10-15</t>
        </is>
      </c>
      <c r="B144" s="5" t="str">
        <f>IF(A144="","",IFERROR(INDEX('جدول الجرد'!$A$2:$A$29,MATCH(A144,'جدول الجرد'!$B$2:$B$29,0)),""))</f>
        <v>الخميس</v>
      </c>
      <c r="C144" s="5" t="str">
        <f>IF(A144="","",IFERROR(INDEX('جدول الجرد'!$E$2:$E$29,MATCH(A144,'جدول الجرد'!$B$2:$B$29,0)),""))</f>
        <v>الخرج</v>
      </c>
      <c r="D144" s="4" t="n">
        <v>40</v>
      </c>
      <c r="E144" s="4" t="inlineStr">
        <is>
          <t>د. علي خليفة</t>
        </is>
      </c>
      <c r="F144" s="4" t="inlineStr">
        <is>
          <t>نعم</t>
        </is>
      </c>
      <c r="G144" s="4" t="inlineStr">
        <is>
          <t>نعم</t>
        </is>
      </c>
      <c r="H144" s="5" t="str">
        <f>IF(E144="","",IF(AND(F144="نعم",G144="نعم"),"جرد + مراجعة",IF(F144="نعم","جرد فقط",IF(G144="نعم","مراجعة فقط",""))))</f>
        <v>جرد + مراجعة</v>
      </c>
      <c r="I144" s="9">
        <f>IF(H144="جرد + مراجعة",الإعدادات!$B$2,IF(H144="مراجعة فقط",الإعدادات!$B$3,IF(H144="جرد فقط",الإعدادات!$B$4,0)))</f>
        <v>200</v>
      </c>
    </row>
    <row r="145">
      <c r="A145" s="4" t="inlineStr">
        <is>
          <t>2026-10-15</t>
        </is>
      </c>
      <c r="B145" s="5" t="str">
        <f>IF(A145="","",IFERROR(INDEX('جدول الجرد'!$A$2:$A$29,MATCH(A145,'جدول الجرد'!$B$2:$B$29,0)),""))</f>
        <v>الخميس</v>
      </c>
      <c r="C145" s="5" t="str">
        <f>IF(A145="","",IFERROR(INDEX('جدول الجرد'!$E$2:$E$29,MATCH(A145,'جدول الجرد'!$B$2:$B$29,0)),""))</f>
        <v>الخرج</v>
      </c>
      <c r="D145" s="4" t="n">
        <v>40</v>
      </c>
      <c r="E145" s="4" t="inlineStr">
        <is>
          <t>د. حسام شلش</t>
        </is>
      </c>
      <c r="F145" s="4" t="inlineStr"/>
      <c r="G145" s="4" t="inlineStr">
        <is>
          <t>نعم</t>
        </is>
      </c>
      <c r="H145" s="5" t="str">
        <f>IF(E145="","",IF(AND(F145="نعم",G145="نعم"),"جرد + مراجعة",IF(F145="نعم","جرد فقط",IF(G145="نعم","مراجعة فقط",""))))</f>
        <v>مراجعة فقط</v>
      </c>
      <c r="I145" s="9">
        <f>IF(H145="جرد + مراجعة",الإعدادات!$B$2,IF(H145="مراجعة فقط",الإعدادات!$B$3,IF(H145="جرد فقط",الإعدادات!$B$4,0)))</f>
        <v>150</v>
      </c>
    </row>
    <row r="146">
      <c r="A146" s="4" t="inlineStr">
        <is>
          <t>2026-10-15</t>
        </is>
      </c>
      <c r="B146" s="5" t="str">
        <f>IF(A146="","",IFERROR(INDEX('جدول الجرد'!$A$2:$A$29,MATCH(A146,'جدول الجرد'!$B$2:$B$29,0)),""))</f>
        <v>الخميس</v>
      </c>
      <c r="C146" s="5" t="str">
        <f>IF(A146="","",IFERROR(INDEX('جدول الجرد'!$E$2:$E$29,MATCH(A146,'جدول الجرد'!$B$2:$B$29,0)),""))</f>
        <v>الخرج</v>
      </c>
      <c r="D146" s="4" t="n">
        <v>40</v>
      </c>
      <c r="E146" s="4" t="inlineStr">
        <is>
          <t>د. السيد حسن</t>
        </is>
      </c>
      <c r="F146" s="4" t="inlineStr"/>
      <c r="G146" s="4" t="inlineStr">
        <is>
          <t>نعم</t>
        </is>
      </c>
      <c r="H146" s="5" t="str">
        <f>IF(E146="","",IF(AND(F146="نعم",G146="نعم"),"جرد + مراجعة",IF(F146="نعم","جرد فقط",IF(G146="نعم","مراجعة فقط",""))))</f>
        <v>مراجعة فقط</v>
      </c>
      <c r="I146" s="9">
        <f>IF(H146="جرد + مراجعة",الإعدادات!$B$2,IF(H146="مراجعة فقط",الإعدادات!$B$3,IF(H146="جرد فقط",الإعدادات!$B$4,0)))</f>
        <v>150</v>
      </c>
    </row>
    <row r="147">
      <c r="A147" s="4" t="inlineStr">
        <is>
          <t>2026-10-16</t>
        </is>
      </c>
      <c r="B147" s="5" t="str">
        <f>IF(A147="","",IFERROR(INDEX('جدول الجرد'!$A$2:$A$29,MATCH(A147,'جدول الجرد'!$B$2:$B$29,0)),""))</f>
        <v>الجمعة</v>
      </c>
      <c r="C147" s="5" t="str">
        <f>IF(A147="","",IFERROR(INDEX('جدول الجرد'!$E$2:$E$29,MATCH(A147,'جدول الجرد'!$B$2:$B$29,0)),""))</f>
        <v>الخرج</v>
      </c>
      <c r="D147" s="4" t="n">
        <v>18</v>
      </c>
      <c r="E147" s="4" t="inlineStr">
        <is>
          <t>د. حسام شلش</t>
        </is>
      </c>
      <c r="F147" s="4" t="inlineStr">
        <is>
          <t>نعم</t>
        </is>
      </c>
      <c r="G147" s="4" t="inlineStr">
        <is>
          <t>نعم</t>
        </is>
      </c>
      <c r="H147" s="5" t="str">
        <f>IF(E147="","",IF(AND(F147="نعم",G147="نعم"),"جرد + مراجعة",IF(F147="نعم","جرد فقط",IF(G147="نعم","مراجعة فقط",""))))</f>
        <v>جرد + مراجعة</v>
      </c>
      <c r="I147" s="9">
        <f>IF(H147="جرد + مراجعة",الإعدادات!$B$2,IF(H147="مراجعة فقط",الإعدادات!$B$3,IF(H147="جرد فقط",الإعدادات!$B$4,0)))</f>
        <v>200</v>
      </c>
    </row>
    <row r="148">
      <c r="A148" s="4" t="inlineStr">
        <is>
          <t>2026-10-16</t>
        </is>
      </c>
      <c r="B148" s="5" t="str">
        <f>IF(A148="","",IFERROR(INDEX('جدول الجرد'!$A$2:$A$29,MATCH(A148,'جدول الجرد'!$B$2:$B$29,0)),""))</f>
        <v>الجمعة</v>
      </c>
      <c r="C148" s="5" t="str">
        <f>IF(A148="","",IFERROR(INDEX('جدول الجرد'!$E$2:$E$29,MATCH(A148,'جدول الجرد'!$B$2:$B$29,0)),""))</f>
        <v>الخرج</v>
      </c>
      <c r="D148" s="4" t="n">
        <v>18</v>
      </c>
      <c r="E148" s="4" t="inlineStr">
        <is>
          <t>د. علي خليفة</t>
        </is>
      </c>
      <c r="F148" s="4" t="inlineStr"/>
      <c r="G148" s="4" t="inlineStr">
        <is>
          <t>نعم</t>
        </is>
      </c>
      <c r="H148" s="5" t="str">
        <f>IF(E148="","",IF(AND(F148="نعم",G148="نعم"),"جرد + مراجعة",IF(F148="نعم","جرد فقط",IF(G148="نعم","مراجعة فقط",""))))</f>
        <v>مراجعة فقط</v>
      </c>
      <c r="I148" s="9">
        <f>IF(H148="جرد + مراجعة",الإعدادات!$B$2,IF(H148="مراجعة فقط",الإعدادات!$B$3,IF(H148="جرد فقط",الإعدادات!$B$4,0)))</f>
        <v>150</v>
      </c>
    </row>
    <row r="149">
      <c r="A149" s="4" t="inlineStr">
        <is>
          <t>2026-10-16</t>
        </is>
      </c>
      <c r="B149" s="5" t="str">
        <f>IF(A149="","",IFERROR(INDEX('جدول الجرد'!$A$2:$A$29,MATCH(A149,'جدول الجرد'!$B$2:$B$29,0)),""))</f>
        <v>الجمعة</v>
      </c>
      <c r="C149" s="5" t="str">
        <f>IF(A149="","",IFERROR(INDEX('جدول الجرد'!$E$2:$E$29,MATCH(A149,'جدول الجرد'!$B$2:$B$29,0)),""))</f>
        <v>الخرج</v>
      </c>
      <c r="D149" s="4" t="n">
        <v>18</v>
      </c>
      <c r="E149" s="4" t="inlineStr">
        <is>
          <t>د. الحسن الغنيمي</t>
        </is>
      </c>
      <c r="F149" s="4" t="inlineStr"/>
      <c r="G149" s="4" t="inlineStr">
        <is>
          <t>نعم</t>
        </is>
      </c>
      <c r="H149" s="5" t="str">
        <f>IF(E149="","",IF(AND(F149="نعم",G149="نعم"),"جرد + مراجعة",IF(F149="نعم","جرد فقط",IF(G149="نعم","مراجعة فقط",""))))</f>
        <v>مراجعة فقط</v>
      </c>
      <c r="I149" s="9">
        <f>IF(H149="جرد + مراجعة",الإعدادات!$B$2,IF(H149="مراجعة فقط",الإعدادات!$B$3,IF(H149="جرد فقط",الإعدادات!$B$4,0)))</f>
        <v>150</v>
      </c>
    </row>
    <row r="150">
      <c r="A150" s="4" t="inlineStr">
        <is>
          <t>2026-10-16</t>
        </is>
      </c>
      <c r="B150" s="5" t="str">
        <f>IF(A150="","",IFERROR(INDEX('جدول الجرد'!$A$2:$A$29,MATCH(A150,'جدول الجرد'!$B$2:$B$29,0)),""))</f>
        <v>الجمعة</v>
      </c>
      <c r="C150" s="5" t="str">
        <f>IF(A150="","",IFERROR(INDEX('جدول الجرد'!$E$2:$E$29,MATCH(A150,'جدول الجرد'!$B$2:$B$29,0)),""))</f>
        <v>الخرج</v>
      </c>
      <c r="D150" s="4" t="n">
        <v>18</v>
      </c>
      <c r="E150" s="4" t="inlineStr">
        <is>
          <t>د. محمد فؤاد</t>
        </is>
      </c>
      <c r="F150" s="4" t="inlineStr"/>
      <c r="G150" s="4" t="inlineStr">
        <is>
          <t>نعم</t>
        </is>
      </c>
      <c r="H150" s="5" t="str">
        <f>IF(E150="","",IF(AND(F150="نعم",G150="نعم"),"جرد + مراجعة",IF(F150="نعم","جرد فقط",IF(G150="نعم","مراجعة فقط",""))))</f>
        <v>مراجعة فقط</v>
      </c>
      <c r="I150" s="9">
        <f>IF(H150="جرد + مراجعة",الإعدادات!$B$2,IF(H150="مراجعة فقط",الإعدادات!$B$3,IF(H150="جرد فقط",الإعدادات!$B$4,0)))</f>
        <v>150</v>
      </c>
    </row>
    <row r="151">
      <c r="A151" s="4" t="inlineStr">
        <is>
          <t>2026-10-17</t>
        </is>
      </c>
      <c r="B151" s="5" t="str">
        <f>IF(A151="","",IFERROR(INDEX('جدول الجرد'!$A$2:$A$29,MATCH(A151,'جدول الجرد'!$B$2:$B$29,0)),""))</f>
        <v>السبت</v>
      </c>
      <c r="C151" s="5" t="str">
        <f>IF(A151="","",IFERROR(INDEX('جدول الجرد'!$E$2:$E$29,MATCH(A151,'جدول الجرد'!$B$2:$B$29,0)),""))</f>
        <v>الخرج</v>
      </c>
      <c r="D151" s="4" t="n">
        <v>19</v>
      </c>
      <c r="E151" s="4" t="inlineStr">
        <is>
          <t>د. علي خليفة</t>
        </is>
      </c>
      <c r="F151" s="4" t="inlineStr">
        <is>
          <t>نعم</t>
        </is>
      </c>
      <c r="G151" s="4" t="inlineStr">
        <is>
          <t>نعم</t>
        </is>
      </c>
      <c r="H151" s="5" t="str">
        <f>IF(E151="","",IF(AND(F151="نعم",G151="نعم"),"جرد + مراجعة",IF(F151="نعم","جرد فقط",IF(G151="نعم","مراجعة فقط",""))))</f>
        <v>جرد + مراجعة</v>
      </c>
      <c r="I151" s="9">
        <f>IF(H151="جرد + مراجعة",الإعدادات!$B$2,IF(H151="مراجعة فقط",الإعدادات!$B$3,IF(H151="جرد فقط",الإعدادات!$B$4,0)))</f>
        <v>200</v>
      </c>
    </row>
    <row r="152">
      <c r="A152" s="4" t="inlineStr">
        <is>
          <t>2026-10-17</t>
        </is>
      </c>
      <c r="B152" s="5" t="str">
        <f>IF(A152="","",IFERROR(INDEX('جدول الجرد'!$A$2:$A$29,MATCH(A152,'جدول الجرد'!$B$2:$B$29,0)),""))</f>
        <v>السبت</v>
      </c>
      <c r="C152" s="5" t="str">
        <f>IF(A152="","",IFERROR(INDEX('جدول الجرد'!$E$2:$E$29,MATCH(A152,'جدول الجرد'!$B$2:$B$29,0)),""))</f>
        <v>الخرج</v>
      </c>
      <c r="D152" s="4" t="n">
        <v>19</v>
      </c>
      <c r="E152" s="4" t="inlineStr">
        <is>
          <t>د. السيد حسن</t>
        </is>
      </c>
      <c r="F152" s="4" t="inlineStr"/>
      <c r="G152" s="4" t="inlineStr">
        <is>
          <t>نعم</t>
        </is>
      </c>
      <c r="H152" s="5" t="str">
        <f>IF(E152="","",IF(AND(F152="نعم",G152="نعم"),"جرد + مراجعة",IF(F152="نعم","جرد فقط",IF(G152="نعم","مراجعة فقط",""))))</f>
        <v>مراجعة فقط</v>
      </c>
      <c r="I152" s="9">
        <f>IF(H152="جرد + مراجعة",الإعدادات!$B$2,IF(H152="مراجعة فقط",الإعدادات!$B$3,IF(H152="جرد فقط",الإعدادات!$B$4,0)))</f>
        <v>150</v>
      </c>
    </row>
    <row r="153">
      <c r="A153" s="4" t="inlineStr">
        <is>
          <t>2026-10-17</t>
        </is>
      </c>
      <c r="B153" s="5" t="str">
        <f>IF(A153="","",IFERROR(INDEX('جدول الجرد'!$A$2:$A$29,MATCH(A153,'جدول الجرد'!$B$2:$B$29,0)),""))</f>
        <v>السبت</v>
      </c>
      <c r="C153" s="5" t="str">
        <f>IF(A153="","",IFERROR(INDEX('جدول الجرد'!$E$2:$E$29,MATCH(A153,'جدول الجرد'!$B$2:$B$29,0)),""))</f>
        <v>الخرج</v>
      </c>
      <c r="D153" s="4" t="n">
        <v>19</v>
      </c>
      <c r="E153" s="4" t="inlineStr">
        <is>
          <t>د. حسام شلش</t>
        </is>
      </c>
      <c r="F153" s="4" t="inlineStr"/>
      <c r="G153" s="4" t="inlineStr">
        <is>
          <t>نعم</t>
        </is>
      </c>
      <c r="H153" s="5" t="str">
        <f>IF(E153="","",IF(AND(F153="نعم",G153="نعم"),"جرد + مراجعة",IF(F153="نعم","جرد فقط",IF(G153="نعم","مراجعة فقط",""))))</f>
        <v>مراجعة فقط</v>
      </c>
      <c r="I153" s="9">
        <f>IF(H153="جرد + مراجعة",الإعدادات!$B$2,IF(H153="مراجعة فقط",الإعدادات!$B$3,IF(H153="جرد فقط",الإعدادات!$B$4,0)))</f>
        <v>150</v>
      </c>
    </row>
    <row r="154">
      <c r="A154" s="4" t="inlineStr">
        <is>
          <t>2026-10-18</t>
        </is>
      </c>
      <c r="B154" s="5" t="str">
        <f>IF(A154="","",IFERROR(INDEX('جدول الجرد'!$A$2:$A$29,MATCH(A154,'جدول الجرد'!$B$2:$B$29,0)),""))</f>
        <v>الأحد</v>
      </c>
      <c r="C154" s="5" t="str">
        <f>IF(A154="","",IFERROR(INDEX('جدول الجرد'!$E$2:$E$29,MATCH(A154,'جدول الجرد'!$B$2:$B$29,0)),""))</f>
        <v>الخرج</v>
      </c>
      <c r="D154" s="4" t="n">
        <v>14</v>
      </c>
      <c r="E154" s="4" t="inlineStr">
        <is>
          <t>د. حسام شلش</t>
        </is>
      </c>
      <c r="F154" s="4" t="inlineStr">
        <is>
          <t>نعم</t>
        </is>
      </c>
      <c r="G154" s="4" t="inlineStr">
        <is>
          <t>نعم</t>
        </is>
      </c>
      <c r="H154" s="5" t="str">
        <f>IF(E154="","",IF(AND(F154="نعم",G154="نعم"),"جرد + مراجعة",IF(F154="نعم","جرد فقط",IF(G154="نعم","مراجعة فقط",""))))</f>
        <v>جرد + مراجعة</v>
      </c>
      <c r="I154" s="9">
        <f>IF(H154="جرد + مراجعة",الإعدادات!$B$2,IF(H154="مراجعة فقط",الإعدادات!$B$3,IF(H154="جرد فقط",الإعدادات!$B$4,0)))</f>
        <v>200</v>
      </c>
    </row>
    <row r="155">
      <c r="A155" s="4" t="inlineStr">
        <is>
          <t>2026-10-18</t>
        </is>
      </c>
      <c r="B155" s="5" t="str">
        <f>IF(A155="","",IFERROR(INDEX('جدول الجرد'!$A$2:$A$29,MATCH(A155,'جدول الجرد'!$B$2:$B$29,0)),""))</f>
        <v>الأحد</v>
      </c>
      <c r="C155" s="5" t="str">
        <f>IF(A155="","",IFERROR(INDEX('جدول الجرد'!$E$2:$E$29,MATCH(A155,'جدول الجرد'!$B$2:$B$29,0)),""))</f>
        <v>الخرج</v>
      </c>
      <c r="D155" s="4" t="n">
        <v>14</v>
      </c>
      <c r="E155" s="4" t="inlineStr">
        <is>
          <t>د. علي خليفة</t>
        </is>
      </c>
      <c r="F155" s="4" t="inlineStr"/>
      <c r="G155" s="4" t="inlineStr">
        <is>
          <t>نعم</t>
        </is>
      </c>
      <c r="H155" s="5" t="str">
        <f>IF(E155="","",IF(AND(F155="نعم",G155="نعم"),"جرد + مراجعة",IF(F155="نعم","جرد فقط",IF(G155="نعم","مراجعة فقط",""))))</f>
        <v>مراجعة فقط</v>
      </c>
      <c r="I155" s="9">
        <f>IF(H155="جرد + مراجعة",الإعدادات!$B$2,IF(H155="مراجعة فقط",الإعدادات!$B$3,IF(H155="جرد فقط",الإعدادات!$B$4,0)))</f>
        <v>150</v>
      </c>
    </row>
    <row r="156">
      <c r="A156" s="4" t="inlineStr">
        <is>
          <t>2026-10-18</t>
        </is>
      </c>
      <c r="B156" s="5" t="str">
        <f>IF(A156="","",IFERROR(INDEX('جدول الجرد'!$A$2:$A$29,MATCH(A156,'جدول الجرد'!$B$2:$B$29,0)),""))</f>
        <v>الأحد</v>
      </c>
      <c r="C156" s="5" t="str">
        <f>IF(A156="","",IFERROR(INDEX('جدول الجرد'!$E$2:$E$29,MATCH(A156,'جدول الجرد'!$B$2:$B$29,0)),""))</f>
        <v>الخرج</v>
      </c>
      <c r="D156" s="4" t="n">
        <v>14</v>
      </c>
      <c r="E156" s="4" t="inlineStr">
        <is>
          <t>د. السيد حسن</t>
        </is>
      </c>
      <c r="F156" s="4" t="inlineStr"/>
      <c r="G156" s="4" t="inlineStr">
        <is>
          <t>نعم</t>
        </is>
      </c>
      <c r="H156" s="5" t="str">
        <f>IF(E156="","",IF(AND(F156="نعم",G156="نعم"),"جرد + مراجعة",IF(F156="نعم","جرد فقط",IF(G156="نعم","مراجعة فقط",""))))</f>
        <v>مراجعة فقط</v>
      </c>
      <c r="I156" s="9">
        <f>IF(H156="جرد + مراجعة",الإعدادات!$B$2,IF(H156="مراجعة فقط",الإعدادات!$B$3,IF(H156="جرد فقط",الإعدادات!$B$4,0)))</f>
        <v>150</v>
      </c>
    </row>
    <row r="157">
      <c r="A157" s="4" t="inlineStr">
        <is>
          <t>2026-10-19</t>
        </is>
      </c>
      <c r="B157" s="5" t="str">
        <f>IF(A157="","",IFERROR(INDEX('جدول الجرد'!$A$2:$A$29,MATCH(A157,'جدول الجرد'!$B$2:$B$29,0)),""))</f>
        <v>الاثنين</v>
      </c>
      <c r="C157" s="5" t="str">
        <f>IF(A157="","",IFERROR(INDEX('جدول الجرد'!$E$2:$E$29,MATCH(A157,'جدول الجرد'!$B$2:$B$29,0)),""))</f>
        <v>الرياض</v>
      </c>
      <c r="D157" s="4" t="n">
        <v>42</v>
      </c>
      <c r="E157" s="4" t="inlineStr">
        <is>
          <t>د. علي خليفة</t>
        </is>
      </c>
      <c r="F157" s="4" t="inlineStr">
        <is>
          <t>نعم</t>
        </is>
      </c>
      <c r="G157" s="4" t="inlineStr">
        <is>
          <t>نعم</t>
        </is>
      </c>
      <c r="H157" s="5" t="str">
        <f>IF(E157="","",IF(AND(F157="نعم",G157="نعم"),"جرد + مراجعة",IF(F157="نعم","جرد فقط",IF(G157="نعم","مراجعة فقط",""))))</f>
        <v>جرد + مراجعة</v>
      </c>
      <c r="I157" s="9">
        <f>IF(H157="جرد + مراجعة",الإعدادات!$B$2,IF(H157="مراجعة فقط",الإعدادات!$B$3,IF(H157="جرد فقط",الإعدادات!$B$4,0)))</f>
        <v>200</v>
      </c>
    </row>
    <row r="158">
      <c r="A158" s="4" t="inlineStr">
        <is>
          <t>2026-10-19</t>
        </is>
      </c>
      <c r="B158" s="5" t="str">
        <f>IF(A158="","",IFERROR(INDEX('جدول الجرد'!$A$2:$A$29,MATCH(A158,'جدول الجرد'!$B$2:$B$29,0)),""))</f>
        <v>الاثنين</v>
      </c>
      <c r="C158" s="5" t="str">
        <f>IF(A158="","",IFERROR(INDEX('جدول الجرد'!$E$2:$E$29,MATCH(A158,'جدول الجرد'!$B$2:$B$29,0)),""))</f>
        <v>الرياض</v>
      </c>
      <c r="D158" s="4" t="n">
        <v>42</v>
      </c>
      <c r="E158" s="4" t="inlineStr">
        <is>
          <t>د. حسام شلش</t>
        </is>
      </c>
      <c r="F158" s="4" t="inlineStr"/>
      <c r="G158" s="4" t="inlineStr">
        <is>
          <t>نعم</t>
        </is>
      </c>
      <c r="H158" s="5" t="str">
        <f>IF(E158="","",IF(AND(F158="نعم",G158="نعم"),"جرد + مراجعة",IF(F158="نعم","جرد فقط",IF(G158="نعم","مراجعة فقط",""))))</f>
        <v>مراجعة فقط</v>
      </c>
      <c r="I158" s="9">
        <f>IF(H158="جرد + مراجعة",الإعدادات!$B$2,IF(H158="مراجعة فقط",الإعدادات!$B$3,IF(H158="جرد فقط",الإعدادات!$B$4,0)))</f>
        <v>150</v>
      </c>
    </row>
    <row r="159">
      <c r="A159" s="4" t="inlineStr">
        <is>
          <t>2026-10-19</t>
        </is>
      </c>
      <c r="B159" s="5" t="str">
        <f>IF(A159="","",IFERROR(INDEX('جدول الجرد'!$A$2:$A$29,MATCH(A159,'جدول الجرد'!$B$2:$B$29,0)),""))</f>
        <v>الاثنين</v>
      </c>
      <c r="C159" s="5" t="str">
        <f>IF(A159="","",IFERROR(INDEX('جدول الجرد'!$E$2:$E$29,MATCH(A159,'جدول الجرد'!$B$2:$B$29,0)),""))</f>
        <v>الرياض</v>
      </c>
      <c r="D159" s="4" t="n">
        <v>42</v>
      </c>
      <c r="E159" s="4" t="inlineStr">
        <is>
          <t>د. السيد حسن</t>
        </is>
      </c>
      <c r="F159" s="4" t="inlineStr"/>
      <c r="G159" s="4" t="inlineStr">
        <is>
          <t>نعم</t>
        </is>
      </c>
      <c r="H159" s="5" t="str">
        <f>IF(E159="","",IF(AND(F159="نعم",G159="نعم"),"جرد + مراجعة",IF(F159="نعم","جرد فقط",IF(G159="نعم","مراجعة فقط",""))))</f>
        <v>مراجعة فقط</v>
      </c>
      <c r="I159" s="9">
        <f>IF(H159="جرد + مراجعة",الإعدادات!$B$2,IF(H159="مراجعة فقط",الإعدادات!$B$3,IF(H159="جرد فقط",الإعدادات!$B$4,0)))</f>
        <v>150</v>
      </c>
    </row>
    <row r="160">
      <c r="A160" s="4" t="inlineStr">
        <is>
          <t>2026-10-19</t>
        </is>
      </c>
      <c r="B160" s="5" t="str">
        <f>IF(A160="","",IFERROR(INDEX('جدول الجرد'!$A$2:$A$29,MATCH(A160,'جدول الجرد'!$B$2:$B$29,0)),""))</f>
        <v>الاثنين</v>
      </c>
      <c r="C160" s="5" t="str">
        <f>IF(A160="","",IFERROR(INDEX('جدول الجرد'!$E$2:$E$29,MATCH(A160,'جدول الجرد'!$B$2:$B$29,0)),""))</f>
        <v>الرياض</v>
      </c>
      <c r="D160" s="4" t="n">
        <v>44</v>
      </c>
      <c r="E160" s="4" t="inlineStr">
        <is>
          <t>د. علي خليفة</t>
        </is>
      </c>
      <c r="F160" s="4" t="inlineStr">
        <is>
          <t>نعم</t>
        </is>
      </c>
      <c r="G160" s="4" t="inlineStr">
        <is>
          <t>نعم</t>
        </is>
      </c>
      <c r="H160" s="5" t="str">
        <f>IF(E160="","",IF(AND(F160="نعم",G160="نعم"),"جرد + مراجعة",IF(F160="نعم","جرد فقط",IF(G160="نعم","مراجعة فقط",""))))</f>
        <v>جرد + مراجعة</v>
      </c>
      <c r="I160" s="9">
        <f>IF(H160="جرد + مراجعة",الإعدادات!$B$2,IF(H160="مراجعة فقط",الإعدادات!$B$3,IF(H160="جرد فقط",الإعدادات!$B$4,0)))</f>
        <v>200</v>
      </c>
    </row>
    <row r="161">
      <c r="A161" s="4" t="inlineStr">
        <is>
          <t>2026-10-19</t>
        </is>
      </c>
      <c r="B161" s="5" t="str">
        <f>IF(A161="","",IFERROR(INDEX('جدول الجرد'!$A$2:$A$29,MATCH(A161,'جدول الجرد'!$B$2:$B$29,0)),""))</f>
        <v>الاثنين</v>
      </c>
      <c r="C161" s="5" t="str">
        <f>IF(A161="","",IFERROR(INDEX('جدول الجرد'!$E$2:$E$29,MATCH(A161,'جدول الجرد'!$B$2:$B$29,0)),""))</f>
        <v>الرياض</v>
      </c>
      <c r="D161" s="4" t="n">
        <v>44</v>
      </c>
      <c r="E161" s="4" t="inlineStr">
        <is>
          <t>د. حسام شلش</t>
        </is>
      </c>
      <c r="F161" s="4" t="inlineStr"/>
      <c r="G161" s="4" t="inlineStr">
        <is>
          <t>نعم</t>
        </is>
      </c>
      <c r="H161" s="5" t="str">
        <f>IF(E161="","",IF(AND(F161="نعم",G161="نعم"),"جرد + مراجعة",IF(F161="نعم","جرد فقط",IF(G161="نعم","مراجعة فقط",""))))</f>
        <v>مراجعة فقط</v>
      </c>
      <c r="I161" s="9">
        <f>IF(H161="جرد + مراجعة",الإعدادات!$B$2,IF(H161="مراجعة فقط",الإعدادات!$B$3,IF(H161="جرد فقط",الإعدادات!$B$4,0)))</f>
        <v>150</v>
      </c>
    </row>
    <row r="162">
      <c r="A162" s="4" t="inlineStr">
        <is>
          <t>2026-10-19</t>
        </is>
      </c>
      <c r="B162" s="5" t="str">
        <f>IF(A162="","",IFERROR(INDEX('جدول الجرد'!$A$2:$A$29,MATCH(A162,'جدول الجرد'!$B$2:$B$29,0)),""))</f>
        <v>الاثنين</v>
      </c>
      <c r="C162" s="5" t="str">
        <f>IF(A162="","",IFERROR(INDEX('جدول الجرد'!$E$2:$E$29,MATCH(A162,'جدول الجرد'!$B$2:$B$29,0)),""))</f>
        <v>الرياض</v>
      </c>
      <c r="D162" s="4" t="n">
        <v>44</v>
      </c>
      <c r="E162" s="4" t="inlineStr">
        <is>
          <t>د. السيد حسن</t>
        </is>
      </c>
      <c r="F162" s="4" t="inlineStr"/>
      <c r="G162" s="4" t="inlineStr">
        <is>
          <t>نعم</t>
        </is>
      </c>
      <c r="H162" s="5" t="str">
        <f>IF(E162="","",IF(AND(F162="نعم",G162="نعم"),"جرد + مراجعة",IF(F162="نعم","جرد فقط",IF(G162="نعم","مراجعة فقط",""))))</f>
        <v>مراجعة فقط</v>
      </c>
      <c r="I162" s="9">
        <f>IF(H162="جرد + مراجعة",الإعدادات!$B$2,IF(H162="مراجعة فقط",الإعدادات!$B$3,IF(H162="جرد فقط",الإعدادات!$B$4,0)))</f>
        <v>150</v>
      </c>
    </row>
    <row r="163">
      <c r="A163" s="4" t="inlineStr">
        <is>
          <t>2026-10-20</t>
        </is>
      </c>
      <c r="B163" s="5" t="str">
        <f>IF(A163="","",IFERROR(INDEX('جدول الجرد'!$A$2:$A$29,MATCH(A163,'جدول الجرد'!$B$2:$B$29,0)),""))</f>
        <v>الثلاثاء</v>
      </c>
      <c r="C163" s="5" t="str">
        <f>IF(A163="","",IFERROR(INDEX('جدول الجرد'!$E$2:$E$29,MATCH(A163,'جدول الجرد'!$B$2:$B$29,0)),""))</f>
        <v>الرياض</v>
      </c>
      <c r="D163" s="4" t="n">
        <v>43</v>
      </c>
      <c r="E163" s="4" t="inlineStr">
        <is>
          <t>د. حسام شلش</t>
        </is>
      </c>
      <c r="F163" s="4" t="inlineStr">
        <is>
          <t>نعم</t>
        </is>
      </c>
      <c r="G163" s="4" t="inlineStr">
        <is>
          <t>نعم</t>
        </is>
      </c>
      <c r="H163" s="5" t="str">
        <f>IF(E163="","",IF(AND(F163="نعم",G163="نعم"),"جرد + مراجعة",IF(F163="نعم","جرد فقط",IF(G163="نعم","مراجعة فقط",""))))</f>
        <v>جرد + مراجعة</v>
      </c>
      <c r="I163" s="9">
        <f>IF(H163="جرد + مراجعة",الإعدادات!$B$2,IF(H163="مراجعة فقط",الإعدادات!$B$3,IF(H163="جرد فقط",الإعدادات!$B$4,0)))</f>
        <v>200</v>
      </c>
    </row>
    <row r="164">
      <c r="A164" s="4" t="inlineStr">
        <is>
          <t>2026-10-20</t>
        </is>
      </c>
      <c r="B164" s="5" t="str">
        <f>IF(A164="","",IFERROR(INDEX('جدول الجرد'!$A$2:$A$29,MATCH(A164,'جدول الجرد'!$B$2:$B$29,0)),""))</f>
        <v>الثلاثاء</v>
      </c>
      <c r="C164" s="5" t="str">
        <f>IF(A164="","",IFERROR(INDEX('جدول الجرد'!$E$2:$E$29,MATCH(A164,'جدول الجرد'!$B$2:$B$29,0)),""))</f>
        <v>الرياض</v>
      </c>
      <c r="D164" s="4" t="n">
        <v>43</v>
      </c>
      <c r="E164" s="4" t="inlineStr">
        <is>
          <t>د. السيد حسن</t>
        </is>
      </c>
      <c r="F164" s="4" t="inlineStr"/>
      <c r="G164" s="4" t="inlineStr">
        <is>
          <t>نعم</t>
        </is>
      </c>
      <c r="H164" s="5" t="str">
        <f>IF(E164="","",IF(AND(F164="نعم",G164="نعم"),"جرد + مراجعة",IF(F164="نعم","جرد فقط",IF(G164="نعم","مراجعة فقط",""))))</f>
        <v>مراجعة فقط</v>
      </c>
      <c r="I164" s="9">
        <f>IF(H164="جرد + مراجعة",الإعدادات!$B$2,IF(H164="مراجعة فقط",الإعدادات!$B$3,IF(H164="جرد فقط",الإعدادات!$B$4,0)))</f>
        <v>150</v>
      </c>
    </row>
    <row r="165">
      <c r="A165" s="4" t="inlineStr">
        <is>
          <t>2026-10-20</t>
        </is>
      </c>
      <c r="B165" s="5" t="str">
        <f>IF(A165="","",IFERROR(INDEX('جدول الجرد'!$A$2:$A$29,MATCH(A165,'جدول الجرد'!$B$2:$B$29,0)),""))</f>
        <v>الثلاثاء</v>
      </c>
      <c r="C165" s="5" t="str">
        <f>IF(A165="","",IFERROR(INDEX('جدول الجرد'!$E$2:$E$29,MATCH(A165,'جدول الجرد'!$B$2:$B$29,0)),""))</f>
        <v>الرياض</v>
      </c>
      <c r="D165" s="4" t="n">
        <v>45</v>
      </c>
      <c r="E165" s="4" t="inlineStr">
        <is>
          <t>د. حسام شلش</t>
        </is>
      </c>
      <c r="F165" s="4" t="inlineStr">
        <is>
          <t>نعم</t>
        </is>
      </c>
      <c r="G165" s="4" t="inlineStr">
        <is>
          <t>نعم</t>
        </is>
      </c>
      <c r="H165" s="5" t="str">
        <f>IF(E165="","",IF(AND(F165="نعم",G165="نعم"),"جرد + مراجعة",IF(F165="نعم","جرد فقط",IF(G165="نعم","مراجعة فقط",""))))</f>
        <v>جرد + مراجعة</v>
      </c>
      <c r="I165" s="9">
        <f>IF(H165="جرد + مراجعة",الإعدادات!$B$2,IF(H165="مراجعة فقط",الإعدادات!$B$3,IF(H165="جرد فقط",الإعدادات!$B$4,0)))</f>
        <v>200</v>
      </c>
    </row>
    <row r="166">
      <c r="A166" s="4" t="inlineStr">
        <is>
          <t>2026-10-20</t>
        </is>
      </c>
      <c r="B166" s="5" t="str">
        <f>IF(A166="","",IFERROR(INDEX('جدول الجرد'!$A$2:$A$29,MATCH(A166,'جدول الجرد'!$B$2:$B$29,0)),""))</f>
        <v>الثلاثاء</v>
      </c>
      <c r="C166" s="5" t="str">
        <f>IF(A166="","",IFERROR(INDEX('جدول الجرد'!$E$2:$E$29,MATCH(A166,'جدول الجرد'!$B$2:$B$29,0)),""))</f>
        <v>الرياض</v>
      </c>
      <c r="D166" s="4" t="n">
        <v>45</v>
      </c>
      <c r="E166" s="4" t="inlineStr">
        <is>
          <t>د. السيد حسن</t>
        </is>
      </c>
      <c r="F166" s="4" t="inlineStr"/>
      <c r="G166" s="4" t="inlineStr">
        <is>
          <t>نعم</t>
        </is>
      </c>
      <c r="H166" s="5" t="str">
        <f>IF(E166="","",IF(AND(F166="نعم",G166="نعم"),"جرد + مراجعة",IF(F166="نعم","جرد فقط",IF(G166="نعم","مراجعة فقط",""))))</f>
        <v>مراجعة فقط</v>
      </c>
      <c r="I166" s="9">
        <f>IF(H166="جرد + مراجعة",الإعدادات!$B$2,IF(H166="مراجعة فقط",الإعدادات!$B$3,IF(H166="جرد فقط",الإعدادات!$B$4,0)))</f>
        <v>150</v>
      </c>
    </row>
    <row r="167">
      <c r="A167" s="4" t="inlineStr">
        <is>
          <t>2026-10-21</t>
        </is>
      </c>
      <c r="B167" s="5" t="str">
        <f>IF(A167="","",IFERROR(INDEX('جدول الجرد'!$A$2:$A$29,MATCH(A167,'جدول الجرد'!$B$2:$B$29,0)),""))</f>
        <v>الأربعاء</v>
      </c>
      <c r="C167" s="5" t="str">
        <f>IF(A167="","",IFERROR(INDEX('جدول الجرد'!$E$2:$E$29,MATCH(A167,'جدول الجرد'!$B$2:$B$29,0)),""))</f>
        <v>الرياض</v>
      </c>
      <c r="D167" s="4" t="n">
        <v>23</v>
      </c>
      <c r="E167" s="4" t="inlineStr">
        <is>
          <t>د. علي خليفة</t>
        </is>
      </c>
      <c r="F167" s="4" t="inlineStr">
        <is>
          <t>نعم</t>
        </is>
      </c>
      <c r="G167" s="4" t="inlineStr">
        <is>
          <t>نعم</t>
        </is>
      </c>
      <c r="H167" s="5" t="str">
        <f>IF(E167="","",IF(AND(F167="نعم",G167="نعم"),"جرد + مراجعة",IF(F167="نعم","جرد فقط",IF(G167="نعم","مراجعة فقط",""))))</f>
        <v>جرد + مراجعة</v>
      </c>
      <c r="I167" s="9">
        <f>IF(H167="جرد + مراجعة",الإعدادات!$B$2,IF(H167="مراجعة فقط",الإعدادات!$B$3,IF(H167="جرد فقط",الإعدادات!$B$4,0)))</f>
        <v>200</v>
      </c>
    </row>
    <row r="168">
      <c r="A168" s="4" t="inlineStr">
        <is>
          <t>2026-10-21</t>
        </is>
      </c>
      <c r="B168" s="5" t="str">
        <f>IF(A168="","",IFERROR(INDEX('جدول الجرد'!$A$2:$A$29,MATCH(A168,'جدول الجرد'!$B$2:$B$29,0)),""))</f>
        <v>الأربعاء</v>
      </c>
      <c r="C168" s="5" t="str">
        <f>IF(A168="","",IFERROR(INDEX('جدول الجرد'!$E$2:$E$29,MATCH(A168,'جدول الجرد'!$B$2:$B$29,0)),""))</f>
        <v>الرياض</v>
      </c>
      <c r="D168" s="4" t="n">
        <v>23</v>
      </c>
      <c r="E168" s="4" t="inlineStr">
        <is>
          <t>د. حسام شلش</t>
        </is>
      </c>
      <c r="F168" s="4" t="inlineStr"/>
      <c r="G168" s="4" t="inlineStr">
        <is>
          <t>نعم</t>
        </is>
      </c>
      <c r="H168" s="5" t="str">
        <f>IF(E168="","",IF(AND(F168="نعم",G168="نعم"),"جرد + مراجعة",IF(F168="نعم","جرد فقط",IF(G168="نعم","مراجعة فقط",""))))</f>
        <v>مراجعة فقط</v>
      </c>
      <c r="I168" s="9">
        <f>IF(H168="جرد + مراجعة",الإعدادات!$B$2,IF(H168="مراجعة فقط",الإعدادات!$B$3,IF(H168="جرد فقط",الإعدادات!$B$4,0)))</f>
        <v>150</v>
      </c>
    </row>
    <row r="169">
      <c r="A169" s="4" t="inlineStr">
        <is>
          <t>2026-10-21</t>
        </is>
      </c>
      <c r="B169" s="5" t="str">
        <f>IF(A169="","",IFERROR(INDEX('جدول الجرد'!$A$2:$A$29,MATCH(A169,'جدول الجرد'!$B$2:$B$29,0)),""))</f>
        <v>الأربعاء</v>
      </c>
      <c r="C169" s="5" t="str">
        <f>IF(A169="","",IFERROR(INDEX('جدول الجرد'!$E$2:$E$29,MATCH(A169,'جدول الجرد'!$B$2:$B$29,0)),""))</f>
        <v>الرياض</v>
      </c>
      <c r="D169" s="4" t="n">
        <v>23</v>
      </c>
      <c r="E169" s="4" t="inlineStr">
        <is>
          <t>د. السيد حسن</t>
        </is>
      </c>
      <c r="F169" s="4" t="inlineStr"/>
      <c r="G169" s="4" t="inlineStr">
        <is>
          <t>نعم</t>
        </is>
      </c>
      <c r="H169" s="5" t="str">
        <f>IF(E169="","",IF(AND(F169="نعم",G169="نعم"),"جرد + مراجعة",IF(F169="نعم","جرد فقط",IF(G169="نعم","مراجعة فقط",""))))</f>
        <v>مراجعة فقط</v>
      </c>
      <c r="I169" s="9">
        <f>IF(H169="جرد + مراجعة",الإعدادات!$B$2,IF(H169="مراجعة فقط",الإعدادات!$B$3,IF(H169="جرد فقط",الإعدادات!$B$4,0)))</f>
        <v>150</v>
      </c>
    </row>
    <row r="170">
      <c r="A170" s="4" t="inlineStr">
        <is>
          <t>2026-10-21</t>
        </is>
      </c>
      <c r="B170" s="5" t="str">
        <f>IF(A170="","",IFERROR(INDEX('جدول الجرد'!$A$2:$A$29,MATCH(A170,'جدول الجرد'!$B$2:$B$29,0)),""))</f>
        <v>الأربعاء</v>
      </c>
      <c r="C170" s="5" t="str">
        <f>IF(A170="","",IFERROR(INDEX('جدول الجرد'!$E$2:$E$29,MATCH(A170,'جدول الجرد'!$B$2:$B$29,0)),""))</f>
        <v>الرياض</v>
      </c>
      <c r="D170" s="4" t="n">
        <v>58</v>
      </c>
      <c r="E170" s="4" t="inlineStr">
        <is>
          <t>د. علي خليفة</t>
        </is>
      </c>
      <c r="F170" s="4" t="inlineStr">
        <is>
          <t>نعم</t>
        </is>
      </c>
      <c r="G170" s="4" t="inlineStr">
        <is>
          <t>نعم</t>
        </is>
      </c>
      <c r="H170" s="5" t="str">
        <f>IF(E170="","",IF(AND(F170="نعم",G170="نعم"),"جرد + مراجعة",IF(F170="نعم","جرد فقط",IF(G170="نعم","مراجعة فقط",""))))</f>
        <v>جرد + مراجعة</v>
      </c>
      <c r="I170" s="9">
        <f>IF(H170="جرد + مراجعة",الإعدادات!$B$2,IF(H170="مراجعة فقط",الإعدادات!$B$3,IF(H170="جرد فقط",الإعدادات!$B$4,0)))</f>
        <v>200</v>
      </c>
    </row>
    <row r="171">
      <c r="A171" s="4" t="inlineStr">
        <is>
          <t>2026-10-21</t>
        </is>
      </c>
      <c r="B171" s="5" t="str">
        <f>IF(A171="","",IFERROR(INDEX('جدول الجرد'!$A$2:$A$29,MATCH(A171,'جدول الجرد'!$B$2:$B$29,0)),""))</f>
        <v>الأربعاء</v>
      </c>
      <c r="C171" s="5" t="str">
        <f>IF(A171="","",IFERROR(INDEX('جدول الجرد'!$E$2:$E$29,MATCH(A171,'جدول الجرد'!$B$2:$B$29,0)),""))</f>
        <v>الرياض</v>
      </c>
      <c r="D171" s="4" t="n">
        <v>58</v>
      </c>
      <c r="E171" s="4" t="inlineStr">
        <is>
          <t>د. حسام شلش</t>
        </is>
      </c>
      <c r="F171" s="4" t="inlineStr"/>
      <c r="G171" s="4" t="inlineStr">
        <is>
          <t>نعم</t>
        </is>
      </c>
      <c r="H171" s="5" t="str">
        <f>IF(E171="","",IF(AND(F171="نعم",G171="نعم"),"جرد + مراجعة",IF(F171="نعم","جرد فقط",IF(G171="نعم","مراجعة فقط",""))))</f>
        <v>مراجعة فقط</v>
      </c>
      <c r="I171" s="9">
        <f>IF(H171="جرد + مراجعة",الإعدادات!$B$2,IF(H171="مراجعة فقط",الإعدادات!$B$3,IF(H171="جرد فقط",الإعدادات!$B$4,0)))</f>
        <v>150</v>
      </c>
    </row>
    <row r="172">
      <c r="A172" s="4" t="inlineStr">
        <is>
          <t>2026-10-21</t>
        </is>
      </c>
      <c r="B172" s="5" t="str">
        <f>IF(A172="","",IFERROR(INDEX('جدول الجرد'!$A$2:$A$29,MATCH(A172,'جدول الجرد'!$B$2:$B$29,0)),""))</f>
        <v>الأربعاء</v>
      </c>
      <c r="C172" s="5" t="str">
        <f>IF(A172="","",IFERROR(INDEX('جدول الجرد'!$E$2:$E$29,MATCH(A172,'جدول الجرد'!$B$2:$B$29,0)),""))</f>
        <v>الرياض</v>
      </c>
      <c r="D172" s="4" t="n">
        <v>58</v>
      </c>
      <c r="E172" s="4" t="inlineStr">
        <is>
          <t>د. السيد حسن</t>
        </is>
      </c>
      <c r="F172" s="4" t="inlineStr"/>
      <c r="G172" s="4" t="inlineStr">
        <is>
          <t>نعم</t>
        </is>
      </c>
      <c r="H172" s="5" t="str">
        <f>IF(E172="","",IF(AND(F172="نعم",G172="نعم"),"جرد + مراجعة",IF(F172="نعم","جرد فقط",IF(G172="نعم","مراجعة فقط",""))))</f>
        <v>مراجعة فقط</v>
      </c>
      <c r="I172" s="9">
        <f>IF(H172="جرد + مراجعة",الإعدادات!$B$2,IF(H172="مراجعة فقط",الإعدادات!$B$3,IF(H172="جرد فقط",الإعدادات!$B$4,0)))</f>
        <v>150</v>
      </c>
    </row>
    <row r="173">
      <c r="A173" s="4" t="inlineStr">
        <is>
          <t>2026-10-22</t>
        </is>
      </c>
      <c r="B173" s="5" t="str">
        <f>IF(A173="","",IFERROR(INDEX('جدول الجرد'!$A$2:$A$29,MATCH(A173,'جدول الجرد'!$B$2:$B$29,0)),""))</f>
        <v>الخميس</v>
      </c>
      <c r="C173" s="5" t="str">
        <f>IF(A173="","",IFERROR(INDEX('جدول الجرد'!$E$2:$E$29,MATCH(A173,'جدول الجرد'!$B$2:$B$29,0)),""))</f>
        <v>الخرج</v>
      </c>
      <c r="D173" s="4" t="n">
        <v>6</v>
      </c>
      <c r="E173" s="4" t="inlineStr">
        <is>
          <t>د. حسام شلش</t>
        </is>
      </c>
      <c r="F173" s="4" t="inlineStr">
        <is>
          <t>نعم</t>
        </is>
      </c>
      <c r="G173" s="4" t="inlineStr">
        <is>
          <t>نعم</t>
        </is>
      </c>
      <c r="H173" s="5" t="str">
        <f>IF(E173="","",IF(AND(F173="نعم",G173="نعم"),"جرد + مراجعة",IF(F173="نعم","جرد فقط",IF(G173="نعم","مراجعة فقط",""))))</f>
        <v>جرد + مراجعة</v>
      </c>
      <c r="I173" s="9">
        <f>IF(H173="جرد + مراجعة",الإعدادات!$B$2,IF(H173="مراجعة فقط",الإعدادات!$B$3,IF(H173="جرد فقط",الإعدادات!$B$4,0)))</f>
        <v>200</v>
      </c>
    </row>
    <row r="174">
      <c r="A174" s="4" t="inlineStr">
        <is>
          <t>2026-10-22</t>
        </is>
      </c>
      <c r="B174" s="5" t="str">
        <f>IF(A174="","",IFERROR(INDEX('جدول الجرد'!$A$2:$A$29,MATCH(A174,'جدول الجرد'!$B$2:$B$29,0)),""))</f>
        <v>الخميس</v>
      </c>
      <c r="C174" s="5" t="str">
        <f>IF(A174="","",IFERROR(INDEX('جدول الجرد'!$E$2:$E$29,MATCH(A174,'جدول الجرد'!$B$2:$B$29,0)),""))</f>
        <v>الخرج</v>
      </c>
      <c r="D174" s="4" t="n">
        <v>6</v>
      </c>
      <c r="E174" s="4" t="inlineStr">
        <is>
          <t>د. علي خليفة</t>
        </is>
      </c>
      <c r="F174" s="4" t="inlineStr"/>
      <c r="G174" s="4" t="inlineStr">
        <is>
          <t>نعم</t>
        </is>
      </c>
      <c r="H174" s="5" t="str">
        <f>IF(E174="","",IF(AND(F174="نعم",G174="نعم"),"جرد + مراجعة",IF(F174="نعم","جرد فقط",IF(G174="نعم","مراجعة فقط",""))))</f>
        <v>مراجعة فقط</v>
      </c>
      <c r="I174" s="9">
        <f>IF(H174="جرد + مراجعة",الإعدادات!$B$2,IF(H174="مراجعة فقط",الإعدادات!$B$3,IF(H174="جرد فقط",الإعدادات!$B$4,0)))</f>
        <v>150</v>
      </c>
    </row>
    <row r="175">
      <c r="A175" s="4" t="inlineStr">
        <is>
          <t>2026-10-22</t>
        </is>
      </c>
      <c r="B175" s="5" t="str">
        <f>IF(A175="","",IFERROR(INDEX('جدول الجرد'!$A$2:$A$29,MATCH(A175,'جدول الجرد'!$B$2:$B$29,0)),""))</f>
        <v>الخميس</v>
      </c>
      <c r="C175" s="5" t="str">
        <f>IF(A175="","",IFERROR(INDEX('جدول الجرد'!$E$2:$E$29,MATCH(A175,'جدول الجرد'!$B$2:$B$29,0)),""))</f>
        <v>الخرج</v>
      </c>
      <c r="D175" s="4" t="n">
        <v>13</v>
      </c>
      <c r="E175" s="4" t="inlineStr">
        <is>
          <t>د. حسام شلش</t>
        </is>
      </c>
      <c r="F175" s="4" t="inlineStr">
        <is>
          <t>نعم</t>
        </is>
      </c>
      <c r="G175" s="4" t="inlineStr">
        <is>
          <t>نعم</t>
        </is>
      </c>
      <c r="H175" s="5" t="str">
        <f>IF(E175="","",IF(AND(F175="نعم",G175="نعم"),"جرد + مراجعة",IF(F175="نعم","جرد فقط",IF(G175="نعم","مراجعة فقط",""))))</f>
        <v>جرد + مراجعة</v>
      </c>
      <c r="I175" s="9">
        <f>IF(H175="جرد + مراجعة",الإعدادات!$B$2,IF(H175="مراجعة فقط",الإعدادات!$B$3,IF(H175="جرد فقط",الإعدادات!$B$4,0)))</f>
        <v>200</v>
      </c>
    </row>
    <row r="176">
      <c r="A176" s="4" t="inlineStr">
        <is>
          <t>2026-10-22</t>
        </is>
      </c>
      <c r="B176" s="5" t="str">
        <f>IF(A176="","",IFERROR(INDEX('جدول الجرد'!$A$2:$A$29,MATCH(A176,'جدول الجرد'!$B$2:$B$29,0)),""))</f>
        <v>الخميس</v>
      </c>
      <c r="C176" s="5" t="str">
        <f>IF(A176="","",IFERROR(INDEX('جدول الجرد'!$E$2:$E$29,MATCH(A176,'جدول الجرد'!$B$2:$B$29,0)),""))</f>
        <v>الخرج</v>
      </c>
      <c r="D176" s="4" t="n">
        <v>13</v>
      </c>
      <c r="E176" s="4" t="inlineStr">
        <is>
          <t>د. السيد حسن</t>
        </is>
      </c>
      <c r="F176" s="4" t="inlineStr"/>
      <c r="G176" s="4" t="inlineStr">
        <is>
          <t>نعم</t>
        </is>
      </c>
      <c r="H176" s="5" t="str">
        <f>IF(E176="","",IF(AND(F176="نعم",G176="نعم"),"جرد + مراجعة",IF(F176="نعم","جرد فقط",IF(G176="نعم","مراجعة فقط",""))))</f>
        <v>مراجعة فقط</v>
      </c>
      <c r="I176" s="9">
        <f>IF(H176="جرد + مراجعة",الإعدادات!$B$2,IF(H176="مراجعة فقط",الإعدادات!$B$3,IF(H176="جرد فقط",الإعدادات!$B$4,0)))</f>
        <v>150</v>
      </c>
    </row>
    <row r="177">
      <c r="A177" s="4" t="inlineStr">
        <is>
          <t>2026-10-22</t>
        </is>
      </c>
      <c r="B177" s="5" t="str">
        <f>IF(A177="","",IFERROR(INDEX('جدول الجرد'!$A$2:$A$29,MATCH(A177,'جدول الجرد'!$B$2:$B$29,0)),""))</f>
        <v>الخميس</v>
      </c>
      <c r="C177" s="5" t="str">
        <f>IF(A177="","",IFERROR(INDEX('جدول الجرد'!$E$2:$E$29,MATCH(A177,'جدول الجرد'!$B$2:$B$29,0)),""))</f>
        <v>الخرج</v>
      </c>
      <c r="D177" s="4" t="n">
        <v>13</v>
      </c>
      <c r="E177" s="4" t="inlineStr">
        <is>
          <t>د. علي خليفة</t>
        </is>
      </c>
      <c r="F177" s="4" t="inlineStr"/>
      <c r="G177" s="4" t="inlineStr">
        <is>
          <t>نعم</t>
        </is>
      </c>
      <c r="H177" s="5" t="str">
        <f>IF(E177="","",IF(AND(F177="نعم",G177="نعم"),"جرد + مراجعة",IF(F177="نعم","جرد فقط",IF(G177="نعم","مراجعة فقط",""))))</f>
        <v>مراجعة فقط</v>
      </c>
      <c r="I177" s="9">
        <f>IF(H177="جرد + مراجعة",الإعدادات!$B$2,IF(H177="مراجعة فقط",الإعدادات!$B$3,IF(H177="جرد فقط",الإعدادات!$B$4,0)))</f>
        <v>150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2026-10-22T12:18:09Z</dcterms:created>
  <dcterms:modified xsi:type="dcterms:W3CDTF">2026-10-22T12:18:09Z</dcterms:modified>
</cp:coreProperties>
</file>