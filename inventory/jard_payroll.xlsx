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19</v>
      </c>
      <c r="C4" s="5">
        <f>IF(A4="","",COUNTIFS(السجل!$E$2:$E$1000,A4,السجل!$H$2:$H$1000,"مراجعة فقط"))</f>
        <v>16</v>
      </c>
      <c r="D4" s="5">
        <f>IF(A4="","",COUNTIFS(السجل!$E$2:$E$1000,A4,السجل!$H$2:$H$1000,"جرد فقط"))</f>
        <v>0</v>
      </c>
      <c r="E4" s="5">
        <f>IF(A4="","",SUM(B4:D4))</f>
        <v>35</v>
      </c>
      <c r="F4" s="6">
        <f>IF(A4="","",SUMIFS(السجل!$I$2:$I$1000,السجل!$E$2:$E$1000,A4))</f>
        <v>6200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27</v>
      </c>
      <c r="D5" s="5">
        <f>IF(A5="","",COUNTIFS(السجل!$E$2:$E$1000,A5,السجل!$H$2:$H$1000,"جرد فقط"))</f>
        <v>0</v>
      </c>
      <c r="E5" s="5">
        <f>IF(A5="","",SUM(B5:D5))</f>
        <v>35</v>
      </c>
      <c r="F5" s="6">
        <f>IF(A5="","",SUMIFS(السجل!$I$2:$I$1000,السجل!$E$2:$E$1000,A5))</f>
        <v>5650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23</v>
      </c>
      <c r="D7" s="5">
        <f>IF(A7="","",COUNTIFS(السجل!$E$2:$E$1000,A7,السجل!$H$2:$H$1000,"جرد فقط"))</f>
        <v>0</v>
      </c>
      <c r="E7" s="5">
        <f>IF(A7="","",SUM(B7:D7))</f>
        <v>23</v>
      </c>
      <c r="F7" s="6">
        <f>IF(A7="","",SUMIFS(السجل!$I$2:$I$1000,السجل!$E$2:$E$1000,A7))</f>
        <v>3450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8</v>
      </c>
      <c r="C8" s="5">
        <f>IF(A8="","",COUNTIFS(السجل!$E$2:$E$1000,A8,السجل!$H$2:$H$1000,"مراجعة فقط"))</f>
        <v>9</v>
      </c>
      <c r="D8" s="5">
        <f>IF(A8="","",COUNTIFS(السجل!$E$2:$E$1000,A8,السجل!$H$2:$H$1000,"جرد فقط"))</f>
        <v>0</v>
      </c>
      <c r="E8" s="5">
        <f>IF(A8="","",SUM(B8:D8))</f>
        <v>17</v>
      </c>
      <c r="F8" s="6">
        <f>IF(A8="","",SUMIFS(السجل!$I$2:$I$1000,السجل!$E$2:$E$1000,A8))</f>
        <v>2950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35</v>
      </c>
      <c r="C19" s="7">
        <f>SUM(C4:C18)</f>
        <v>104</v>
      </c>
      <c r="D19" s="7">
        <f>SUM(D4:D18)</f>
        <v>0</v>
      </c>
      <c r="E19" s="7">
        <f>SUM(E4:E18)</f>
        <v>139</v>
      </c>
      <c r="F19" s="8">
        <f>SUM(F4:F18)</f>
        <v>22600</v>
      </c>
    </row>
    <row r="21">
      <c r="A21" s="5" t="inlineStr">
        <is>
          <t>للتحقق: إجمالي السجل</t>
        </is>
      </c>
      <c r="F21" s="9">
        <f>SUM(السجل!$I$2:$I$1000)</f>
        <v>22600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5" customWidth="1" min="21" max="21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6">
        <f>SUM(B2:T2)</f>
        <v>6200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6">
        <f>SUM(B3:T3)</f>
        <v>5650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6">
        <f>SUM(B4:T4)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6">
        <f>SUM(B5:T5)</f>
        <v>3450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6">
        <f>SUM(B6:T6)</f>
        <v>2950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6">
        <f>SUM(B7:T7)</f>
        <v>2700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1300</v>
      </c>
      <c r="P8" s="8">
        <f>SUM(P2:P7)</f>
        <v>1300</v>
      </c>
      <c r="Q8" s="8">
        <f>SUM(Q2:Q7)</f>
        <v>1300</v>
      </c>
      <c r="R8" s="8">
        <f>SUM(R2:R7)</f>
        <v>1300</v>
      </c>
      <c r="S8" s="8">
        <f>SUM(S2:S7)</f>
        <v>1300</v>
      </c>
      <c r="T8" s="8">
        <f>SUM(T2:T7)</f>
        <v>1000</v>
      </c>
      <c r="U8" s="8">
        <f>SUM(U2:U7)</f>
        <v>22600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2026-10-14T21:39:33Z</dcterms:created>
  <dcterms:modified xsi:type="dcterms:W3CDTF">2026-10-14T21:39:33Z</dcterms:modified>
</cp:coreProperties>
</file>