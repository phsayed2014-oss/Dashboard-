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20</v>
      </c>
      <c r="C4" s="5">
        <f>IF(A4="","",COUNTIFS(السجل!$E$2:$E$1000,A4,السجل!$H$2:$H$1000,"مراجعة فقط"))</f>
        <v>19</v>
      </c>
      <c r="D4" s="5">
        <f>IF(A4="","",COUNTIFS(السجل!$E$2:$E$1000,A4,السجل!$H$2:$H$1000,"جرد فقط"))</f>
        <v>0</v>
      </c>
      <c r="E4" s="5">
        <f>IF(A4="","",SUM(B4:D4))</f>
        <v>39</v>
      </c>
      <c r="F4" s="6">
        <f>IF(A4="","",SUMIFS(السجل!$I$2:$I$1000,السجل!$E$2:$E$1000,A4))</f>
        <v>6850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30</v>
      </c>
      <c r="D5" s="5">
        <f>IF(A5="","",COUNTIFS(السجل!$E$2:$E$1000,A5,السجل!$H$2:$H$1000,"جرد فقط"))</f>
        <v>0</v>
      </c>
      <c r="E5" s="5">
        <f>IF(A5="","",SUM(B5:D5))</f>
        <v>38</v>
      </c>
      <c r="F5" s="6">
        <f>IF(A5="","",SUMIFS(السجل!$I$2:$I$1000,السجل!$E$2:$E$1000,A5))</f>
        <v>6100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11</v>
      </c>
      <c r="C8" s="5">
        <f>IF(A8="","",COUNTIFS(السجل!$E$2:$E$1000,A8,السجل!$H$2:$H$1000,"مراجعة فقط"))</f>
        <v>10</v>
      </c>
      <c r="D8" s="5">
        <f>IF(A8="","",COUNTIFS(السجل!$E$2:$E$1000,A8,السجل!$H$2:$H$1000,"جرد فقط"))</f>
        <v>0</v>
      </c>
      <c r="E8" s="5">
        <f>IF(A8="","",SUM(B8:D8))</f>
        <v>21</v>
      </c>
      <c r="F8" s="6">
        <f>IF(A8="","",SUMIFS(السجل!$I$2:$I$1000,السجل!$E$2:$E$1000,A8))</f>
        <v>3700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39</v>
      </c>
      <c r="C19" s="7">
        <f>SUM(C4:C18)</f>
        <v>113</v>
      </c>
      <c r="D19" s="7">
        <f>SUM(D4:D18)</f>
        <v>0</v>
      </c>
      <c r="E19" s="7">
        <f>SUM(E4:E18)</f>
        <v>152</v>
      </c>
      <c r="F19" s="8">
        <f>SUM(F4:F18)</f>
        <v>24750</v>
      </c>
    </row>
    <row r="21">
      <c r="A21" s="5" t="inlineStr">
        <is>
          <t>للتحقق: إجمالي السجل</t>
        </is>
      </c>
      <c r="F21" s="9">
        <f>SUM(السجل!$I$2:$I$1000)</f>
        <v>24750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5" customWidth="1" min="24" max="24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السبت
2026-10-17</t>
        </is>
      </c>
      <c r="X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9">
        <f>SUMIFS(السجل!$I$2:$I$1000,السجل!$E$2:$E$1000,$A2,السجل!$A$2:$A$1000,W$1000)</f>
        <v>150</v>
      </c>
      <c r="X2" s="6">
        <f>SUM(B2:W2)</f>
        <v>6850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9">
        <f>SUMIFS(السجل!$I$2:$I$1000,السجل!$E$2:$E$1000,$A3,السجل!$A$2:$A$1000,W$1000)</f>
        <v>150</v>
      </c>
      <c r="X3" s="6">
        <f>SUM(B3:W3)</f>
        <v>6100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6">
        <f>SUM(B4:W4)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9">
        <f>SUMIFS(السجل!$I$2:$I$1000,السجل!$E$2:$E$1000,$A5,السجل!$A$2:$A$1000,W$1000)</f>
        <v>0</v>
      </c>
      <c r="X5" s="6">
        <f>SUM(B5:W5)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9">
        <f>SUMIFS(السجل!$I$2:$I$1000,السجل!$E$2:$E$1000,$A6,السجل!$A$2:$A$1000,W$1000)</f>
        <v>200</v>
      </c>
      <c r="X6" s="6">
        <f>SUM(B6:W6)</f>
        <v>3700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6">
        <f>SUM(B7:W7)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9">
        <f>SUMIFS(السجل!$I$2:$I$1000,السجل!$E$2:$E$1000,$A8,السجل!$A$2:$A$1000,W$1000)</f>
        <v>0</v>
      </c>
      <c r="X8" s="6">
        <f>SUM(B8:W8)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500</v>
      </c>
      <c r="X9" s="8">
        <f>SUM(X2:X8)</f>
        <v>24750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  <c r="W1000" t="inlineStr">
        <is>
          <t>2026-10-17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الجرد'!$A$2:$A$29,MATCH(A151,'جدول الجرد'!$B$2:$B$29,0)),""))</f>
        <v>السبت</v>
      </c>
      <c r="C151" s="5" t="str">
        <f>IF(A151="","",IFERROR(INDEX('جدول الجرد'!$E$2:$E$29,MATCH(A151,'جدول الجرد'!$B$2:$B$29,0)),""))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الجرد'!$A$2:$A$29,MATCH(A152,'جدول الجرد'!$B$2:$B$29,0)),""))</f>
        <v>السبت</v>
      </c>
      <c r="C152" s="5" t="str">
        <f>IF(A152="","",IFERROR(INDEX('جدول الجرد'!$E$2:$E$29,MATCH(A152,'جدول الجرد'!$B$2:$B$29,0)),""))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الجرد'!$A$2:$A$29,MATCH(A153,'جدول الجرد'!$B$2:$B$29,0)),""))</f>
        <v>السبت</v>
      </c>
      <c r="C153" s="5" t="str">
        <f>IF(A153="","",IFERROR(INDEX('جدول الجرد'!$E$2:$E$29,MATCH(A153,'جدول الجرد'!$B$2:$B$29,0)),""))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2026-10-17T23:12:40Z</dcterms:created>
  <dcterms:modified xsi:type="dcterms:W3CDTF">2026-10-17T23:12:40Z</dcterms:modified>
</cp:coreProperties>
</file>