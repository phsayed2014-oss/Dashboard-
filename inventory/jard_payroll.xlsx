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6</v>
      </c>
      <c r="C4" s="5">
        <f>IF(A4="","",COUNTIFS(السجل!$E$2:$E$1000,A4,السجل!$H$2:$H$1000,"مراجعة فقط"))</f>
        <v>5</v>
      </c>
      <c r="D4" s="5">
        <f>IF(A4="","",COUNTIFS(السجل!$E$2:$E$1000,A4,السجل!$H$2:$H$1000,"جرد فقط"))</f>
        <v>0</v>
      </c>
      <c r="E4" s="5">
        <f>IF(A4="","",SUM(B4:D4))</f>
        <v>11</v>
      </c>
      <c r="F4" s="6">
        <f>IF(A4="","",SUMIFS(السجل!$I$2:$I$1000,السجل!$E$2:$E$1000,A4))</f>
        <v>1950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0</v>
      </c>
      <c r="C5" s="5">
        <f>IF(A5="","",COUNTIFS(السجل!$E$2:$E$1000,A5,السجل!$H$2:$H$1000,"مراجعة فقط"))</f>
        <v>11</v>
      </c>
      <c r="D5" s="5">
        <f>IF(A5="","",COUNTIFS(السجل!$E$2:$E$1000,A5,السجل!$H$2:$H$1000,"جرد فقط"))</f>
        <v>0</v>
      </c>
      <c r="E5" s="5">
        <f>IF(A5="","",SUM(B5:D5))</f>
        <v>11</v>
      </c>
      <c r="F5" s="6">
        <f>IF(A5="","",SUMIFS(السجل!$I$2:$I$1000,السجل!$E$2:$E$1000,A5))</f>
        <v>1650</v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>5</v>
      </c>
      <c r="C6" s="5">
        <f>IF(A6="","",COUNTIFS(السجل!$E$2:$E$1000,A6,السجل!$H$2:$H$1000,"مراجعة فقط"))</f>
        <v>6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1900</v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7</v>
      </c>
      <c r="D7" s="5">
        <f>IF(A7="","",COUNTIFS(السجل!$E$2:$E$1000,A7,السجل!$H$2:$H$1000,"جرد فقط"))</f>
        <v>0</v>
      </c>
      <c r="E7" s="5">
        <f>IF(A7="","",SUM(B7:D7))</f>
        <v>7</v>
      </c>
      <c r="F7" s="6">
        <f>IF(A7="","",SUMIFS(السجل!$I$2:$I$1000,السجل!$E$2:$E$1000,A7))</f>
        <v>1050</v>
      </c>
    </row>
    <row r="8">
      <c r="A8" s="4" t="inlineStr">
        <is>
          <t>د. الحسن الغنيمي</t>
        </is>
      </c>
      <c r="B8" s="5">
        <f>IF(A8="","",COUNTIFS(السجل!$E$2:$E$1000,A8,السجل!$H$2:$H$1000,"جرد + مراجعة"))</f>
        <v>0</v>
      </c>
      <c r="C8" s="5">
        <f>IF(A8="","",COUNTIFS(السجل!$E$2:$E$1000,A8,السجل!$H$2:$H$1000,"مراجعة فقط"))</f>
        <v>4</v>
      </c>
      <c r="D8" s="5">
        <f>IF(A8="","",COUNTIFS(السجل!$E$2:$E$1000,A8,السجل!$H$2:$H$1000,"جرد فقط"))</f>
        <v>0</v>
      </c>
      <c r="E8" s="5">
        <f>IF(A8="","",SUM(B8:D8))</f>
        <v>4</v>
      </c>
      <c r="F8" s="6">
        <f>IF(A8="","",SUMIFS(السجل!$I$2:$I$1000,السجل!$E$2:$E$1000,A8))</f>
        <v>600</v>
      </c>
    </row>
    <row r="9">
      <c r="A9" s="4" t="n"/>
      <c r="B9" s="5" t="str">
        <f>IF(A9="","",COUNTIFS(السجل!$E$2:$E$1000,A9,السجل!$H$2:$H$1000,"جرد + مراجعة"))</f>
        <v/>
      </c>
      <c r="C9" s="5" t="str">
        <f>IF(A9="","",COUNTIFS(السجل!$E$2:$E$1000,A9,السجل!$H$2:$H$1000,"مراجعة فقط"))</f>
        <v/>
      </c>
      <c r="D9" s="5" t="str">
        <f>IF(A9="","",COUNTIFS(السجل!$E$2:$E$1000,A9,السجل!$H$2:$H$1000,"جرد فقط"))</f>
        <v/>
      </c>
      <c r="E9" s="5" t="str">
        <f>IF(A9="","",SUM(B9:D9))</f>
        <v/>
      </c>
      <c r="F9" s="6" t="str">
        <f>IF(A9="","",SUMIFS(السجل!$I$2:$I$1000,السجل!$E$2:$E$1000,A9))</f>
        <v/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11</v>
      </c>
      <c r="C19" s="7">
        <f>SUM(C4:C18)</f>
        <v>33</v>
      </c>
      <c r="D19" s="7">
        <f>SUM(D4:D18)</f>
        <v>0</v>
      </c>
      <c r="E19" s="7">
        <f>SUM(E4:E18)</f>
        <v>44</v>
      </c>
      <c r="F19" s="8">
        <f>SUM(F4:F18)</f>
        <v>7150</v>
      </c>
    </row>
    <row r="21">
      <c r="A21" s="5" t="inlineStr">
        <is>
          <t>للتحقق: إجمالي السجل</t>
        </is>
      </c>
      <c r="F21" s="9">
        <f>SUM(السجل!$I$2:$I$1000)</f>
        <v>7150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5" customWidth="1" min="8" max="8"/>
  </cols>
  <sheetData>
    <row r="1" ht="32" customHeight="1">
      <c r="A1" s="3" t="inlineStr">
        <is>
          <t>الاسم</t>
        </is>
      </c>
      <c r="B1" s="3" t="inlineStr">
        <is>
          <t>السبت
2026-09-26</t>
        </is>
      </c>
      <c r="C1" s="3" t="inlineStr">
        <is>
          <t>الأحد
2026-09-27</t>
        </is>
      </c>
      <c r="D1" s="3" t="inlineStr">
        <is>
          <t>الاثنين
2026-09-28</t>
        </is>
      </c>
      <c r="E1" s="3" t="inlineStr">
        <is>
          <t>الثلاثاء
2026-09-29</t>
        </is>
      </c>
      <c r="F1" s="3" t="inlineStr">
        <is>
          <t>الأربعاء
2026-09-30</t>
        </is>
      </c>
      <c r="G1" s="3" t="inlineStr">
        <is>
          <t>الخميس
2026-10-01</t>
        </is>
      </c>
      <c r="H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300</v>
      </c>
      <c r="D2" s="9">
        <f>SUMIFS(السجل!$I$2:$I$1000,السجل!$E$2:$E$1000,$A2,السجل!$A$2:$A$1000,D$1000)</f>
        <v>400</v>
      </c>
      <c r="E2" s="9">
        <f>SUMIFS(السجل!$I$2:$I$1000,السجل!$E$2:$E$1000,$A2,السجل!$A$2:$A$1000,E$1000)</f>
        <v>300</v>
      </c>
      <c r="F2" s="9">
        <f>SUMIFS(السجل!$I$2:$I$1000,السجل!$E$2:$E$1000,$A2,السجل!$A$2:$A$1000,F$1000)</f>
        <v>400</v>
      </c>
      <c r="G2" s="9">
        <f>SUMIFS(السجل!$I$2:$I$1000,السجل!$E$2:$E$1000,$A2,السجل!$A$2:$A$1000,G$1000)</f>
        <v>150</v>
      </c>
      <c r="H2" s="6">
        <f>SUM(B2:G2)</f>
        <v>1950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150</v>
      </c>
      <c r="H3" s="6">
        <f>SUM(B3:G3)</f>
        <v>1650</v>
      </c>
    </row>
    <row r="4">
      <c r="A4" s="10" t="str">
        <f>الملخص!A6</f>
        <v>د. علي خليفة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400</v>
      </c>
      <c r="D4" s="9">
        <f>SUMIFS(السجل!$I$2:$I$1000,السجل!$E$2:$E$1000,$A4,السجل!$A$2:$A$1000,D$1000)</f>
        <v>300</v>
      </c>
      <c r="E4" s="9">
        <f>SUMIFS(السجل!$I$2:$I$1000,السجل!$E$2:$E$1000,$A4,السجل!$A$2:$A$1000,E$1000)</f>
        <v>400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200</v>
      </c>
      <c r="H4" s="6">
        <f>SUM(B4:G4)</f>
        <v>1900</v>
      </c>
    </row>
    <row r="5">
      <c r="A5" s="10" t="str">
        <f>الملخص!A7</f>
        <v>د. أيمن حسين</v>
      </c>
      <c r="B5" s="9">
        <f>SUMIFS(السجل!$I$2:$I$1000,السجل!$E$2:$E$1000,$A5,السجل!$A$2:$A$1000,B$1000)</f>
        <v>0</v>
      </c>
      <c r="C5" s="9">
        <f>SUMIFS(السجل!$I$2:$I$1000,السجل!$E$2:$E$1000,$A5,السجل!$A$2:$A$1000,C$1000)</f>
        <v>150</v>
      </c>
      <c r="D5" s="9">
        <f>SUMIFS(السجل!$I$2:$I$1000,السجل!$E$2:$E$1000,$A5,السجل!$A$2:$A$1000,D$1000)</f>
        <v>150</v>
      </c>
      <c r="E5" s="9">
        <f>SUMIFS(السجل!$I$2:$I$1000,السجل!$E$2:$E$1000,$A5,السجل!$A$2:$A$1000,E$1000)</f>
        <v>300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6">
        <f>SUM(B5:G5)</f>
        <v>1050</v>
      </c>
    </row>
    <row r="6">
      <c r="A6" s="10" t="str">
        <f>الملخص!A8</f>
        <v>د. الحسن الغنيمي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0</v>
      </c>
      <c r="D6" s="9">
        <f>SUMIFS(السجل!$I$2:$I$1000,السجل!$E$2:$E$1000,$A6,السجل!$A$2:$A$1000,D$1000)</f>
        <v>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150</v>
      </c>
      <c r="G6" s="9">
        <f>SUMIFS(السجل!$I$2:$I$1000,السجل!$E$2:$E$1000,$A6,السجل!$A$2:$A$1000,G$1000)</f>
        <v>150</v>
      </c>
      <c r="H6" s="6">
        <f>SUM(B6:G6)</f>
        <v>600</v>
      </c>
    </row>
    <row r="7">
      <c r="A7" s="7" t="inlineStr">
        <is>
          <t>الإجمالي</t>
        </is>
      </c>
      <c r="B7" s="8">
        <f>SUM(B2:B6)</f>
        <v>1000</v>
      </c>
      <c r="C7" s="8">
        <f>SUM(C2:C6)</f>
        <v>1150</v>
      </c>
      <c r="D7" s="8">
        <f>SUM(D2:D6)</f>
        <v>1150</v>
      </c>
      <c r="E7" s="8">
        <f>SUM(E2:E6)</f>
        <v>1600</v>
      </c>
      <c r="F7" s="8">
        <f>SUM(F2:F6)</f>
        <v>1450</v>
      </c>
      <c r="G7" s="8">
        <f>SUM(G2:G6)</f>
        <v>800</v>
      </c>
      <c r="H7" s="8">
        <f>SUM(H2:H6)</f>
        <v>7150</v>
      </c>
    </row>
    <row r="1000" hidden="1">
      <c r="B1000" t="inlineStr">
        <is>
          <t>2026-09-26</t>
        </is>
      </c>
      <c r="C1000" t="inlineStr">
        <is>
          <t>2026-09-27</t>
        </is>
      </c>
      <c r="D1000" t="inlineStr">
        <is>
          <t>2026-09-28</t>
        </is>
      </c>
      <c r="E1000" t="inlineStr">
        <is>
          <t>2026-09-29</t>
        </is>
      </c>
      <c r="F1000" t="inlineStr">
        <is>
          <t>2026-09-30</t>
        </is>
      </c>
      <c r="G1000" t="inlineStr">
        <is>
          <t>2026-10-01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 t="str">
        <f>IF(A2="","",IFERROR(INDEX('جدول الجرد'!$A$2:$A$28,MATCH(A2,'جدول الجرد'!$B$2:$B$28,0)),""))</f>
        <v>السبت</v>
      </c>
      <c r="C2" s="5" t="str">
        <f>IF(A2="","",IFERROR(INDEX('جدول الجرد'!$E$2:$E$28,MATCH(A2,'جدول الجرد'!$B$2:$B$28,0)),""))</f>
        <v>الخرج</v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2026-09-26</t>
        </is>
      </c>
      <c r="B3" s="5" t="str">
        <f>IF(A3="","",IFERROR(INDEX('جدول الجرد'!$A$2:$A$28,MATCH(A3,'جدول الجرد'!$B$2:$B$28,0)),""))</f>
        <v>السبت</v>
      </c>
      <c r="C3" s="5" t="str">
        <f>IF(A3="","",IFERROR(INDEX('جدول الجرد'!$E$2:$E$28,MATCH(A3,'جدول الجرد'!$B$2:$B$28,0)),""))</f>
        <v>الخرج</v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2026-09-26</t>
        </is>
      </c>
      <c r="B4" s="5" t="str">
        <f>IF(A4="","",IFERROR(INDEX('جدول الجرد'!$A$2:$A$28,MATCH(A4,'جدول الجرد'!$B$2:$B$28,0)),""))</f>
        <v>السبت</v>
      </c>
      <c r="C4" s="5" t="str">
        <f>IF(A4="","",IFERROR(INDEX('جدول الجرد'!$E$2:$E$28,MATCH(A4,'جدول الجرد'!$B$2:$B$28,0)),""))</f>
        <v>الخرج</v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2026-09-26</t>
        </is>
      </c>
      <c r="B5" s="5" t="str">
        <f>IF(A5="","",IFERROR(INDEX('جدول الجرد'!$A$2:$A$28,MATCH(A5,'جدول الجرد'!$B$2:$B$28,0)),""))</f>
        <v>السبت</v>
      </c>
      <c r="C5" s="5" t="str">
        <f>IF(A5="","",IFERROR(INDEX('جدول الجرد'!$E$2:$E$28,MATCH(A5,'جدول الجرد'!$B$2:$B$28,0)),""))</f>
        <v>الخرج</v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2026-09-26</t>
        </is>
      </c>
      <c r="B6" s="5" t="str">
        <f>IF(A6="","",IFERROR(INDEX('جدول الجرد'!$A$2:$A$28,MATCH(A6,'جدول الجرد'!$B$2:$B$28,0)),""))</f>
        <v>السبت</v>
      </c>
      <c r="C6" s="5" t="str">
        <f>IF(A6="","",IFERROR(INDEX('جدول الجرد'!$E$2:$E$28,MATCH(A6,'جدول الجرد'!$B$2:$B$28,0)),""))</f>
        <v>الخرج</v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2026-09-26</t>
        </is>
      </c>
      <c r="B7" s="5" t="str">
        <f>IF(A7="","",IFERROR(INDEX('جدول الجرد'!$A$2:$A$28,MATCH(A7,'جدول الجرد'!$B$2:$B$28,0)),""))</f>
        <v>السبت</v>
      </c>
      <c r="C7" s="5" t="str">
        <f>IF(A7="","",IFERROR(INDEX('جدول الجرد'!$E$2:$E$28,MATCH(A7,'جدول الجرد'!$B$2:$B$28,0)),""))</f>
        <v>الخرج</v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2026-09-27</t>
        </is>
      </c>
      <c r="B8" s="5" t="str">
        <f>IF(A8="","",IFERROR(INDEX('جدول الجرد'!$A$2:$A$28,MATCH(A8,'جدول الجرد'!$B$2:$B$28,0)),""))</f>
        <v>الأحد</v>
      </c>
      <c r="C8" s="5" t="str">
        <f>IF(A8="","",IFERROR(INDEX('جدول الجرد'!$E$2:$E$28,MATCH(A8,'جدول الجرد'!$B$2:$B$28,0)),""))</f>
        <v>الخرج</v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جرد + مراجعة</v>
      </c>
      <c r="I8" s="9">
        <f>IF(H8="جرد + مراجعة",الإعدادات!$B$2,IF(H8="مراجعة فقط",الإعدادات!$B$3,IF(H8="جرد فقط",الإعدادات!$B$4,0)))</f>
        <v>200</v>
      </c>
    </row>
    <row r="9">
      <c r="A9" s="4" t="inlineStr">
        <is>
          <t>2026-09-27</t>
        </is>
      </c>
      <c r="B9" s="5" t="str">
        <f>IF(A9="","",IFERROR(INDEX('جدول الجرد'!$A$2:$A$28,MATCH(A9,'جدول الجرد'!$B$2:$B$28,0)),""))</f>
        <v>الأحد</v>
      </c>
      <c r="C9" s="5" t="str">
        <f>IF(A9="","",IFERROR(INDEX('جدول الجرد'!$E$2:$E$28,MATCH(A9,'جدول الجرد'!$B$2:$B$28,0)),""))</f>
        <v>الخرج</v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مراجعة فقط</v>
      </c>
      <c r="I9" s="9">
        <f>IF(H9="جرد + مراجعة",الإعدادات!$B$2,IF(H9="مراجعة فقط",الإعدادات!$B$3,IF(H9="جرد فقط",الإعدادات!$B$4,0)))</f>
        <v>150</v>
      </c>
    </row>
    <row r="10">
      <c r="A10" s="4" t="inlineStr">
        <is>
          <t>2026-09-27</t>
        </is>
      </c>
      <c r="B10" s="5" t="str">
        <f>IF(A10="","",IFERROR(INDEX('جدول الجرد'!$A$2:$A$28,MATCH(A10,'جدول الجرد'!$B$2:$B$28,0)),""))</f>
        <v>الأحد</v>
      </c>
      <c r="C10" s="5" t="str">
        <f>IF(A10="","",IFERROR(INDEX('جدول الجرد'!$E$2:$E$28,MATCH(A10,'جدول الجرد'!$B$2:$B$28,0)),""))</f>
        <v>الخرج</v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2026-09-27</t>
        </is>
      </c>
      <c r="B11" s="5" t="str">
        <f>IF(A11="","",IFERROR(INDEX('جدول الجرد'!$A$2:$A$28,MATCH(A11,'جدول الجرد'!$B$2:$B$28,0)),""))</f>
        <v>الأحد</v>
      </c>
      <c r="C11" s="5" t="str">
        <f>IF(A11="","",IFERROR(INDEX('جدول الجرد'!$E$2:$E$28,MATCH(A11,'جدول الجرد'!$B$2:$B$28,0)),""))</f>
        <v>الخرج</v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جرد + مراجعة</v>
      </c>
      <c r="I11" s="9">
        <f>IF(H11="جرد + مراجعة",الإعدادات!$B$2,IF(H11="مراجعة فقط",الإعدادات!$B$3,IF(H11="جرد فقط",الإعدادات!$B$4,0)))</f>
        <v>200</v>
      </c>
    </row>
    <row r="12">
      <c r="A12" s="4" t="inlineStr">
        <is>
          <t>2026-09-27</t>
        </is>
      </c>
      <c r="B12" s="5" t="str">
        <f>IF(A12="","",IFERROR(INDEX('جدول الجرد'!$A$2:$A$28,MATCH(A12,'جدول الجرد'!$B$2:$B$28,0)),""))</f>
        <v>الأحد</v>
      </c>
      <c r="C12" s="5" t="str">
        <f>IF(A12="","",IFERROR(INDEX('جدول الجرد'!$E$2:$E$28,MATCH(A12,'جدول الجرد'!$B$2:$B$28,0)),""))</f>
        <v>الخرج</v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مراجعة فقط</v>
      </c>
      <c r="I12" s="9">
        <f>IF(H12="جرد + مراجعة",الإعدادات!$B$2,IF(H12="مراجعة فقط",الإعدادات!$B$3,IF(H12="جرد فقط",الإعدادات!$B$4,0)))</f>
        <v>150</v>
      </c>
    </row>
    <row r="13">
      <c r="A13" s="4" t="inlineStr">
        <is>
          <t>2026-09-27</t>
        </is>
      </c>
      <c r="B13" s="5" t="str">
        <f>IF(A13="","",IFERROR(INDEX('جدول الجرد'!$A$2:$A$28,MATCH(A13,'جدول الجرد'!$B$2:$B$28,0)),""))</f>
        <v>الأحد</v>
      </c>
      <c r="C13" s="5" t="str">
        <f>IF(A13="","",IFERROR(INDEX('جدول الجرد'!$E$2:$E$28,MATCH(A13,'جدول الجرد'!$B$2:$B$28,0)),""))</f>
        <v>الخرج</v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2026-09-27</t>
        </is>
      </c>
      <c r="B14" s="5" t="str">
        <f>IF(A14="","",IFERROR(INDEX('جدول الجرد'!$A$2:$A$28,MATCH(A14,'جدول الجرد'!$B$2:$B$28,0)),""))</f>
        <v>الأحد</v>
      </c>
      <c r="C14" s="5" t="str">
        <f>IF(A14="","",IFERROR(INDEX('جدول الجرد'!$E$2:$E$28,MATCH(A14,'جدول الجرد'!$B$2:$B$28,0)),""))</f>
        <v>الخرج</v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2026-09-28</t>
        </is>
      </c>
      <c r="B15" s="5" t="str">
        <f>IF(A15="","",IFERROR(INDEX('جدول الجرد'!$A$2:$A$28,MATCH(A15,'جدول الجرد'!$B$2:$B$28,0)),""))</f>
        <v>الاثنين</v>
      </c>
      <c r="C15" s="5" t="str">
        <f>IF(A15="","",IFERROR(INDEX('جدول الجرد'!$E$2:$E$28,MATCH(A15,'جدول الجرد'!$B$2:$B$28,0)),""))</f>
        <v>الخرج</v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2026-09-28</t>
        </is>
      </c>
      <c r="B16" s="5" t="str">
        <f>IF(A16="","",IFERROR(INDEX('جدول الجرد'!$A$2:$A$28,MATCH(A16,'جدول الجرد'!$B$2:$B$28,0)),""))</f>
        <v>الاثنين</v>
      </c>
      <c r="C16" s="5" t="str">
        <f>IF(A16="","",IFERROR(INDEX('جدول الجرد'!$E$2:$E$28,MATCH(A16,'جدول الجرد'!$B$2:$B$28,0)),""))</f>
        <v>الخرج</v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2026-09-28</t>
        </is>
      </c>
      <c r="B17" s="5" t="str">
        <f>IF(A17="","",IFERROR(INDEX('جدول الجرد'!$A$2:$A$28,MATCH(A17,'جدول الجرد'!$B$2:$B$28,0)),""))</f>
        <v>الاثنين</v>
      </c>
      <c r="C17" s="5" t="str">
        <f>IF(A17="","",IFERROR(INDEX('جدول الجرد'!$E$2:$E$28,MATCH(A17,'جدول الجرد'!$B$2:$B$28,0)),""))</f>
        <v>الخرج</v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2026-09-28</t>
        </is>
      </c>
      <c r="B18" s="5" t="str">
        <f>IF(A18="","",IFERROR(INDEX('جدول الجرد'!$A$2:$A$28,MATCH(A18,'جدول الجرد'!$B$2:$B$28,0)),""))</f>
        <v>الاثنين</v>
      </c>
      <c r="C18" s="5" t="str">
        <f>IF(A18="","",IFERROR(INDEX('جدول الجرد'!$E$2:$E$28,MATCH(A18,'جدول الجرد'!$B$2:$B$28,0)),""))</f>
        <v>الخرج</v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مراجعة فقط</v>
      </c>
      <c r="I18" s="9">
        <f>IF(H18="جرد + مراجعة",الإعدادات!$B$2,IF(H18="مراجعة فقط",الإعدادات!$B$3,IF(H18="جرد فقط",الإعدادات!$B$4,0)))</f>
        <v>150</v>
      </c>
    </row>
    <row r="19">
      <c r="A19" s="4" t="inlineStr">
        <is>
          <t>2026-09-28</t>
        </is>
      </c>
      <c r="B19" s="5" t="str">
        <f>IF(A19="","",IFERROR(INDEX('جدول الجرد'!$A$2:$A$28,MATCH(A19,'جدول الجرد'!$B$2:$B$28,0)),""))</f>
        <v>الاثنين</v>
      </c>
      <c r="C19" s="5" t="str">
        <f>IF(A19="","",IFERROR(INDEX('جدول الجرد'!$E$2:$E$28,MATCH(A19,'جدول الجرد'!$B$2:$B$28,0)),""))</f>
        <v>الخرج</v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جرد + مراجعة</v>
      </c>
      <c r="I19" s="9">
        <f>IF(H19="جرد + مراجعة",الإعدادات!$B$2,IF(H19="مراجعة فقط",الإعدادات!$B$3,IF(H19="جرد فقط",الإعدادات!$B$4,0)))</f>
        <v>200</v>
      </c>
    </row>
    <row r="20">
      <c r="A20" s="4" t="inlineStr">
        <is>
          <t>2026-09-28</t>
        </is>
      </c>
      <c r="B20" s="5" t="str">
        <f>IF(A20="","",IFERROR(INDEX('جدول الجرد'!$A$2:$A$28,MATCH(A20,'جدول الجرد'!$B$2:$B$28,0)),""))</f>
        <v>الاثنين</v>
      </c>
      <c r="C20" s="5" t="str">
        <f>IF(A20="","",IFERROR(INDEX('جدول الجرد'!$E$2:$E$28,MATCH(A20,'جدول الجرد'!$B$2:$B$28,0)),""))</f>
        <v>الخرج</v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2026-09-28</t>
        </is>
      </c>
      <c r="B21" s="5" t="str">
        <f>IF(A21="","",IFERROR(INDEX('جدول الجرد'!$A$2:$A$28,MATCH(A21,'جدول الجرد'!$B$2:$B$28,0)),""))</f>
        <v>الاثنين</v>
      </c>
      <c r="C21" s="5" t="str">
        <f>IF(A21="","",IFERROR(INDEX('جدول الجرد'!$E$2:$E$28,MATCH(A21,'جدول الجرد'!$B$2:$B$28,0)),""))</f>
        <v>الخرج</v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2026-09-29</t>
        </is>
      </c>
      <c r="B22" s="5" t="str">
        <f>IF(A22="","",IFERROR(INDEX('جدول الجرد'!$A$2:$A$28,MATCH(A22,'جدول الجرد'!$B$2:$B$28,0)),""))</f>
        <v>الثلاثاء</v>
      </c>
      <c r="C22" s="5" t="str">
        <f>IF(A22="","",IFERROR(INDEX('جدول الجرد'!$E$2:$E$28,MATCH(A22,'جدول الجرد'!$B$2:$B$28,0)),""))</f>
        <v>الخرج</v>
      </c>
      <c r="D22" s="4" t="n">
        <v>21</v>
      </c>
      <c r="E22" s="4" t="inlineStr">
        <is>
          <t>د. علي خليفة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2026-09-29</t>
        </is>
      </c>
      <c r="B23" s="5" t="str">
        <f>IF(A23="","",IFERROR(INDEX('جدول الجرد'!$A$2:$A$28,MATCH(A23,'جدول الجرد'!$B$2:$B$28,0)),""))</f>
        <v>الثلاثاء</v>
      </c>
      <c r="C23" s="5" t="str">
        <f>IF(A23="","",IFERROR(INDEX('جدول الجرد'!$E$2:$E$28,MATCH(A23,'جدول الجرد'!$B$2:$B$28,0)),""))</f>
        <v>الخرج</v>
      </c>
      <c r="D23" s="4" t="n">
        <v>21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2026-09-29</t>
        </is>
      </c>
      <c r="B24" s="5" t="str">
        <f>IF(A24="","",IFERROR(INDEX('جدول الجرد'!$A$2:$A$28,MATCH(A24,'جدول الجرد'!$B$2:$B$28,0)),""))</f>
        <v>الثلاثاء</v>
      </c>
      <c r="C24" s="5" t="str">
        <f>IF(A24="","",IFERROR(INDEX('جدول الجرد'!$E$2:$E$28,MATCH(A24,'جدول الجرد'!$B$2:$B$28,0)),""))</f>
        <v>الخرج</v>
      </c>
      <c r="D24" s="4" t="n">
        <v>21</v>
      </c>
      <c r="E24" s="4" t="inlineStr">
        <is>
          <t>د. حسام شلش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2026-09-29</t>
        </is>
      </c>
      <c r="B25" s="5" t="str">
        <f>IF(A25="","",IFERROR(INDEX('جدول الجرد'!$A$2:$A$28,MATCH(A25,'جدول الجرد'!$B$2:$B$28,0)),""))</f>
        <v>الثلاثاء</v>
      </c>
      <c r="C25" s="5" t="str">
        <f>IF(A25="","",IFERROR(INDEX('جدول الجرد'!$E$2:$E$28,MATCH(A25,'جدول الجرد'!$B$2:$B$28,0)),""))</f>
        <v>الخرج</v>
      </c>
      <c r="D25" s="4" t="n">
        <v>21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2026-09-29</t>
        </is>
      </c>
      <c r="B26" s="5" t="str">
        <f>IF(A26="","",IFERROR(INDEX('جدول الجرد'!$A$2:$A$28,MATCH(A26,'جدول الجرد'!$B$2:$B$28,0)),""))</f>
        <v>الثلاثاء</v>
      </c>
      <c r="C26" s="5" t="str">
        <f>IF(A26="","",IFERROR(INDEX('جدول الجرد'!$E$2:$E$28,MATCH(A26,'جدول الجرد'!$B$2:$B$28,0)),""))</f>
        <v>الخرج</v>
      </c>
      <c r="D26" s="4" t="n">
        <v>21</v>
      </c>
      <c r="E26" s="4" t="inlineStr">
        <is>
          <t>د. الحسن الغنيمي</t>
        </is>
      </c>
      <c r="F26" s="4" t="inlineStr"/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مراجعة فقط</v>
      </c>
      <c r="I26" s="9">
        <f>IF(H26="جرد + مراجعة",الإعدادات!$B$2,IF(H26="مراجعة فقط",الإعدادات!$B$3,IF(H26="جرد فقط",الإعدادات!$B$4,0)))</f>
        <v>150</v>
      </c>
    </row>
    <row r="27">
      <c r="A27" s="4" t="inlineStr">
        <is>
          <t>2026-09-29</t>
        </is>
      </c>
      <c r="B27" s="5" t="str">
        <f>IF(A27="","",IFERROR(INDEX('جدول الجرد'!$A$2:$A$28,MATCH(A27,'جدول الجرد'!$B$2:$B$28,0)),""))</f>
        <v>الثلاثاء</v>
      </c>
      <c r="C27" s="5" t="str">
        <f>IF(A27="","",IFERROR(INDEX('جدول الجرد'!$E$2:$E$28,MATCH(A27,'جدول الجرد'!$B$2:$B$28,0)),""))</f>
        <v>الخرج</v>
      </c>
      <c r="D27" s="4" t="n">
        <v>30</v>
      </c>
      <c r="E27" s="4" t="inlineStr">
        <is>
          <t>د. علي خليفة</t>
        </is>
      </c>
      <c r="F27" s="4" t="inlineStr">
        <is>
          <t>نعم</t>
        </is>
      </c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جرد + مراجعة</v>
      </c>
      <c r="I27" s="9">
        <f>IF(H27="جرد + مراجعة",الإعدادات!$B$2,IF(H27="مراجعة فقط",الإعدادات!$B$3,IF(H27="جرد فقط",الإعدادات!$B$4,0)))</f>
        <v>200</v>
      </c>
    </row>
    <row r="28">
      <c r="A28" s="4" t="inlineStr">
        <is>
          <t>2026-09-29</t>
        </is>
      </c>
      <c r="B28" s="5" t="str">
        <f>IF(A28="","",IFERROR(INDEX('جدول الجرد'!$A$2:$A$28,MATCH(A28,'جدول الجرد'!$B$2:$B$28,0)),""))</f>
        <v>الثلاثاء</v>
      </c>
      <c r="C28" s="5" t="str">
        <f>IF(A28="","",IFERROR(INDEX('جدول الجرد'!$E$2:$E$28,MATCH(A28,'جدول الجرد'!$B$2:$B$28,0)),""))</f>
        <v>الخرج</v>
      </c>
      <c r="D28" s="4" t="n">
        <v>30</v>
      </c>
      <c r="E28" s="4" t="inlineStr">
        <is>
          <t>د. السيد حسن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الجرد'!$A$2:$A$28,MATCH(A29,'جدول الجرد'!$B$2:$B$28,0)),""))</f>
        <v>الثلاثاء</v>
      </c>
      <c r="C29" s="5" t="str">
        <f>IF(A29="","",IFERROR(INDEX('جدول الجرد'!$E$2:$E$28,MATCH(A29,'جدول الجرد'!$B$2:$B$28,0)),""))</f>
        <v>الخرج</v>
      </c>
      <c r="D29" s="4" t="n">
        <v>30</v>
      </c>
      <c r="E29" s="4" t="inlineStr">
        <is>
          <t>د. حسام شلش</t>
        </is>
      </c>
      <c r="F29" s="4" t="inlineStr"/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مراجعة فقط</v>
      </c>
      <c r="I29" s="9">
        <f>IF(H29="جرد + مراجعة",الإعدادات!$B$2,IF(H29="مراجعة فقط",الإعدادات!$B$3,IF(H29="جرد فقط",الإعدادات!$B$4,0)))</f>
        <v>150</v>
      </c>
    </row>
    <row r="30">
      <c r="A30" s="4" t="inlineStr">
        <is>
          <t>2026-09-29</t>
        </is>
      </c>
      <c r="B30" s="5" t="str">
        <f>IF(A30="","",IFERROR(INDEX('جدول الجرد'!$A$2:$A$28,MATCH(A30,'جدول الجرد'!$B$2:$B$28,0)),""))</f>
        <v>الثلاثاء</v>
      </c>
      <c r="C30" s="5" t="str">
        <f>IF(A30="","",IFERROR(INDEX('جدول الجرد'!$E$2:$E$28,MATCH(A30,'جدول الجرد'!$B$2:$B$28,0)),""))</f>
        <v>الخرج</v>
      </c>
      <c r="D30" s="4" t="n">
        <v>30</v>
      </c>
      <c r="E30" s="4" t="inlineStr">
        <is>
          <t>د. أيمن حسين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الجرد'!$A$2:$A$28,MATCH(A31,'جدول الجرد'!$B$2:$B$28,0)),""))</f>
        <v>الثلاثاء</v>
      </c>
      <c r="C31" s="5" t="str">
        <f>IF(A31="","",IFERROR(INDEX('جدول الجرد'!$E$2:$E$28,MATCH(A31,'جدول الجرد'!$B$2:$B$28,0)),""))</f>
        <v>الخرج</v>
      </c>
      <c r="D31" s="4" t="n">
        <v>30</v>
      </c>
      <c r="E31" s="4" t="inlineStr">
        <is>
          <t>د. الحسن الغنيمي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2026-09-30</t>
        </is>
      </c>
      <c r="B32" s="5" t="str">
        <f>IF(A32="","",IFERROR(INDEX('جدول الجرد'!$A$2:$A$28,MATCH(A32,'جدول الجرد'!$B$2:$B$28,0)),""))</f>
        <v>الأربعاء</v>
      </c>
      <c r="C32" s="5" t="str">
        <f>IF(A32="","",IFERROR(INDEX('جدول الجرد'!$E$2:$E$28,MATCH(A32,'جدول الجرد'!$B$2:$B$28,0)),""))</f>
        <v>الخرج</v>
      </c>
      <c r="D32" s="4" t="n">
        <v>10</v>
      </c>
      <c r="E32" s="4" t="inlineStr">
        <is>
          <t>د. حسام شلش</t>
        </is>
      </c>
      <c r="F32" s="4" t="inlineStr">
        <is>
          <t>نعم</t>
        </is>
      </c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جرد + مراجعة</v>
      </c>
      <c r="I32" s="9">
        <f>IF(H32="جرد + مراجعة",الإعدادات!$B$2,IF(H32="مراجعة فقط",الإعدادات!$B$3,IF(H32="جرد فقط",الإعدادات!$B$4,0)))</f>
        <v>200</v>
      </c>
    </row>
    <row r="33">
      <c r="A33" s="4" t="inlineStr">
        <is>
          <t>2026-09-30</t>
        </is>
      </c>
      <c r="B33" s="5" t="str">
        <f>IF(A33="","",IFERROR(INDEX('جدول الجرد'!$A$2:$A$28,MATCH(A33,'جدول الجرد'!$B$2:$B$28,0)),""))</f>
        <v>الأربعاء</v>
      </c>
      <c r="C33" s="5" t="str">
        <f>IF(A33="","",IFERROR(INDEX('جدول الجرد'!$E$2:$E$28,MATCH(A33,'جدول الجرد'!$B$2:$B$28,0)),""))</f>
        <v>الخرج</v>
      </c>
      <c r="D33" s="4" t="n">
        <v>10</v>
      </c>
      <c r="E33" s="4" t="inlineStr">
        <is>
          <t>د. علي خليفة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2026-09-30</t>
        </is>
      </c>
      <c r="B34" s="5" t="str">
        <f>IF(A34="","",IFERROR(INDEX('جدول الجرد'!$A$2:$A$28,MATCH(A34,'جدول الجرد'!$B$2:$B$28,0)),""))</f>
        <v>الأربعاء</v>
      </c>
      <c r="C34" s="5" t="str">
        <f>IF(A34="","",IFERROR(INDEX('جدول الجرد'!$E$2:$E$28,MATCH(A34,'جدول الجرد'!$B$2:$B$28,0)),""))</f>
        <v>الخرج</v>
      </c>
      <c r="D34" s="4" t="n">
        <v>10</v>
      </c>
      <c r="E34" s="4" t="inlineStr">
        <is>
          <t>د. السيد حسن</t>
        </is>
      </c>
      <c r="F34" s="4" t="inlineStr"/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مراجعة فقط</v>
      </c>
      <c r="I34" s="9">
        <f>IF(H34="جرد + مراجعة",الإعدادات!$B$2,IF(H34="مراجعة فقط",الإعدادات!$B$3,IF(H34="جرد فقط",الإعدادات!$B$4,0)))</f>
        <v>150</v>
      </c>
    </row>
    <row r="35">
      <c r="A35" s="4" t="inlineStr">
        <is>
          <t>2026-09-30</t>
        </is>
      </c>
      <c r="B35" s="5" t="str">
        <f>IF(A35="","",IFERROR(INDEX('جدول الجرد'!$A$2:$A$28,MATCH(A35,'جدول الجرد'!$B$2:$B$28,0)),""))</f>
        <v>الأربعاء</v>
      </c>
      <c r="C35" s="5" t="str">
        <f>IF(A35="","",IFERROR(INDEX('جدول الجرد'!$E$2:$E$28,MATCH(A35,'جدول الجرد'!$B$2:$B$28,0)),""))</f>
        <v>الخرج</v>
      </c>
      <c r="D35" s="4" t="n">
        <v>10</v>
      </c>
      <c r="E35" s="4" t="inlineStr">
        <is>
          <t>د. أيمن حسين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2026-09-30</t>
        </is>
      </c>
      <c r="B36" s="5" t="str">
        <f>IF(A36="","",IFERROR(INDEX('جدول الجرد'!$A$2:$A$28,MATCH(A36,'جدول الجرد'!$B$2:$B$28,0)),""))</f>
        <v>الأربعاء</v>
      </c>
      <c r="C36" s="5" t="str">
        <f>IF(A36="","",IFERROR(INDEX('جدول الجرد'!$E$2:$E$28,MATCH(A36,'جدول الجرد'!$B$2:$B$28,0)),""))</f>
        <v>الخرج</v>
      </c>
      <c r="D36" s="4" t="n">
        <v>17</v>
      </c>
      <c r="E36" s="4" t="inlineStr">
        <is>
          <t>د. حسام شلش</t>
        </is>
      </c>
      <c r="F36" s="4" t="inlineStr">
        <is>
          <t>نعم</t>
        </is>
      </c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جرد + مراجعة</v>
      </c>
      <c r="I36" s="9">
        <f>IF(H36="جرد + مراجعة",الإعدادات!$B$2,IF(H36="مراجعة فقط",الإعدادات!$B$3,IF(H36="جرد فقط",الإعدادات!$B$4,0)))</f>
        <v>200</v>
      </c>
    </row>
    <row r="37">
      <c r="A37" s="4" t="inlineStr">
        <is>
          <t>2026-09-30</t>
        </is>
      </c>
      <c r="B37" s="5" t="str">
        <f>IF(A37="","",IFERROR(INDEX('جدول الجرد'!$A$2:$A$28,MATCH(A37,'جدول الجرد'!$B$2:$B$28,0)),""))</f>
        <v>الأربعاء</v>
      </c>
      <c r="C37" s="5" t="str">
        <f>IF(A37="","",IFERROR(INDEX('جدول الجرد'!$E$2:$E$28,MATCH(A37,'جدول الجرد'!$B$2:$B$28,0)),""))</f>
        <v>الخرج</v>
      </c>
      <c r="D37" s="4" t="n">
        <v>17</v>
      </c>
      <c r="E37" s="4" t="inlineStr">
        <is>
          <t>د. علي خليفة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2026-09-30</t>
        </is>
      </c>
      <c r="B38" s="5" t="str">
        <f>IF(A38="","",IFERROR(INDEX('جدول الجرد'!$A$2:$A$28,MATCH(A38,'جدول الجرد'!$B$2:$B$28,0)),""))</f>
        <v>الأربعاء</v>
      </c>
      <c r="C38" s="5" t="str">
        <f>IF(A38="","",IFERROR(INDEX('جدول الجرد'!$E$2:$E$28,MATCH(A38,'جدول الجرد'!$B$2:$B$28,0)),""))</f>
        <v>الخرج</v>
      </c>
      <c r="D38" s="4" t="n">
        <v>17</v>
      </c>
      <c r="E38" s="4" t="inlineStr">
        <is>
          <t>د. السيد حسن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الجرد'!$A$2:$A$28,MATCH(A39,'جدول الجرد'!$B$2:$B$28,0)),""))</f>
        <v>الأربعاء</v>
      </c>
      <c r="C39" s="5" t="str">
        <f>IF(A39="","",IFERROR(INDEX('جدول الجرد'!$E$2:$E$28,MATCH(A39,'جدول الجرد'!$B$2:$B$28,0)),""))</f>
        <v>الخرج</v>
      </c>
      <c r="D39" s="4" t="n">
        <v>17</v>
      </c>
      <c r="E39" s="4" t="inlineStr">
        <is>
          <t>د. أيمن حسين</t>
        </is>
      </c>
      <c r="F39" s="4" t="inlineStr"/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مراجعة فقط</v>
      </c>
      <c r="I39" s="9">
        <f>IF(H39="جرد + مراجعة",الإعدادات!$B$2,IF(H39="مراجعة فقط",الإعدادات!$B$3,IF(H39="جرد فقط",الإعدادات!$B$4,0)))</f>
        <v>150</v>
      </c>
    </row>
    <row r="40">
      <c r="A40" s="4" t="inlineStr">
        <is>
          <t>2026-09-30</t>
        </is>
      </c>
      <c r="B40" s="5" t="str">
        <f>IF(A40="","",IFERROR(INDEX('جدول الجرد'!$A$2:$A$28,MATCH(A40,'جدول الجرد'!$B$2:$B$28,0)),""))</f>
        <v>الأربعاء</v>
      </c>
      <c r="C40" s="5" t="str">
        <f>IF(A40="","",IFERROR(INDEX('جدول الجرد'!$E$2:$E$28,MATCH(A40,'جدول الجرد'!$B$2:$B$28,0)),""))</f>
        <v>الخرج</v>
      </c>
      <c r="D40" s="4" t="n">
        <v>17</v>
      </c>
      <c r="E40" s="4" t="inlineStr">
        <is>
          <t>د. الحسن الغنيمي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2026-10-01</t>
        </is>
      </c>
      <c r="B41" s="5" t="str">
        <f>IF(A41="","",IFERROR(INDEX('جدول الجرد'!$A$2:$A$28,MATCH(A41,'جدول الجرد'!$B$2:$B$28,0)),""))</f>
        <v>الخميس</v>
      </c>
      <c r="C41" s="5" t="str">
        <f>IF(A41="","",IFERROR(INDEX('جدول الجرد'!$E$2:$E$28,MATCH(A41,'جدول الجرد'!$B$2:$B$28,0)),""))</f>
        <v>الدلم</v>
      </c>
      <c r="D41" s="4" t="n">
        <v>28</v>
      </c>
      <c r="E41" s="4" t="inlineStr">
        <is>
          <t>د. علي خليفة</t>
        </is>
      </c>
      <c r="F41" s="4" t="inlineStr">
        <is>
          <t>نعم</t>
        </is>
      </c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جرد + مراجعة</v>
      </c>
      <c r="I41" s="9">
        <f>IF(H41="جرد + مراجعة",الإعدادات!$B$2,IF(H41="مراجعة فقط",الإعدادات!$B$3,IF(H41="جرد فقط",الإعدادات!$B$4,0)))</f>
        <v>200</v>
      </c>
    </row>
    <row r="42">
      <c r="A42" s="4" t="inlineStr">
        <is>
          <t>2026-10-01</t>
        </is>
      </c>
      <c r="B42" s="5" t="str">
        <f>IF(A42="","",IFERROR(INDEX('جدول الجرد'!$A$2:$A$28,MATCH(A42,'جدول الجرد'!$B$2:$B$28,0)),""))</f>
        <v>الخميس</v>
      </c>
      <c r="C42" s="5" t="str">
        <f>IF(A42="","",IFERROR(INDEX('جدول الجرد'!$E$2:$E$28,MATCH(A42,'جدول الجرد'!$B$2:$B$28,0)),""))</f>
        <v>الدلم</v>
      </c>
      <c r="D42" s="4" t="n">
        <v>28</v>
      </c>
      <c r="E42" s="4" t="inlineStr">
        <is>
          <t>د. حسام شلش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2026-10-01</t>
        </is>
      </c>
      <c r="B43" s="5" t="str">
        <f>IF(A43="","",IFERROR(INDEX('جدول الجرد'!$A$2:$A$28,MATCH(A43,'جدول الجرد'!$B$2:$B$28,0)),""))</f>
        <v>الخميس</v>
      </c>
      <c r="C43" s="5" t="str">
        <f>IF(A43="","",IFERROR(INDEX('جدول الجرد'!$E$2:$E$28,MATCH(A43,'جدول الجرد'!$B$2:$B$28,0)),""))</f>
        <v>الدلم</v>
      </c>
      <c r="D43" s="4" t="n">
        <v>28</v>
      </c>
      <c r="E43" s="4" t="inlineStr">
        <is>
          <t>د. السيد حسن</t>
        </is>
      </c>
      <c r="F43" s="4" t="inlineStr"/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مراجعة فقط</v>
      </c>
      <c r="I43" s="9">
        <f>IF(H43="جرد + مراجعة",الإعدادات!$B$2,IF(H43="مراجعة فقط",الإعدادات!$B$3,IF(H43="جرد فقط",الإعدادات!$B$4,0)))</f>
        <v>150</v>
      </c>
    </row>
    <row r="44">
      <c r="A44" s="4" t="inlineStr">
        <is>
          <t>2026-10-01</t>
        </is>
      </c>
      <c r="B44" s="5" t="str">
        <f>IF(A44="","",IFERROR(INDEX('جدول الجرد'!$A$2:$A$28,MATCH(A44,'جدول الجرد'!$B$2:$B$28,0)),""))</f>
        <v>الخميس</v>
      </c>
      <c r="C44" s="5" t="str">
        <f>IF(A44="","",IFERROR(INDEX('جدول الجرد'!$E$2:$E$28,MATCH(A44,'جدول الجرد'!$B$2:$B$28,0)),""))</f>
        <v>الدلم</v>
      </c>
      <c r="D44" s="4" t="n">
        <v>28</v>
      </c>
      <c r="E44" s="4" t="inlineStr">
        <is>
          <t>د. أيمن حسين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2026-10-01</t>
        </is>
      </c>
      <c r="B45" s="5" t="str">
        <f>IF(A45="","",IFERROR(INDEX('جدول الجرد'!$A$2:$A$28,MATCH(A45,'جدول الجرد'!$B$2:$B$28,0)),""))</f>
        <v>الخميس</v>
      </c>
      <c r="C45" s="5" t="str">
        <f>IF(A45="","",IFERROR(INDEX('جدول الجرد'!$E$2:$E$28,MATCH(A45,'جدول الجرد'!$B$2:$B$28,0)),""))</f>
        <v>الدلم</v>
      </c>
      <c r="D45" s="4" t="n">
        <v>28</v>
      </c>
      <c r="E45" s="4" t="inlineStr">
        <is>
          <t>د. الحسن الغنيمي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n"/>
      <c r="B46" s="5" t="str">
        <f>IF(A46="","",IFERROR(INDEX('جدول الجرد'!$A$2:$A$28,MATCH(A46,'جدول الجرد'!$B$2:$B$28,0)),""))</f>
        <v/>
      </c>
      <c r="C46" s="5" t="str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 t="str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>0</v>
      </c>
    </row>
    <row r="47">
      <c r="A47" s="4" t="n"/>
      <c r="B47" s="5" t="str">
        <f>IF(A47="","",IFERROR(INDEX('جدول الجرد'!$A$2:$A$28,MATCH(A47,'جدول الجرد'!$B$2:$B$28,0)),""))</f>
        <v/>
      </c>
      <c r="C47" s="5" t="str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 t="str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>0</v>
      </c>
    </row>
    <row r="48">
      <c r="A48" s="4" t="n"/>
      <c r="B48" s="5" t="str">
        <f>IF(A48="","",IFERROR(INDEX('جدول الجرد'!$A$2:$A$28,MATCH(A48,'جدول الجرد'!$B$2:$B$28,0)),""))</f>
        <v/>
      </c>
      <c r="C48" s="5" t="str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 t="str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>0</v>
      </c>
    </row>
    <row r="49">
      <c r="A49" s="4" t="n"/>
      <c r="B49" s="5" t="str">
        <f>IF(A49="","",IFERROR(INDEX('جدول الجرد'!$A$2:$A$28,MATCH(A49,'جدول الجرد'!$B$2:$B$28,0)),""))</f>
        <v/>
      </c>
      <c r="C49" s="5" t="str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 t="str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>0</v>
      </c>
    </row>
    <row r="50">
      <c r="A50" s="4" t="n"/>
      <c r="B50" s="5" t="str">
        <f>IF(A50="","",IFERROR(INDEX('جدول الجرد'!$A$2:$A$28,MATCH(A50,'جدول الجرد'!$B$2:$B$28,0)),""))</f>
        <v/>
      </c>
      <c r="C50" s="5" t="str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 t="str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>0</v>
      </c>
    </row>
    <row r="51">
      <c r="A51" s="4" t="n"/>
      <c r="B51" s="5" t="str">
        <f>IF(A51="","",IFERROR(INDEX('جدول الجرد'!$A$2:$A$28,MATCH(A51,'جدول الجرد'!$B$2:$B$28,0)),""))</f>
        <v/>
      </c>
      <c r="C51" s="5" t="str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 t="str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>0</v>
      </c>
    </row>
    <row r="52">
      <c r="A52" s="4" t="n"/>
      <c r="B52" s="5" t="str">
        <f>IF(A52="","",IFERROR(INDEX('جدول الجرد'!$A$2:$A$28,MATCH(A52,'جدول الجرد'!$B$2:$B$28,0)),""))</f>
        <v/>
      </c>
      <c r="C52" s="5" t="str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 t="str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>0</v>
      </c>
    </row>
    <row r="53">
      <c r="A53" s="4" t="n"/>
      <c r="B53" s="5" t="str">
        <f>IF(A53="","",IFERROR(INDEX('جدول الجرد'!$A$2:$A$28,MATCH(A53,'جدول الجرد'!$B$2:$B$28,0)),""))</f>
        <v/>
      </c>
      <c r="C53" s="5" t="str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 t="str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>0</v>
      </c>
    </row>
    <row r="54">
      <c r="A54" s="4" t="n"/>
      <c r="B54" s="5" t="str">
        <f>IF(A54="","",IFERROR(INDEX('جدول الجرد'!$A$2:$A$28,MATCH(A54,'جدول الجرد'!$B$2:$B$28,0)),""))</f>
        <v/>
      </c>
      <c r="C54" s="5" t="str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 t="str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>0</v>
      </c>
    </row>
    <row r="55">
      <c r="A55" s="4" t="n"/>
      <c r="B55" s="5" t="str">
        <f>IF(A55="","",IFERROR(INDEX('جدول الجرد'!$A$2:$A$28,MATCH(A55,'جدول الجرد'!$B$2:$B$28,0)),""))</f>
        <v/>
      </c>
      <c r="C55" s="5" t="str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 t="str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>0</v>
      </c>
    </row>
    <row r="56">
      <c r="A56" s="4" t="n"/>
      <c r="B56" s="5" t="str">
        <f>IF(A56="","",IFERROR(INDEX('جدول الجرد'!$A$2:$A$28,MATCH(A56,'جدول الجرد'!$B$2:$B$28,0)),""))</f>
        <v/>
      </c>
      <c r="C56" s="5" t="str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 t="str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>0</v>
      </c>
    </row>
    <row r="57">
      <c r="A57" s="4" t="n"/>
      <c r="B57" s="5" t="str">
        <f>IF(A57="","",IFERROR(INDEX('جدول الجرد'!$A$2:$A$28,MATCH(A57,'جدول الجرد'!$B$2:$B$28,0)),""))</f>
        <v/>
      </c>
      <c r="C57" s="5" t="str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 t="str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>0</v>
      </c>
    </row>
    <row r="58">
      <c r="A58" s="4" t="n"/>
      <c r="B58" s="5" t="str">
        <f>IF(A58="","",IFERROR(INDEX('جدول الجرد'!$A$2:$A$28,MATCH(A58,'جدول الجرد'!$B$2:$B$28,0)),""))</f>
        <v/>
      </c>
      <c r="C58" s="5" t="str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 t="str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>0</v>
      </c>
    </row>
    <row r="59">
      <c r="A59" s="4" t="n"/>
      <c r="B59" s="5" t="str">
        <f>IF(A59="","",IFERROR(INDEX('جدول الجرد'!$A$2:$A$28,MATCH(A59,'جدول الجرد'!$B$2:$B$28,0)),""))</f>
        <v/>
      </c>
      <c r="C59" s="5" t="str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 t="str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>0</v>
      </c>
    </row>
    <row r="60">
      <c r="A60" s="4" t="n"/>
      <c r="B60" s="5" t="str">
        <f>IF(A60="","",IFERROR(INDEX('جدول الجرد'!$A$2:$A$28,MATCH(A60,'جدول الجرد'!$B$2:$B$28,0)),""))</f>
        <v/>
      </c>
      <c r="C60" s="5" t="str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 t="str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>0</v>
      </c>
    </row>
    <row r="61">
      <c r="A61" s="4" t="n"/>
      <c r="B61" s="5" t="str">
        <f>IF(A61="","",IFERROR(INDEX('جدول الجرد'!$A$2:$A$28,MATCH(A61,'جدول الجرد'!$B$2:$B$28,0)),""))</f>
        <v/>
      </c>
      <c r="C61" s="5" t="str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 t="str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>0</v>
      </c>
    </row>
    <row r="62">
      <c r="A62" s="4" t="n"/>
      <c r="B62" s="5" t="str">
        <f>IF(A62="","",IFERROR(INDEX('جدول الجرد'!$A$2:$A$28,MATCH(A62,'جدول الجرد'!$B$2:$B$28,0)),""))</f>
        <v/>
      </c>
      <c r="C62" s="5" t="str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 t="str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>0</v>
      </c>
    </row>
    <row r="63">
      <c r="A63" s="4" t="n"/>
      <c r="B63" s="5" t="str">
        <f>IF(A63="","",IFERROR(INDEX('جدول الجرد'!$A$2:$A$28,MATCH(A63,'جدول الجرد'!$B$2:$B$28,0)),""))</f>
        <v/>
      </c>
      <c r="C63" s="5" t="str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 t="str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>0</v>
      </c>
    </row>
    <row r="64">
      <c r="A64" s="4" t="n"/>
      <c r="B64" s="5" t="str">
        <f>IF(A64="","",IFERROR(INDEX('جدول الجرد'!$A$2:$A$28,MATCH(A64,'جدول الجرد'!$B$2:$B$28,0)),""))</f>
        <v/>
      </c>
      <c r="C64" s="5" t="str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 t="str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>0</v>
      </c>
    </row>
    <row r="65">
      <c r="A65" s="4" t="n"/>
      <c r="B65" s="5" t="str">
        <f>IF(A65="","",IFERROR(INDEX('جدول الجرد'!$A$2:$A$28,MATCH(A65,'جدول الجرد'!$B$2:$B$28,0)),""))</f>
        <v/>
      </c>
      <c r="C65" s="5" t="str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 t="str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>0</v>
      </c>
    </row>
    <row r="66">
      <c r="A66" s="4" t="n"/>
      <c r="B66" s="5" t="str">
        <f>IF(A66="","",IFERROR(INDEX('جدول الجرد'!$A$2:$A$28,MATCH(A66,'جدول الجرد'!$B$2:$B$28,0)),""))</f>
        <v/>
      </c>
      <c r="C66" s="5" t="str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 t="str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>0</v>
      </c>
    </row>
    <row r="67">
      <c r="A67" s="4" t="n"/>
      <c r="B67" s="5" t="str">
        <f>IF(A67="","",IFERROR(INDEX('جدول الجرد'!$A$2:$A$28,MATCH(A67,'جدول الجرد'!$B$2:$B$28,0)),""))</f>
        <v/>
      </c>
      <c r="C67" s="5" t="str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 t="str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>0</v>
      </c>
    </row>
    <row r="68">
      <c r="A68" s="4" t="n"/>
      <c r="B68" s="5" t="str">
        <f>IF(A68="","",IFERROR(INDEX('جدول الجرد'!$A$2:$A$28,MATCH(A68,'جدول الجرد'!$B$2:$B$28,0)),""))</f>
        <v/>
      </c>
      <c r="C68" s="5" t="str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 t="str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>0</v>
      </c>
    </row>
    <row r="69">
      <c r="A69" s="4" t="n"/>
      <c r="B69" s="5" t="str">
        <f>IF(A69="","",IFERROR(INDEX('جدول الجرد'!$A$2:$A$28,MATCH(A69,'جدول الجرد'!$B$2:$B$28,0)),""))</f>
        <v/>
      </c>
      <c r="C69" s="5" t="str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 t="str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>0</v>
      </c>
    </row>
    <row r="70">
      <c r="A70" s="4" t="n"/>
      <c r="B70" s="5" t="str">
        <f>IF(A70="","",IFERROR(INDEX('جدول الجرد'!$A$2:$A$28,MATCH(A70,'جدول الجرد'!$B$2:$B$28,0)),""))</f>
        <v/>
      </c>
      <c r="C70" s="5" t="str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 t="str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>0</v>
      </c>
    </row>
    <row r="71">
      <c r="A71" s="4" t="n"/>
      <c r="B71" s="5" t="str">
        <f>IF(A71="","",IFERROR(INDEX('جدول الجرد'!$A$2:$A$28,MATCH(A71,'جدول الجرد'!$B$2:$B$28,0)),""))</f>
        <v/>
      </c>
      <c r="C71" s="5" t="str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 t="str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>0</v>
      </c>
    </row>
    <row r="72">
      <c r="A72" s="4" t="n"/>
      <c r="B72" s="5" t="str">
        <f>IF(A72="","",IFERROR(INDEX('جدول الجرد'!$A$2:$A$28,MATCH(A72,'جدول الجرد'!$B$2:$B$28,0)),""))</f>
        <v/>
      </c>
      <c r="C72" s="5" t="str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 t="str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>0</v>
      </c>
    </row>
    <row r="73">
      <c r="A73" s="4" t="n"/>
      <c r="B73" s="5" t="str">
        <f>IF(A73="","",IFERROR(INDEX('جدول الجرد'!$A$2:$A$28,MATCH(A73,'جدول الجرد'!$B$2:$B$28,0)),""))</f>
        <v/>
      </c>
      <c r="C73" s="5" t="str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 t="str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>0</v>
      </c>
    </row>
    <row r="74">
      <c r="A74" s="4" t="n"/>
      <c r="B74" s="5" t="str">
        <f>IF(A74="","",IFERROR(INDEX('جدول الجرد'!$A$2:$A$28,MATCH(A74,'جدول الجرد'!$B$2:$B$28,0)),""))</f>
        <v/>
      </c>
      <c r="C74" s="5" t="str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 t="str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>0</v>
      </c>
    </row>
    <row r="75">
      <c r="A75" s="4" t="n"/>
      <c r="B75" s="5" t="str">
        <f>IF(A75="","",IFERROR(INDEX('جدول الجرد'!$A$2:$A$28,MATCH(A75,'جدول الجرد'!$B$2:$B$28,0)),""))</f>
        <v/>
      </c>
      <c r="C75" s="5" t="str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 t="str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>0</v>
      </c>
    </row>
    <row r="76">
      <c r="A76" s="4" t="n"/>
      <c r="B76" s="5" t="str">
        <f>IF(A76="","",IFERROR(INDEX('جدول الجرد'!$A$2:$A$28,MATCH(A76,'جدول الجرد'!$B$2:$B$28,0)),""))</f>
        <v/>
      </c>
      <c r="C76" s="5" t="str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 t="str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>0</v>
      </c>
    </row>
    <row r="77">
      <c r="A77" s="4" t="n"/>
      <c r="B77" s="5" t="str">
        <f>IF(A77="","",IFERROR(INDEX('جدول الجرد'!$A$2:$A$28,MATCH(A77,'جدول الجرد'!$B$2:$B$28,0)),""))</f>
        <v/>
      </c>
      <c r="C77" s="5" t="str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 t="str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>0</v>
      </c>
    </row>
    <row r="78">
      <c r="A78" s="4" t="n"/>
      <c r="B78" s="5" t="str">
        <f>IF(A78="","",IFERROR(INDEX('جدول الجرد'!$A$2:$A$28,MATCH(A78,'جدول الجرد'!$B$2:$B$28,0)),""))</f>
        <v/>
      </c>
      <c r="C78" s="5" t="str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 t="str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>0</v>
      </c>
    </row>
    <row r="79">
      <c r="A79" s="4" t="n"/>
      <c r="B79" s="5" t="str">
        <f>IF(A79="","",IFERROR(INDEX('جدول الجرد'!$A$2:$A$28,MATCH(A79,'جدول الجرد'!$B$2:$B$28,0)),""))</f>
        <v/>
      </c>
      <c r="C79" s="5" t="str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 t="str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>0</v>
      </c>
    </row>
    <row r="80">
      <c r="A80" s="4" t="n"/>
      <c r="B80" s="5" t="str">
        <f>IF(A80="","",IFERROR(INDEX('جدول الجرد'!$A$2:$A$28,MATCH(A80,'جدول الجرد'!$B$2:$B$28,0)),""))</f>
        <v/>
      </c>
      <c r="C80" s="5" t="str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 t="str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>0</v>
      </c>
    </row>
    <row r="81">
      <c r="A81" s="4" t="n"/>
      <c r="B81" s="5" t="str">
        <f>IF(A81="","",IFERROR(INDEX('جدول الجرد'!$A$2:$A$28,MATCH(A81,'جدول الجرد'!$B$2:$B$28,0)),""))</f>
        <v/>
      </c>
      <c r="C81" s="5" t="str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 t="str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>0</v>
      </c>
    </row>
    <row r="82">
      <c r="A82" s="4" t="n"/>
      <c r="B82" s="5" t="str">
        <f>IF(A82="","",IFERROR(INDEX('جدول الجرد'!$A$2:$A$28,MATCH(A82,'جدول الجرد'!$B$2:$B$28,0)),""))</f>
        <v/>
      </c>
      <c r="C82" s="5" t="str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 t="str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>0</v>
      </c>
    </row>
    <row r="83">
      <c r="A83" s="4" t="n"/>
      <c r="B83" s="5" t="str">
        <f>IF(A83="","",IFERROR(INDEX('جدول الجرد'!$A$2:$A$28,MATCH(A83,'جدول الجرد'!$B$2:$B$28,0)),""))</f>
        <v/>
      </c>
      <c r="C83" s="5" t="str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 t="str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>0</v>
      </c>
    </row>
    <row r="84">
      <c r="A84" s="4" t="n"/>
      <c r="B84" s="5" t="str">
        <f>IF(A84="","",IFERROR(INDEX('جدول الجرد'!$A$2:$A$28,MATCH(A84,'جدول الجرد'!$B$2:$B$28,0)),""))</f>
        <v/>
      </c>
      <c r="C84" s="5" t="str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 t="str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>0</v>
      </c>
    </row>
    <row r="85">
      <c r="A85" s="4" t="n"/>
      <c r="B85" s="5" t="str">
        <f>IF(A85="","",IFERROR(INDEX('جدول الجرد'!$A$2:$A$28,MATCH(A85,'جدول الجرد'!$B$2:$B$28,0)),""))</f>
        <v/>
      </c>
      <c r="C85" s="5" t="str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 t="str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>0</v>
      </c>
    </row>
    <row r="86">
      <c r="A86" s="4" t="n"/>
      <c r="B86" s="5" t="str">
        <f>IF(A86="","",IFERROR(INDEX('جدول الجرد'!$A$2:$A$28,MATCH(A86,'جدول الجرد'!$B$2:$B$28,0)),""))</f>
        <v/>
      </c>
      <c r="C86" s="5" t="str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 t="str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>0</v>
      </c>
    </row>
    <row r="87">
      <c r="A87" s="4" t="n"/>
      <c r="B87" s="5" t="str">
        <f>IF(A87="","",IFERROR(INDEX('جدول الجرد'!$A$2:$A$28,MATCH(A87,'جدول الجرد'!$B$2:$B$28,0)),""))</f>
        <v/>
      </c>
      <c r="C87" s="5" t="str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 t="str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>0</v>
      </c>
    </row>
    <row r="88">
      <c r="A88" s="4" t="n"/>
      <c r="B88" s="5" t="str">
        <f>IF(A88="","",IFERROR(INDEX('جدول الجرد'!$A$2:$A$28,MATCH(A88,'جدول الجرد'!$B$2:$B$28,0)),""))</f>
        <v/>
      </c>
      <c r="C88" s="5" t="str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 t="str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>0</v>
      </c>
    </row>
    <row r="89">
      <c r="A89" s="4" t="n"/>
      <c r="B89" s="5" t="str">
        <f>IF(A89="","",IFERROR(INDEX('جدول الجرد'!$A$2:$A$28,MATCH(A89,'جدول الجرد'!$B$2:$B$28,0)),""))</f>
        <v/>
      </c>
      <c r="C89" s="5" t="str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 t="str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>0</v>
      </c>
    </row>
    <row r="90">
      <c r="A90" s="4" t="n"/>
      <c r="B90" s="5" t="str">
        <f>IF(A90="","",IFERROR(INDEX('جدول الجرد'!$A$2:$A$28,MATCH(A90,'جدول الجرد'!$B$2:$B$28,0)),""))</f>
        <v/>
      </c>
      <c r="C90" s="5" t="str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 t="str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>0</v>
      </c>
    </row>
    <row r="91">
      <c r="A91" s="4" t="n"/>
      <c r="B91" s="5" t="str">
        <f>IF(A91="","",IFERROR(INDEX('جدول الجرد'!$A$2:$A$28,MATCH(A91,'جدول الجرد'!$B$2:$B$28,0)),""))</f>
        <v/>
      </c>
      <c r="C91" s="5" t="str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 t="str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>0</v>
      </c>
    </row>
    <row r="92">
      <c r="A92" s="4" t="n"/>
      <c r="B92" s="5" t="str">
        <f>IF(A92="","",IFERROR(INDEX('جدول الجرد'!$A$2:$A$28,MATCH(A92,'جدول الجرد'!$B$2:$B$28,0)),""))</f>
        <v/>
      </c>
      <c r="C92" s="5" t="str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 t="str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>0</v>
      </c>
    </row>
    <row r="93">
      <c r="A93" s="4" t="n"/>
      <c r="B93" s="5" t="str">
        <f>IF(A93="","",IFERROR(INDEX('جدول الجرد'!$A$2:$A$28,MATCH(A93,'جدول الجرد'!$B$2:$B$28,0)),""))</f>
        <v/>
      </c>
      <c r="C93" s="5" t="str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 t="str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>0</v>
      </c>
    </row>
    <row r="94">
      <c r="A94" s="4" t="n"/>
      <c r="B94" s="5" t="str">
        <f>IF(A94="","",IFERROR(INDEX('جدول الجرد'!$A$2:$A$28,MATCH(A94,'جدول الجرد'!$B$2:$B$28,0)),""))</f>
        <v/>
      </c>
      <c r="C94" s="5" t="str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 t="str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>0</v>
      </c>
    </row>
    <row r="95">
      <c r="A95" s="4" t="n"/>
      <c r="B95" s="5" t="str">
        <f>IF(A95="","",IFERROR(INDEX('جدول الجرد'!$A$2:$A$28,MATCH(A95,'جدول الجرد'!$B$2:$B$28,0)),""))</f>
        <v/>
      </c>
      <c r="C95" s="5" t="str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 t="str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>0</v>
      </c>
    </row>
    <row r="96">
      <c r="A96" s="4" t="n"/>
      <c r="B96" s="5" t="str">
        <f>IF(A96="","",IFERROR(INDEX('جدول الجرد'!$A$2:$A$28,MATCH(A96,'جدول الجرد'!$B$2:$B$28,0)),""))</f>
        <v/>
      </c>
      <c r="C96" s="5" t="str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 t="str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>0</v>
      </c>
    </row>
    <row r="97">
      <c r="A97" s="4" t="n"/>
      <c r="B97" s="5" t="str">
        <f>IF(A97="","",IFERROR(INDEX('جدول الجرد'!$A$2:$A$28,MATCH(A97,'جدول الجرد'!$B$2:$B$28,0)),""))</f>
        <v/>
      </c>
      <c r="C97" s="5" t="str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 t="str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>0</v>
      </c>
    </row>
    <row r="98">
      <c r="A98" s="4" t="n"/>
      <c r="B98" s="5" t="str">
        <f>IF(A98="","",IFERROR(INDEX('جدول الجرد'!$A$2:$A$28,MATCH(A98,'جدول الجرد'!$B$2:$B$28,0)),""))</f>
        <v/>
      </c>
      <c r="C98" s="5" t="str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 t="str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>0</v>
      </c>
    </row>
    <row r="99">
      <c r="A99" s="4" t="n"/>
      <c r="B99" s="5" t="str">
        <f>IF(A99="","",IFERROR(INDEX('جدول الجرد'!$A$2:$A$28,MATCH(A99,'جدول الجرد'!$B$2:$B$28,0)),""))</f>
        <v/>
      </c>
      <c r="C99" s="5" t="str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 t="str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>0</v>
      </c>
    </row>
    <row r="100">
      <c r="A100" s="4" t="n"/>
      <c r="B100" s="5" t="str">
        <f>IF(A100="","",IFERROR(INDEX('جدول الجرد'!$A$2:$A$28,MATCH(A100,'جدول الجرد'!$B$2:$B$28,0)),""))</f>
        <v/>
      </c>
      <c r="C100" s="5" t="str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 t="str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>0</v>
      </c>
    </row>
    <row r="101">
      <c r="A101" s="4" t="n"/>
      <c r="B101" s="5" t="str">
        <f>IF(A101="","",IFERROR(INDEX('جدول الجرد'!$A$2:$A$28,MATCH(A101,'جدول الجرد'!$B$2:$B$28,0)),""))</f>
        <v/>
      </c>
      <c r="C101" s="5" t="str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 t="str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>0</v>
      </c>
    </row>
    <row r="102">
      <c r="A102" s="4" t="n"/>
      <c r="B102" s="5" t="str">
        <f>IF(A102="","",IFERROR(INDEX('جدول الجرد'!$A$2:$A$28,MATCH(A102,'جدول الجرد'!$B$2:$B$28,0)),""))</f>
        <v/>
      </c>
      <c r="C102" s="5" t="str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 t="str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>0</v>
      </c>
    </row>
    <row r="103">
      <c r="A103" s="4" t="n"/>
      <c r="B103" s="5" t="str">
        <f>IF(A103="","",IFERROR(INDEX('جدول الجرد'!$A$2:$A$28,MATCH(A103,'جدول الجرد'!$B$2:$B$28,0)),""))</f>
        <v/>
      </c>
      <c r="C103" s="5" t="str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 t="str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>0</v>
      </c>
    </row>
    <row r="104">
      <c r="A104" s="4" t="n"/>
      <c r="B104" s="5" t="str">
        <f>IF(A104="","",IFERROR(INDEX('جدول الجرد'!$A$2:$A$28,MATCH(A104,'جدول الجرد'!$B$2:$B$28,0)),""))</f>
        <v/>
      </c>
      <c r="C104" s="5" t="str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 t="str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>0</v>
      </c>
    </row>
    <row r="105">
      <c r="A105" s="4" t="n"/>
      <c r="B105" s="5" t="str">
        <f>IF(A105="","",IFERROR(INDEX('جدول الجرد'!$A$2:$A$28,MATCH(A105,'جدول الجرد'!$B$2:$B$28,0)),""))</f>
        <v/>
      </c>
      <c r="C105" s="5" t="str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 t="str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>0</v>
      </c>
    </row>
    <row r="106">
      <c r="A106" s="4" t="n"/>
      <c r="B106" s="5" t="str">
        <f>IF(A106="","",IFERROR(INDEX('جدول الجرد'!$A$2:$A$28,MATCH(A106,'جدول الجرد'!$B$2:$B$28,0)),""))</f>
        <v/>
      </c>
      <c r="C106" s="5" t="str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 t="str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>0</v>
      </c>
    </row>
    <row r="107">
      <c r="A107" s="4" t="n"/>
      <c r="B107" s="5" t="str">
        <f>IF(A107="","",IFERROR(INDEX('جدول الجرد'!$A$2:$A$28,MATCH(A107,'جدول الجرد'!$B$2:$B$28,0)),""))</f>
        <v/>
      </c>
      <c r="C107" s="5" t="str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 t="str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>0</v>
      </c>
    </row>
    <row r="108">
      <c r="A108" s="4" t="n"/>
      <c r="B108" s="5" t="str">
        <f>IF(A108="","",IFERROR(INDEX('جدول الجرد'!$A$2:$A$28,MATCH(A108,'جدول الجرد'!$B$2:$B$28,0)),""))</f>
        <v/>
      </c>
      <c r="C108" s="5" t="str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 t="str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>0</v>
      </c>
    </row>
    <row r="109">
      <c r="A109" s="4" t="n"/>
      <c r="B109" s="5" t="str">
        <f>IF(A109="","",IFERROR(INDEX('جدول الجرد'!$A$2:$A$28,MATCH(A109,'جدول الجرد'!$B$2:$B$28,0)),""))</f>
        <v/>
      </c>
      <c r="C109" s="5" t="str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 t="str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>0</v>
      </c>
    </row>
    <row r="110">
      <c r="A110" s="4" t="n"/>
      <c r="B110" s="5" t="str">
        <f>IF(A110="","",IFERROR(INDEX('جدول الجرد'!$A$2:$A$28,MATCH(A110,'جدول الجرد'!$B$2:$B$28,0)),""))</f>
        <v/>
      </c>
      <c r="C110" s="5" t="str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 t="str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>0</v>
      </c>
    </row>
    <row r="111">
      <c r="A111" s="4" t="n"/>
      <c r="B111" s="5" t="str">
        <f>IF(A111="","",IFERROR(INDEX('جدول الجرد'!$A$2:$A$28,MATCH(A111,'جدول الجرد'!$B$2:$B$28,0)),""))</f>
        <v/>
      </c>
      <c r="C111" s="5" t="str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الجرد'!$A$2:$A$28,MATCH(A112,'جدول الجرد'!$B$2:$B$28,0)),""))</f>
        <v/>
      </c>
      <c r="C112" s="5" t="str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الجرد'!$A$2:$A$28,MATCH(A113,'جدول الجرد'!$B$2:$B$28,0)),""))</f>
        <v/>
      </c>
      <c r="C113" s="5" t="str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الجرد'!$A$2:$A$28,MATCH(A114,'جدول الجرد'!$B$2:$B$28,0)),""))</f>
        <v/>
      </c>
      <c r="C114" s="5" t="str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الجرد'!$A$2:$A$28,MATCH(A115,'جدول الجرد'!$B$2:$B$28,0)),""))</f>
        <v/>
      </c>
      <c r="C115" s="5" t="str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الجرد'!$A$2:$A$28,MATCH(A116,'جدول الجرد'!$B$2:$B$28,0)),""))</f>
        <v/>
      </c>
      <c r="C116" s="5" t="str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الجرد'!$A$2:$A$28,MATCH(A117,'جدول الجرد'!$B$2:$B$28,0)),""))</f>
        <v/>
      </c>
      <c r="C117" s="5" t="str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الجرد'!$A$2:$A$28,MATCH(A118,'جدول الجرد'!$B$2:$B$28,0)),""))</f>
        <v/>
      </c>
      <c r="C118" s="5" t="str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الجرد'!$A$2:$A$28,MATCH(A119,'جدول الجرد'!$B$2:$B$28,0)),""))</f>
        <v/>
      </c>
      <c r="C119" s="5" t="str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الجرد'!$A$2:$A$28,MATCH(A120,'جدول الجرد'!$B$2:$B$28,0)),""))</f>
        <v/>
      </c>
      <c r="C120" s="5" t="str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الجرد'!$A$2:$A$28,MATCH(A121,'جدول الجرد'!$B$2:$B$28,0)),""))</f>
        <v/>
      </c>
      <c r="C121" s="5" t="str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الجرد'!$A$2:$A$28,MATCH(A122,'جدول الجرد'!$B$2:$B$28,0)),""))</f>
        <v/>
      </c>
      <c r="C122" s="5" t="str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الجرد'!$A$2:$A$28,MATCH(A123,'جدول الجرد'!$B$2:$B$28,0)),""))</f>
        <v/>
      </c>
      <c r="C123" s="5" t="str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الجرد'!$A$2:$A$28,MATCH(A124,'جدول الجرد'!$B$2:$B$28,0)),""))</f>
        <v/>
      </c>
      <c r="C124" s="5" t="str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الجرد'!$A$2:$A$28,MATCH(A125,'جدول الجرد'!$B$2:$B$28,0)),""))</f>
        <v/>
      </c>
      <c r="C125" s="5" t="str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الجرد'!$A$2:$A$28,MATCH(A126,'جدول الجرد'!$B$2:$B$28,0)),""))</f>
        <v/>
      </c>
      <c r="C126" s="5" t="str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الجرد'!$A$2:$A$28,MATCH(A127,'جدول الجرد'!$B$2:$B$28,0)),""))</f>
        <v/>
      </c>
      <c r="C127" s="5" t="str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الجرد'!$A$2:$A$28,MATCH(A128,'جدول الجرد'!$B$2:$B$28,0)),""))</f>
        <v/>
      </c>
      <c r="C128" s="5" t="str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الجرد'!$A$2:$A$28,MATCH(A129,'جدول الجرد'!$B$2:$B$28,0)),""))</f>
        <v/>
      </c>
      <c r="C129" s="5" t="str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الجرد'!$A$2:$A$28,MATCH(A130,'جدول الجرد'!$B$2:$B$28,0)),""))</f>
        <v/>
      </c>
      <c r="C130" s="5" t="str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الجرد'!$A$2:$A$28,MATCH(A131,'جدول الجرد'!$B$2:$B$28,0)),""))</f>
        <v/>
      </c>
      <c r="C131" s="5" t="str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الجرد'!$A$2:$A$28,MATCH(A132,'جدول الجرد'!$B$2:$B$28,0)),""))</f>
        <v/>
      </c>
      <c r="C132" s="5" t="str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الجرد'!$A$2:$A$28,MATCH(A133,'جدول الجرد'!$B$2:$B$28,0)),""))</f>
        <v/>
      </c>
      <c r="C133" s="5" t="str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الجرد'!$A$2:$A$28,MATCH(A134,'جدول الجرد'!$B$2:$B$28,0)),""))</f>
        <v/>
      </c>
      <c r="C134" s="5" t="str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الجرد'!$A$2:$A$28,MATCH(A135,'جدول الجرد'!$B$2:$B$28,0)),""))</f>
        <v/>
      </c>
      <c r="C135" s="5" t="str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الجرد'!$A$2:$A$28,MATCH(A136,'جدول الجرد'!$B$2:$B$28,0)),""))</f>
        <v/>
      </c>
      <c r="C136" s="5" t="str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الجرد'!$A$2:$A$28,MATCH(A137,'جدول الجرد'!$B$2:$B$28,0)),""))</f>
        <v/>
      </c>
      <c r="C137" s="5" t="str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الجرد'!$A$2:$A$28,MATCH(A138,'جدول الجرد'!$B$2:$B$28,0)),""))</f>
        <v/>
      </c>
      <c r="C138" s="5" t="str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الجرد'!$A$2:$A$28,MATCH(A139,'جدول الجرد'!$B$2:$B$28,0)),""))</f>
        <v/>
      </c>
      <c r="C139" s="5" t="str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الجرد'!$A$2:$A$28,MATCH(A140,'جدول الجرد'!$B$2:$B$28,0)),""))</f>
        <v/>
      </c>
      <c r="C140" s="5" t="str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الجرد'!$A$2:$A$28,MATCH(A141,'جدول الجرد'!$B$2:$B$28,0)),""))</f>
        <v/>
      </c>
      <c r="C141" s="5" t="str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الجرد'!$A$2:$A$28,MATCH(A142,'جدول الجرد'!$B$2:$B$28,0)),""))</f>
        <v/>
      </c>
      <c r="C142" s="5" t="str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الجرد'!$A$2:$A$28,MATCH(A143,'جدول الجرد'!$B$2:$B$28,0)),""))</f>
        <v/>
      </c>
      <c r="C143" s="5" t="str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الجرد'!$A$2:$A$28,MATCH(A144,'جدول الجرد'!$B$2:$B$28,0)),""))</f>
        <v/>
      </c>
      <c r="C144" s="5" t="str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الجرد'!$A$2:$A$28,MATCH(A145,'جدول الجرد'!$B$2:$B$28,0)),""))</f>
        <v/>
      </c>
      <c r="C145" s="5" t="str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الجرد'!$A$2:$A$28,MATCH(A146,'جدول الجرد'!$B$2:$B$28,0)),""))</f>
        <v/>
      </c>
      <c r="C146" s="5" t="str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الجرد'!$A$2:$A$28,MATCH(A147,'جدول الجرد'!$B$2:$B$28,0)),""))</f>
        <v/>
      </c>
      <c r="C147" s="5" t="str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الجرد'!$A$2:$A$28,MATCH(A148,'جدول الجرد'!$B$2:$B$28,0)),""))</f>
        <v/>
      </c>
      <c r="C148" s="5" t="str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الجرد'!$A$2:$A$28,MATCH(A149,'جدول الجرد'!$B$2:$B$28,0)),""))</f>
        <v/>
      </c>
      <c r="C149" s="5" t="str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الجرد'!$A$2:$A$28,MATCH(A150,'جدول الجرد'!$B$2:$B$28,0)),""))</f>
        <v/>
      </c>
      <c r="C150" s="5" t="str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الجرد'!$A$2:$A$28,MATCH(A151,'جدول الجرد'!$B$2:$B$28,0)),""))</f>
        <v/>
      </c>
      <c r="C151" s="5" t="str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الجرد'!$A$2:$A$28,MATCH(A152,'جدول الجرد'!$B$2:$B$28,0)),""))</f>
        <v/>
      </c>
      <c r="C152" s="5" t="str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الجرد'!$A$2:$A$28,MATCH(A153,'جدول الجرد'!$B$2:$B$28,0)),""))</f>
        <v/>
      </c>
      <c r="C153" s="5" t="str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الجرد'!$A$2:$A$28,MATCH(A154,'جدول الجرد'!$B$2:$B$28,0)),""))</f>
        <v/>
      </c>
      <c r="C154" s="5" t="str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الجرد'!$A$2:$A$28,MATCH(A155,'جدول الجرد'!$B$2:$B$28,0)),""))</f>
        <v/>
      </c>
      <c r="C155" s="5" t="str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الجرد'!$A$2:$A$28,MATCH(A156,'جدول الجرد'!$B$2:$B$28,0)),""))</f>
        <v/>
      </c>
      <c r="C156" s="5" t="str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الجرد'!$A$2:$A$28,MATCH(A157,'جدول الجرد'!$B$2:$B$28,0)),""))</f>
        <v/>
      </c>
      <c r="C157" s="5" t="str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الجرد'!$A$2:$A$28,MATCH(A158,'جدول الجرد'!$B$2:$B$28,0)),""))</f>
        <v/>
      </c>
      <c r="C158" s="5" t="str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الجرد'!$A$2:$A$28,MATCH(A159,'جدول الجرد'!$B$2:$B$28,0)),""))</f>
        <v/>
      </c>
      <c r="C159" s="5" t="str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الجرد'!$A$2:$A$28,MATCH(A160,'جدول الجرد'!$B$2:$B$28,0)),""))</f>
        <v/>
      </c>
      <c r="C160" s="5" t="str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الجرد'!$A$2:$A$28,MATCH(A161,'جدول الجرد'!$B$2:$B$28,0)),""))</f>
        <v/>
      </c>
      <c r="C161" s="5" t="str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الجرد'!$A$2:$A$28,MATCH(A162,'جدول الجرد'!$B$2:$B$28,0)),""))</f>
        <v/>
      </c>
      <c r="C162" s="5" t="str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الجرد'!$A$2:$A$28,MATCH(A163,'جدول الجرد'!$B$2:$B$28,0)),""))</f>
        <v/>
      </c>
      <c r="C163" s="5" t="str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الجرد'!$A$2:$A$28,MATCH(A164,'جدول الجرد'!$B$2:$B$28,0)),""))</f>
        <v/>
      </c>
      <c r="C164" s="5" t="str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الجرد'!$A$2:$A$28,MATCH(A165,'جدول الجرد'!$B$2:$B$28,0)),""))</f>
        <v/>
      </c>
      <c r="C165" s="5" t="str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الجرد'!$A$2:$A$28,MATCH(A166,'جدول الجرد'!$B$2:$B$28,0)),""))</f>
        <v/>
      </c>
      <c r="C166" s="5" t="str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الجرد'!$A$2:$A$28,MATCH(A167,'جدول الجرد'!$B$2:$B$28,0)),""))</f>
        <v/>
      </c>
      <c r="C167" s="5" t="str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الجرد'!$A$2:$A$28,MATCH(A168,'جدول الجرد'!$B$2:$B$28,0)),""))</f>
        <v/>
      </c>
      <c r="C168" s="5" t="str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الجرد'!$A$2:$A$28,MATCH(A169,'جدول الجرد'!$B$2:$B$28,0)),""))</f>
        <v/>
      </c>
      <c r="C169" s="5" t="str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الجرد'!$A$2:$A$28,MATCH(A170,'جدول الجرد'!$B$2:$B$28,0)),""))</f>
        <v/>
      </c>
      <c r="C170" s="5" t="str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الجرد'!$A$2:$A$28,MATCH(A171,'جدول الجرد'!$B$2:$B$28,0)),""))</f>
        <v/>
      </c>
      <c r="C171" s="5" t="str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الجرد'!$A$2:$A$28,MATCH(A172,'جدول الجرد'!$B$2:$B$28,0)),""))</f>
        <v/>
      </c>
      <c r="C172" s="5" t="str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الجرد'!$A$2:$A$28,MATCH(A173,'جدول الجرد'!$B$2:$B$28,0)),""))</f>
        <v/>
      </c>
      <c r="C173" s="5" t="str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الجرد'!$A$2:$A$28,MATCH(A174,'جدول الجرد'!$B$2:$B$28,0)),""))</f>
        <v/>
      </c>
      <c r="C174" s="5" t="str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الجرد'!$A$2:$A$28,MATCH(A175,'جدول الجرد'!$B$2:$B$28,0)),""))</f>
        <v/>
      </c>
      <c r="C175" s="5" t="str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الجرد'!$A$2:$A$28,MATCH(A176,'جدول الجرد'!$B$2:$B$28,0)),""))</f>
        <v/>
      </c>
      <c r="C176" s="5" t="str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الجرد'!$A$2:$A$28,MATCH(A177,'جدول الجرد'!$B$2:$B$28,0)),""))</f>
        <v/>
      </c>
      <c r="C177" s="5" t="str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الجرد'!$A$2:$A$28,MATCH(A178,'جدول الجرد'!$B$2:$B$28,0)),""))</f>
        <v/>
      </c>
      <c r="C178" s="5" t="str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الجرد'!$A$2:$A$28,MATCH(A179,'جدول الجرد'!$B$2:$B$28,0)),""))</f>
        <v/>
      </c>
      <c r="C179" s="5" t="str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الجرد'!$A$2:$A$28,MATCH(A180,'جدول الجرد'!$B$2:$B$28,0)),""))</f>
        <v/>
      </c>
      <c r="C180" s="5" t="str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الجرد'!$A$2:$A$28,MATCH(A181,'جدول الجرد'!$B$2:$B$28,0)),""))</f>
        <v/>
      </c>
      <c r="C181" s="5" t="str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الجرد'!$A$2:$A$28,MATCH(A182,'جدول الجرد'!$B$2:$B$28,0)),""))</f>
        <v/>
      </c>
      <c r="C182" s="5" t="str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الجرد'!$A$2:$A$28,MATCH(A183,'جدول الجرد'!$B$2:$B$28,0)),""))</f>
        <v/>
      </c>
      <c r="C183" s="5" t="str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الجرد'!$A$2:$A$28,MATCH(A184,'جدول الجرد'!$B$2:$B$28,0)),""))</f>
        <v/>
      </c>
      <c r="C184" s="5" t="str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الجرد'!$A$2:$A$28,MATCH(A185,'جدول الجرد'!$B$2:$B$28,0)),""))</f>
        <v/>
      </c>
      <c r="C185" s="5" t="str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الجرد'!$A$2:$A$28,MATCH(A186,'جدول الجرد'!$B$2:$B$28,0)),""))</f>
        <v/>
      </c>
      <c r="C186" s="5" t="str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الجرد'!$A$2:$A$28,MATCH(A187,'جدول الجرد'!$B$2:$B$28,0)),""))</f>
        <v/>
      </c>
      <c r="C187" s="5" t="str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الجرد'!$A$2:$A$28,MATCH(A188,'جدول الجرد'!$B$2:$B$28,0)),""))</f>
        <v/>
      </c>
      <c r="C188" s="5" t="str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الجرد'!$A$2:$A$28,MATCH(A189,'جدول الجرد'!$B$2:$B$28,0)),""))</f>
        <v/>
      </c>
      <c r="C189" s="5" t="str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الجرد'!$A$2:$A$28,MATCH(A190,'جدول الجرد'!$B$2:$B$28,0)),""))</f>
        <v/>
      </c>
      <c r="C190" s="5" t="str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الجرد'!$A$2:$A$28,MATCH(A191,'جدول الجرد'!$B$2:$B$28,0)),""))</f>
        <v/>
      </c>
      <c r="C191" s="5" t="str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الجرد'!$A$2:$A$28,MATCH(A192,'جدول الجرد'!$B$2:$B$28,0)),""))</f>
        <v/>
      </c>
      <c r="C192" s="5" t="str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الجرد'!$A$2:$A$28,MATCH(A193,'جدول الجرد'!$B$2:$B$28,0)),""))</f>
        <v/>
      </c>
      <c r="C193" s="5" t="str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الجرد'!$A$2:$A$28,MATCH(A194,'جدول الجرد'!$B$2:$B$28,0)),""))</f>
        <v/>
      </c>
      <c r="C194" s="5" t="str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الجرد'!$A$2:$A$28,MATCH(A195,'جدول الجرد'!$B$2:$B$28,0)),""))</f>
        <v/>
      </c>
      <c r="C195" s="5" t="str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الجرد'!$A$2:$A$28,MATCH(A196,'جدول الجرد'!$B$2:$B$28,0)),""))</f>
        <v/>
      </c>
      <c r="C196" s="5" t="str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الجرد'!$A$2:$A$28,MATCH(A197,'جدول الجرد'!$B$2:$B$28,0)),""))</f>
        <v/>
      </c>
      <c r="C197" s="5" t="str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الجرد'!$A$2:$A$28,MATCH(A198,'جدول الجرد'!$B$2:$B$28,0)),""))</f>
        <v/>
      </c>
      <c r="C198" s="5" t="str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الجرد'!$A$2:$A$28,MATCH(A199,'جدول الجرد'!$B$2:$B$28,0)),""))</f>
        <v/>
      </c>
      <c r="C199" s="5" t="str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الجرد'!$A$2:$A$28,MATCH(A200,'جدول الجرد'!$B$2:$B$28,0)),""))</f>
        <v/>
      </c>
      <c r="C200" s="5" t="str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الجرد'!$A$2:$A$28,MATCH(A201,'جدول الجرد'!$B$2:$B$28,0)),""))</f>
        <v/>
      </c>
      <c r="C201" s="5" t="str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الجرد'!$A$2:$A$28,MATCH(A202,'جدول الجرد'!$B$2:$B$28,0)),""))</f>
        <v/>
      </c>
      <c r="C202" s="5" t="str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الجرد'!$A$2:$A$28,MATCH(A203,'جدول الجرد'!$B$2:$B$28,0)),""))</f>
        <v/>
      </c>
      <c r="C203" s="5" t="str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الجرد'!$A$2:$A$28,MATCH(A204,'جدول الجرد'!$B$2:$B$28,0)),""))</f>
        <v/>
      </c>
      <c r="C204" s="5" t="str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الجرد'!$A$2:$A$28,MATCH(A205,'جدول الجرد'!$B$2:$B$28,0)),""))</f>
        <v/>
      </c>
      <c r="C205" s="5" t="str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الجرد'!$A$2:$A$28,MATCH(A206,'جدول الجرد'!$B$2:$B$28,0)),""))</f>
        <v/>
      </c>
      <c r="C206" s="5" t="str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الجرد'!$A$2:$A$28,MATCH(A207,'جدول الجرد'!$B$2:$B$28,0)),""))</f>
        <v/>
      </c>
      <c r="C207" s="5" t="str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الجرد'!$A$2:$A$28,MATCH(A208,'جدول الجرد'!$B$2:$B$28,0)),""))</f>
        <v/>
      </c>
      <c r="C208" s="5" t="str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الجرد'!$A$2:$A$28,MATCH(A209,'جدول الجرد'!$B$2:$B$28,0)),""))</f>
        <v/>
      </c>
      <c r="C209" s="5" t="str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الجرد'!$A$2:$A$28,MATCH(A210,'جدول الجرد'!$B$2:$B$28,0)),""))</f>
        <v/>
      </c>
      <c r="C210" s="5" t="str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الجرد'!$A$2:$A$28,MATCH(A211,'جدول الجرد'!$B$2:$B$28,0)),""))</f>
        <v/>
      </c>
      <c r="C211" s="5" t="str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الجرد'!$A$2:$A$28,MATCH(A212,'جدول الجرد'!$B$2:$B$28,0)),""))</f>
        <v/>
      </c>
      <c r="C212" s="5" t="str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الجرد'!$A$2:$A$28,MATCH(A213,'جدول الجرد'!$B$2:$B$28,0)),""))</f>
        <v/>
      </c>
      <c r="C213" s="5" t="str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الجرد'!$A$2:$A$28,MATCH(A214,'جدول الجرد'!$B$2:$B$28,0)),""))</f>
        <v/>
      </c>
      <c r="C214" s="5" t="str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الجرد'!$A$2:$A$28,MATCH(A215,'جدول الجرد'!$B$2:$B$28,0)),""))</f>
        <v/>
      </c>
      <c r="C215" s="5" t="str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الجرد'!$A$2:$A$28,MATCH(A216,'جدول الجرد'!$B$2:$B$28,0)),""))</f>
        <v/>
      </c>
      <c r="C216" s="5" t="str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الجرد'!$A$2:$A$28,MATCH(A217,'جدول الجرد'!$B$2:$B$28,0)),""))</f>
        <v/>
      </c>
      <c r="C217" s="5" t="str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الجرد'!$A$2:$A$28,MATCH(A218,'جدول الجرد'!$B$2:$B$28,0)),""))</f>
        <v/>
      </c>
      <c r="C218" s="5" t="str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الجرد'!$A$2:$A$28,MATCH(A219,'جدول الجرد'!$B$2:$B$28,0)),""))</f>
        <v/>
      </c>
      <c r="C219" s="5" t="str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الجرد'!$A$2:$A$28,MATCH(A220,'جدول الجرد'!$B$2:$B$28,0)),""))</f>
        <v/>
      </c>
      <c r="C220" s="5" t="str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الجرد'!$A$2:$A$28,MATCH(A221,'جدول الجرد'!$B$2:$B$28,0)),""))</f>
        <v/>
      </c>
      <c r="C221" s="5" t="str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الجرد'!$A$2:$A$28,MATCH(A222,'جدول الجرد'!$B$2:$B$28,0)),""))</f>
        <v/>
      </c>
      <c r="C222" s="5" t="str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الجرد'!$A$2:$A$28,MATCH(A223,'جدول الجرد'!$B$2:$B$28,0)),""))</f>
        <v/>
      </c>
      <c r="C223" s="5" t="str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الجرد'!$A$2:$A$28,MATCH(A224,'جدول الجرد'!$B$2:$B$28,0)),""))</f>
        <v/>
      </c>
      <c r="C224" s="5" t="str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الجرد'!$A$2:$A$28,MATCH(A225,'جدول الجرد'!$B$2:$B$28,0)),""))</f>
        <v/>
      </c>
      <c r="C225" s="5" t="str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الجرد'!$A$2:$A$28,MATCH(A226,'جدول الجرد'!$B$2:$B$28,0)),""))</f>
        <v/>
      </c>
      <c r="C226" s="5" t="str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الجرد'!$A$2:$A$28,MATCH(A227,'جدول الجرد'!$B$2:$B$28,0)),""))</f>
        <v/>
      </c>
      <c r="C227" s="5" t="str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الجرد'!$A$2:$A$28,MATCH(A228,'جدول الجرد'!$B$2:$B$28,0)),""))</f>
        <v/>
      </c>
      <c r="C228" s="5" t="str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الجرد'!$A$2:$A$28,MATCH(A229,'جدول الجرد'!$B$2:$B$28,0)),""))</f>
        <v/>
      </c>
      <c r="C229" s="5" t="str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الجرد'!$A$2:$A$28,MATCH(A230,'جدول الجرد'!$B$2:$B$28,0)),""))</f>
        <v/>
      </c>
      <c r="C230" s="5" t="str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الجرد'!$A$2:$A$28,MATCH(A231,'جدول الجرد'!$B$2:$B$28,0)),""))</f>
        <v/>
      </c>
      <c r="C231" s="5" t="str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الجرد'!$A$2:$A$28,MATCH(A232,'جدول الجرد'!$B$2:$B$28,0)),""))</f>
        <v/>
      </c>
      <c r="C232" s="5" t="str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الجرد'!$A$2:$A$28,MATCH(A233,'جدول الجرد'!$B$2:$B$28,0)),""))</f>
        <v/>
      </c>
      <c r="C233" s="5" t="str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الجرد'!$A$2:$A$28,MATCH(A234,'جدول الجرد'!$B$2:$B$28,0)),""))</f>
        <v/>
      </c>
      <c r="C234" s="5" t="str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الجرد'!$A$2:$A$28,MATCH(A235,'جدول الجرد'!$B$2:$B$28,0)),""))</f>
        <v/>
      </c>
      <c r="C235" s="5" t="str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الجرد'!$A$2:$A$28,MATCH(A236,'جدول الجرد'!$B$2:$B$28,0)),""))</f>
        <v/>
      </c>
      <c r="C236" s="5" t="str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الجرد'!$A$2:$A$28,MATCH(A237,'جدول الجرد'!$B$2:$B$28,0)),""))</f>
        <v/>
      </c>
      <c r="C237" s="5" t="str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الجرد'!$A$2:$A$28,MATCH(A238,'جدول الجرد'!$B$2:$B$28,0)),""))</f>
        <v/>
      </c>
      <c r="C238" s="5" t="str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الجرد'!$A$2:$A$28,MATCH(A239,'جدول الجرد'!$B$2:$B$28,0)),""))</f>
        <v/>
      </c>
      <c r="C239" s="5" t="str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الجرد'!$A$2:$A$28,MATCH(A240,'جدول الجرد'!$B$2:$B$28,0)),""))</f>
        <v/>
      </c>
      <c r="C240" s="5" t="str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الجرد'!$A$2:$A$28,MATCH(A241,'جدول الجرد'!$B$2:$B$28,0)),""))</f>
        <v/>
      </c>
      <c r="C241" s="5" t="str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الجرد'!$A$2:$A$28,MATCH(A242,'جدول الجرد'!$B$2:$B$28,0)),""))</f>
        <v/>
      </c>
      <c r="C242" s="5" t="str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الجرد'!$A$2:$A$28,MATCH(A243,'جدول الجرد'!$B$2:$B$28,0)),""))</f>
        <v/>
      </c>
      <c r="C243" s="5" t="str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الجرد'!$A$2:$A$28,MATCH(A244,'جدول الجرد'!$B$2:$B$28,0)),""))</f>
        <v/>
      </c>
      <c r="C244" s="5" t="str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الجرد'!$A$2:$A$28,MATCH(A245,'جدول الجرد'!$B$2:$B$28,0)),""))</f>
        <v/>
      </c>
      <c r="C245" s="5" t="str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الجرد'!$A$2:$A$28,MATCH(A246,'جدول الجرد'!$B$2:$B$28,0)),""))</f>
        <v/>
      </c>
      <c r="C246" s="5" t="str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الجرد'!$A$2:$A$28,MATCH(A247,'جدول الجرد'!$B$2:$B$28,0)),""))</f>
        <v/>
      </c>
      <c r="C247" s="5" t="str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الجرد'!$A$2:$A$28,MATCH(A248,'جدول الجرد'!$B$2:$B$28,0)),""))</f>
        <v/>
      </c>
      <c r="C248" s="5" t="str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الجرد'!$A$2:$A$28,MATCH(A249,'جدول الجرد'!$B$2:$B$28,0)),""))</f>
        <v/>
      </c>
      <c r="C249" s="5" t="str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الجرد'!$A$2:$A$28,MATCH(A250,'جدول الجرد'!$B$2:$B$28,0)),""))</f>
        <v/>
      </c>
      <c r="C250" s="5" t="str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الجرد'!$A$2:$A$28,MATCH(A251,'جدول الجرد'!$B$2:$B$28,0)),""))</f>
        <v/>
      </c>
      <c r="C251" s="5" t="str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الجرد'!$A$2:$A$28,MATCH(A252,'جدول الجرد'!$B$2:$B$28,0)),""))</f>
        <v/>
      </c>
      <c r="C252" s="5" t="str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الجرد'!$A$2:$A$28,MATCH(A253,'جدول الجرد'!$B$2:$B$28,0)),""))</f>
        <v/>
      </c>
      <c r="C253" s="5" t="str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الجرد'!$A$2:$A$28,MATCH(A254,'جدول الجرد'!$B$2:$B$28,0)),""))</f>
        <v/>
      </c>
      <c r="C254" s="5" t="str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الجرد'!$A$2:$A$28,MATCH(A255,'جدول الجرد'!$B$2:$B$28,0)),""))</f>
        <v/>
      </c>
      <c r="C255" s="5" t="str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الجرد'!$A$2:$A$28,MATCH(A256,'جدول الجرد'!$B$2:$B$28,0)),""))</f>
        <v/>
      </c>
      <c r="C256" s="5" t="str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الجرد'!$A$2:$A$28,MATCH(A257,'جدول الجرد'!$B$2:$B$28,0)),""))</f>
        <v/>
      </c>
      <c r="C257" s="5" t="str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الجرد'!$A$2:$A$28,MATCH(A258,'جدول الجرد'!$B$2:$B$28,0)),""))</f>
        <v/>
      </c>
      <c r="C258" s="5" t="str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الجرد'!$A$2:$A$28,MATCH(A259,'جدول الجرد'!$B$2:$B$28,0)),""))</f>
        <v/>
      </c>
      <c r="C259" s="5" t="str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الجرد'!$A$2:$A$28,MATCH(A260,'جدول الجرد'!$B$2:$B$28,0)),""))</f>
        <v/>
      </c>
      <c r="C260" s="5" t="str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الجرد'!$A$2:$A$28,MATCH(A261,'جدول الجرد'!$B$2:$B$28,0)),""))</f>
        <v/>
      </c>
      <c r="C261" s="5" t="str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الجرد'!$A$2:$A$28,MATCH(A262,'جدول الجرد'!$B$2:$B$28,0)),""))</f>
        <v/>
      </c>
      <c r="C262" s="5" t="str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الجرد'!$A$2:$A$28,MATCH(A263,'جدول الجرد'!$B$2:$B$28,0)),""))</f>
        <v/>
      </c>
      <c r="C263" s="5" t="str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الجرد'!$A$2:$A$28,MATCH(A264,'جدول الجرد'!$B$2:$B$28,0)),""))</f>
        <v/>
      </c>
      <c r="C264" s="5" t="str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الجرد'!$A$2:$A$28,MATCH(A265,'جدول الجرد'!$B$2:$B$28,0)),""))</f>
        <v/>
      </c>
      <c r="C265" s="5" t="str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الجرد'!$A$2:$A$28,MATCH(A266,'جدول الجرد'!$B$2:$B$28,0)),""))</f>
        <v/>
      </c>
      <c r="C266" s="5" t="str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الجرد'!$A$2:$A$28,MATCH(A267,'جدول الجرد'!$B$2:$B$28,0)),""))</f>
        <v/>
      </c>
      <c r="C267" s="5" t="str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الجرد'!$A$2:$A$28,MATCH(A268,'جدول الجرد'!$B$2:$B$28,0)),""))</f>
        <v/>
      </c>
      <c r="C268" s="5" t="str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الجرد'!$A$2:$A$28,MATCH(A269,'جدول الجرد'!$B$2:$B$28,0)),""))</f>
        <v/>
      </c>
      <c r="C269" s="5" t="str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الجرد'!$A$2:$A$28,MATCH(A270,'جدول الجرد'!$B$2:$B$28,0)),""))</f>
        <v/>
      </c>
      <c r="C270" s="5" t="str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الجرد'!$A$2:$A$28,MATCH(A271,'جدول الجرد'!$B$2:$B$28,0)),""))</f>
        <v/>
      </c>
      <c r="C271" s="5" t="str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الجرد'!$A$2:$A$28,MATCH(A272,'جدول الجرد'!$B$2:$B$28,0)),""))</f>
        <v/>
      </c>
      <c r="C272" s="5" t="str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الجرد'!$A$2:$A$28,MATCH(A273,'جدول الجرد'!$B$2:$B$28,0)),""))</f>
        <v/>
      </c>
      <c r="C273" s="5" t="str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الجرد'!$A$2:$A$28,MATCH(A274,'جدول الجرد'!$B$2:$B$28,0)),""))</f>
        <v/>
      </c>
      <c r="C274" s="5" t="str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الجرد'!$A$2:$A$28,MATCH(A275,'جدول الجرد'!$B$2:$B$28,0)),""))</f>
        <v/>
      </c>
      <c r="C275" s="5" t="str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الجرد'!$A$2:$A$28,MATCH(A276,'جدول الجرد'!$B$2:$B$28,0)),""))</f>
        <v/>
      </c>
      <c r="C276" s="5" t="str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الجرد'!$A$2:$A$28,MATCH(A277,'جدول الجرد'!$B$2:$B$28,0)),""))</f>
        <v/>
      </c>
      <c r="C277" s="5" t="str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الجرد'!$A$2:$A$28,MATCH(A278,'جدول الجرد'!$B$2:$B$28,0)),""))</f>
        <v/>
      </c>
      <c r="C278" s="5" t="str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الجرد'!$A$2:$A$28,MATCH(A279,'جدول الجرد'!$B$2:$B$28,0)),""))</f>
        <v/>
      </c>
      <c r="C279" s="5" t="str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الجرد'!$A$2:$A$28,MATCH(A280,'جدول الجرد'!$B$2:$B$28,0)),""))</f>
        <v/>
      </c>
      <c r="C280" s="5" t="str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الجرد'!$A$2:$A$28,MATCH(A281,'جدول الجرد'!$B$2:$B$28,0)),""))</f>
        <v/>
      </c>
      <c r="C281" s="5" t="str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الجرد'!$A$2:$A$28,MATCH(A282,'جدول الجرد'!$B$2:$B$28,0)),""))</f>
        <v/>
      </c>
      <c r="C282" s="5" t="str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الجرد'!$A$2:$A$28,MATCH(A283,'جدول الجرد'!$B$2:$B$28,0)),""))</f>
        <v/>
      </c>
      <c r="C283" s="5" t="str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الجرد'!$A$2:$A$28,MATCH(A284,'جدول الجرد'!$B$2:$B$28,0)),""))</f>
        <v/>
      </c>
      <c r="C284" s="5" t="str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الجرد'!$A$2:$A$28,MATCH(A285,'جدول الجرد'!$B$2:$B$28,0)),""))</f>
        <v/>
      </c>
      <c r="C285" s="5" t="str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الجرد'!$A$2:$A$28,MATCH(A286,'جدول الجرد'!$B$2:$B$28,0)),""))</f>
        <v/>
      </c>
      <c r="C286" s="5" t="str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الجرد'!$A$2:$A$28,MATCH(A287,'جدول الجرد'!$B$2:$B$28,0)),""))</f>
        <v/>
      </c>
      <c r="C287" s="5" t="str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الجرد'!$A$2:$A$28,MATCH(A288,'جدول الجرد'!$B$2:$B$28,0)),""))</f>
        <v/>
      </c>
      <c r="C288" s="5" t="str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الجرد'!$A$2:$A$28,MATCH(A289,'جدول الجرد'!$B$2:$B$28,0)),""))</f>
        <v/>
      </c>
      <c r="C289" s="5" t="str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الجرد'!$A$2:$A$28,MATCH(A290,'جدول الجرد'!$B$2:$B$28,0)),""))</f>
        <v/>
      </c>
      <c r="C290" s="5" t="str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الجرد'!$A$2:$A$28,MATCH(A291,'جدول الجرد'!$B$2:$B$28,0)),""))</f>
        <v/>
      </c>
      <c r="C291" s="5" t="str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الجرد'!$A$2:$A$28,MATCH(A292,'جدول الجرد'!$B$2:$B$28,0)),""))</f>
        <v/>
      </c>
      <c r="C292" s="5" t="str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الجرد'!$A$2:$A$28,MATCH(A293,'جدول الجرد'!$B$2:$B$28,0)),""))</f>
        <v/>
      </c>
      <c r="C293" s="5" t="str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الجرد'!$A$2:$A$28,MATCH(A294,'جدول الجرد'!$B$2:$B$28,0)),""))</f>
        <v/>
      </c>
      <c r="C294" s="5" t="str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الجرد'!$A$2:$A$28,MATCH(A295,'جدول الجرد'!$B$2:$B$28,0)),""))</f>
        <v/>
      </c>
      <c r="C295" s="5" t="str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الجرد'!$A$2:$A$28,MATCH(A296,'جدول الجرد'!$B$2:$B$28,0)),""))</f>
        <v/>
      </c>
      <c r="C296" s="5" t="str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الجرد'!$A$2:$A$28,MATCH(A297,'جدول الجرد'!$B$2:$B$28,0)),""))</f>
        <v/>
      </c>
      <c r="C297" s="5" t="str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الجرد'!$A$2:$A$28,MATCH(A298,'جدول الجرد'!$B$2:$B$28,0)),""))</f>
        <v/>
      </c>
      <c r="C298" s="5" t="str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الجرد'!$A$2:$A$28,MATCH(A299,'جدول الجرد'!$B$2:$B$28,0)),""))</f>
        <v/>
      </c>
      <c r="C299" s="5" t="str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الجرد'!$A$2:$A$28,MATCH(A300,'جدول الجرد'!$B$2:$B$28,0)),""))</f>
        <v/>
      </c>
      <c r="C300" s="5" t="str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الجرد'!$A$2:$A$28,MATCH(A301,'جدول الجرد'!$B$2:$B$28,0)),""))</f>
        <v/>
      </c>
      <c r="C301" s="5" t="str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الجرد'!$A$2:$A$28,MATCH(A302,'جدول الجرد'!$B$2:$B$28,0)),""))</f>
        <v/>
      </c>
      <c r="C302" s="5" t="str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الجرد'!$A$2:$A$28,MATCH(A303,'جدول الجرد'!$B$2:$B$28,0)),""))</f>
        <v/>
      </c>
      <c r="C303" s="5" t="str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الجرد'!$A$2:$A$28,MATCH(A304,'جدول الجرد'!$B$2:$B$28,0)),""))</f>
        <v/>
      </c>
      <c r="C304" s="5" t="str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الجرد'!$A$2:$A$28,MATCH(A305,'جدول الجرد'!$B$2:$B$28,0)),""))</f>
        <v/>
      </c>
      <c r="C305" s="5" t="str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الجرد'!$A$2:$A$28,MATCH(A306,'جدول الجرد'!$B$2:$B$28,0)),""))</f>
        <v/>
      </c>
      <c r="C306" s="5" t="str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الجرد'!$A$2:$A$28,MATCH(A307,'جدول الجرد'!$B$2:$B$28,0)),""))</f>
        <v/>
      </c>
      <c r="C307" s="5" t="str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الجرد'!$A$2:$A$28,MATCH(A308,'جدول الجرد'!$B$2:$B$28,0)),""))</f>
        <v/>
      </c>
      <c r="C308" s="5" t="str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الجرد'!$A$2:$A$28,MATCH(A309,'جدول الجرد'!$B$2:$B$28,0)),""))</f>
        <v/>
      </c>
      <c r="C309" s="5" t="str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الجرد'!$A$2:$A$28,MATCH(A310,'جدول الجرد'!$B$2:$B$28,0)),""))</f>
        <v/>
      </c>
      <c r="C310" s="5" t="str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الجرد'!$A$2:$A$28,MATCH(A311,'جدول الجرد'!$B$2:$B$28,0)),""))</f>
        <v/>
      </c>
      <c r="C311" s="5" t="str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الجرد'!$A$2:$A$28,MATCH(A312,'جدول الجرد'!$B$2:$B$28,0)),""))</f>
        <v/>
      </c>
      <c r="C312" s="5" t="str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الجرد'!$A$2:$A$28,MATCH(A313,'جدول الجرد'!$B$2:$B$28,0)),""))</f>
        <v/>
      </c>
      <c r="C313" s="5" t="str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الجرد'!$A$2:$A$28,MATCH(A314,'جدول الجرد'!$B$2:$B$28,0)),""))</f>
        <v/>
      </c>
      <c r="C314" s="5" t="str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الجرد'!$A$2:$A$28,MATCH(A315,'جدول الجرد'!$B$2:$B$28,0)),""))</f>
        <v/>
      </c>
      <c r="C315" s="5" t="str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الجرد'!$A$2:$A$28,MATCH(A316,'جدول الجرد'!$B$2:$B$28,0)),""))</f>
        <v/>
      </c>
      <c r="C316" s="5" t="str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الجرد'!$A$2:$A$28,MATCH(A317,'جدول الجرد'!$B$2:$B$28,0)),""))</f>
        <v/>
      </c>
      <c r="C317" s="5" t="str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الجرد'!$A$2:$A$28,MATCH(A318,'جدول الجرد'!$B$2:$B$28,0)),""))</f>
        <v/>
      </c>
      <c r="C318" s="5" t="str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الجرد'!$A$2:$A$28,MATCH(A319,'جدول الجرد'!$B$2:$B$28,0)),""))</f>
        <v/>
      </c>
      <c r="C319" s="5" t="str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الجرد'!$A$2:$A$28,MATCH(A320,'جدول الجرد'!$B$2:$B$28,0)),""))</f>
        <v/>
      </c>
      <c r="C320" s="5" t="str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الجرد'!$A$2:$A$28,MATCH(A321,'جدول الجرد'!$B$2:$B$28,0)),""))</f>
        <v/>
      </c>
      <c r="C321" s="5" t="str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الجرد'!$A$2:$A$28,MATCH(A322,'جدول الجرد'!$B$2:$B$28,0)),""))</f>
        <v/>
      </c>
      <c r="C322" s="5" t="str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الجرد'!$A$2:$A$28,MATCH(A323,'جدول الجرد'!$B$2:$B$28,0)),""))</f>
        <v/>
      </c>
      <c r="C323" s="5" t="str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الجرد'!$A$2:$A$28,MATCH(A324,'جدول الجرد'!$B$2:$B$28,0)),""))</f>
        <v/>
      </c>
      <c r="C324" s="5" t="str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الجرد'!$A$2:$A$28,MATCH(A325,'جدول الجرد'!$B$2:$B$28,0)),""))</f>
        <v/>
      </c>
      <c r="C325" s="5" t="str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الجرد'!$A$2:$A$28,MATCH(A326,'جدول الجرد'!$B$2:$B$28,0)),""))</f>
        <v/>
      </c>
      <c r="C326" s="5" t="str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الجرد'!$A$2:$A$28,MATCH(A327,'جدول الجرد'!$B$2:$B$28,0)),""))</f>
        <v/>
      </c>
      <c r="C327" s="5" t="str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الجرد'!$A$2:$A$28,MATCH(A328,'جدول الجرد'!$B$2:$B$28,0)),""))</f>
        <v/>
      </c>
      <c r="C328" s="5" t="str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الجرد'!$A$2:$A$28,MATCH(A329,'جدول الجرد'!$B$2:$B$28,0)),""))</f>
        <v/>
      </c>
      <c r="C329" s="5" t="str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الجرد'!$A$2:$A$28,MATCH(A330,'جدول الجرد'!$B$2:$B$28,0)),""))</f>
        <v/>
      </c>
      <c r="C330" s="5" t="str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الجرد'!$A$2:$A$28,MATCH(A331,'جدول الجرد'!$B$2:$B$28,0)),""))</f>
        <v/>
      </c>
      <c r="C331" s="5" t="str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الجرد'!$A$2:$A$28,MATCH(A332,'جدول الجرد'!$B$2:$B$28,0)),""))</f>
        <v/>
      </c>
      <c r="C332" s="5" t="str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الجرد'!$A$2:$A$28,MATCH(A333,'جدول الجرد'!$B$2:$B$28,0)),""))</f>
        <v/>
      </c>
      <c r="C333" s="5" t="str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الجرد'!$A$2:$A$28,MATCH(A334,'جدول الجرد'!$B$2:$B$28,0)),""))</f>
        <v/>
      </c>
      <c r="C334" s="5" t="str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الجرد'!$A$2:$A$28,MATCH(A335,'جدول الجرد'!$B$2:$B$28,0)),""))</f>
        <v/>
      </c>
      <c r="C335" s="5" t="str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الجرد'!$A$2:$A$28,MATCH(A336,'جدول الجرد'!$B$2:$B$28,0)),""))</f>
        <v/>
      </c>
      <c r="C336" s="5" t="str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الجرد'!$A$2:$A$28,MATCH(A337,'جدول الجرد'!$B$2:$B$28,0)),""))</f>
        <v/>
      </c>
      <c r="C337" s="5" t="str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الجرد'!$A$2:$A$28,MATCH(A338,'جدول الجرد'!$B$2:$B$28,0)),""))</f>
        <v/>
      </c>
      <c r="C338" s="5" t="str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الجرد'!$A$2:$A$28,MATCH(A339,'جدول الجرد'!$B$2:$B$28,0)),""))</f>
        <v/>
      </c>
      <c r="C339" s="5" t="str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الجرد'!$A$2:$A$28,MATCH(A340,'جدول الجرد'!$B$2:$B$28,0)),""))</f>
        <v/>
      </c>
      <c r="C340" s="5" t="str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الجرد'!$A$2:$A$28,MATCH(A341,'جدول الجرد'!$B$2:$B$28,0)),""))</f>
        <v/>
      </c>
      <c r="C341" s="5" t="str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الجرد'!$A$2:$A$28,MATCH(A342,'جدول الجرد'!$B$2:$B$28,0)),""))</f>
        <v/>
      </c>
      <c r="C342" s="5" t="str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الجرد'!$A$2:$A$28,MATCH(A343,'جدول الجرد'!$B$2:$B$28,0)),""))</f>
        <v/>
      </c>
      <c r="C343" s="5" t="str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الجرد'!$A$2:$A$28,MATCH(A344,'جدول الجرد'!$B$2:$B$28,0)),""))</f>
        <v/>
      </c>
      <c r="C344" s="5" t="str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الجرد'!$A$2:$A$28,MATCH(A345,'جدول الجرد'!$B$2:$B$28,0)),""))</f>
        <v/>
      </c>
      <c r="C345" s="5" t="str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الجرد'!$A$2:$A$28,MATCH(A346,'جدول الجرد'!$B$2:$B$28,0)),""))</f>
        <v/>
      </c>
      <c r="C346" s="5" t="str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الجرد'!$A$2:$A$28,MATCH(A347,'جدول الجرد'!$B$2:$B$28,0)),""))</f>
        <v/>
      </c>
      <c r="C347" s="5" t="str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الجرد'!$A$2:$A$28,MATCH(A348,'جدول الجرد'!$B$2:$B$28,0)),""))</f>
        <v/>
      </c>
      <c r="C348" s="5" t="str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الجرد'!$A$2:$A$28,MATCH(A349,'جدول الجرد'!$B$2:$B$28,0)),""))</f>
        <v/>
      </c>
      <c r="C349" s="5" t="str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الجرد'!$A$2:$A$28,MATCH(A350,'جدول الجرد'!$B$2:$B$28,0)),""))</f>
        <v/>
      </c>
      <c r="C350" s="5" t="str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الجرد'!$A$2:$A$28,MATCH(A351,'جدول الجرد'!$B$2:$B$28,0)),""))</f>
        <v/>
      </c>
      <c r="C351" s="5" t="str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الجرد'!$A$2:$A$28,MATCH(A352,'جدول الجرد'!$B$2:$B$28,0)),""))</f>
        <v/>
      </c>
      <c r="C352" s="5" t="str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الجرد'!$A$2:$A$28,MATCH(A353,'جدول الجرد'!$B$2:$B$28,0)),""))</f>
        <v/>
      </c>
      <c r="C353" s="5" t="str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الجرد'!$A$2:$A$28,MATCH(A354,'جدول الجرد'!$B$2:$B$28,0)),""))</f>
        <v/>
      </c>
      <c r="C354" s="5" t="str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الجرد'!$A$2:$A$28,MATCH(A355,'جدول الجرد'!$B$2:$B$28,0)),""))</f>
        <v/>
      </c>
      <c r="C355" s="5" t="str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الجرد'!$A$2:$A$28,MATCH(A356,'جدول الجرد'!$B$2:$B$28,0)),""))</f>
        <v/>
      </c>
      <c r="C356" s="5" t="str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الجرد'!$A$2:$A$28,MATCH(A357,'جدول الجرد'!$B$2:$B$28,0)),""))</f>
        <v/>
      </c>
      <c r="C357" s="5" t="str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الجرد'!$A$2:$A$28,MATCH(A358,'جدول الجرد'!$B$2:$B$28,0)),""))</f>
        <v/>
      </c>
      <c r="C358" s="5" t="str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الجرد'!$A$2:$A$28,MATCH(A359,'جدول الجرد'!$B$2:$B$28,0)),""))</f>
        <v/>
      </c>
      <c r="C359" s="5" t="str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الجرد'!$A$2:$A$28,MATCH(A360,'جدول الجرد'!$B$2:$B$28,0)),""))</f>
        <v/>
      </c>
      <c r="C360" s="5" t="str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الجرد'!$A$2:$A$28,MATCH(A361,'جدول الجرد'!$B$2:$B$28,0)),""))</f>
        <v/>
      </c>
      <c r="C361" s="5" t="str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الجرد'!$A$2:$A$28,MATCH(A362,'جدول الجرد'!$B$2:$B$28,0)),""))</f>
        <v/>
      </c>
      <c r="C362" s="5" t="str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الجرد'!$A$2:$A$28,MATCH(A363,'جدول الجرد'!$B$2:$B$28,0)),""))</f>
        <v/>
      </c>
      <c r="C363" s="5" t="str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الجرد'!$A$2:$A$28,MATCH(A364,'جدول الجرد'!$B$2:$B$28,0)),""))</f>
        <v/>
      </c>
      <c r="C364" s="5" t="str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الجرد'!$A$2:$A$28,MATCH(A365,'جدول الجرد'!$B$2:$B$28,0)),""))</f>
        <v/>
      </c>
      <c r="C365" s="5" t="str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الجرد'!$A$2:$A$28,MATCH(A366,'جدول الجرد'!$B$2:$B$28,0)),""))</f>
        <v/>
      </c>
      <c r="C366" s="5" t="str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الجرد'!$A$2:$A$28,MATCH(A367,'جدول الجرد'!$B$2:$B$28,0)),""))</f>
        <v/>
      </c>
      <c r="C367" s="5" t="str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الجرد'!$A$2:$A$28,MATCH(A368,'جدول الجرد'!$B$2:$B$28,0)),""))</f>
        <v/>
      </c>
      <c r="C368" s="5" t="str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الجرد'!$A$2:$A$28,MATCH(A369,'جدول الجرد'!$B$2:$B$28,0)),""))</f>
        <v/>
      </c>
      <c r="C369" s="5" t="str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الجرد'!$A$2:$A$28,MATCH(A370,'جدول الجرد'!$B$2:$B$28,0)),""))</f>
        <v/>
      </c>
      <c r="C370" s="5" t="str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الجرد'!$A$2:$A$28,MATCH(A371,'جدول الجرد'!$B$2:$B$28,0)),""))</f>
        <v/>
      </c>
      <c r="C371" s="5" t="str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الجرد'!$A$2:$A$28,MATCH(A372,'جدول الجرد'!$B$2:$B$28,0)),""))</f>
        <v/>
      </c>
      <c r="C372" s="5" t="str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الجرد'!$A$2:$A$28,MATCH(A373,'جدول الجرد'!$B$2:$B$28,0)),""))</f>
        <v/>
      </c>
      <c r="C373" s="5" t="str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الجرد'!$A$2:$A$28,MATCH(A374,'جدول الجرد'!$B$2:$B$28,0)),""))</f>
        <v/>
      </c>
      <c r="C374" s="5" t="str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الجرد'!$A$2:$A$28,MATCH(A375,'جدول الجرد'!$B$2:$B$28,0)),""))</f>
        <v/>
      </c>
      <c r="C375" s="5" t="str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الجرد'!$A$2:$A$28,MATCH(A376,'جدول الجرد'!$B$2:$B$28,0)),""))</f>
        <v/>
      </c>
      <c r="C376" s="5" t="str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الجرد'!$A$2:$A$28,MATCH(A377,'جدول الجرد'!$B$2:$B$28,0)),""))</f>
        <v/>
      </c>
      <c r="C377" s="5" t="str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الجرد'!$A$2:$A$28,MATCH(A378,'جدول الجرد'!$B$2:$B$28,0)),""))</f>
        <v/>
      </c>
      <c r="C378" s="5" t="str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الجرد'!$A$2:$A$28,MATCH(A379,'جدول الجرد'!$B$2:$B$28,0)),""))</f>
        <v/>
      </c>
      <c r="C379" s="5" t="str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الجرد'!$A$2:$A$28,MATCH(A380,'جدول الجرد'!$B$2:$B$28,0)),""))</f>
        <v/>
      </c>
      <c r="C380" s="5" t="str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الجرد'!$A$2:$A$28,MATCH(A381,'جدول الجرد'!$B$2:$B$28,0)),""))</f>
        <v/>
      </c>
      <c r="C381" s="5" t="str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الجرد'!$A$2:$A$28,MATCH(A382,'جدول الجرد'!$B$2:$B$28,0)),""))</f>
        <v/>
      </c>
      <c r="C382" s="5" t="str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الجرد'!$A$2:$A$28,MATCH(A383,'جدول الجرد'!$B$2:$B$28,0)),""))</f>
        <v/>
      </c>
      <c r="C383" s="5" t="str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الجرد'!$A$2:$A$28,MATCH(A384,'جدول الجرد'!$B$2:$B$28,0)),""))</f>
        <v/>
      </c>
      <c r="C384" s="5" t="str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الجرد'!$A$2:$A$28,MATCH(A385,'جدول الجرد'!$B$2:$B$28,0)),""))</f>
        <v/>
      </c>
      <c r="C385" s="5" t="str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الجرد'!$A$2:$A$28,MATCH(A386,'جدول الجرد'!$B$2:$B$28,0)),""))</f>
        <v/>
      </c>
      <c r="C386" s="5" t="str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الجرد'!$A$2:$A$28,MATCH(A387,'جدول الجرد'!$B$2:$B$28,0)),""))</f>
        <v/>
      </c>
      <c r="C387" s="5" t="str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الجرد'!$A$2:$A$28,MATCH(A388,'جدول الجرد'!$B$2:$B$28,0)),""))</f>
        <v/>
      </c>
      <c r="C388" s="5" t="str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الجرد'!$A$2:$A$28,MATCH(A389,'جدول الجرد'!$B$2:$B$28,0)),""))</f>
        <v/>
      </c>
      <c r="C389" s="5" t="str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الجرد'!$A$2:$A$28,MATCH(A390,'جدول الجرد'!$B$2:$B$28,0)),""))</f>
        <v/>
      </c>
      <c r="C390" s="5" t="str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الجرد'!$A$2:$A$28,MATCH(A391,'جدول الجرد'!$B$2:$B$28,0)),""))</f>
        <v/>
      </c>
      <c r="C391" s="5" t="str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الجرد'!$A$2:$A$28,MATCH(A392,'جدول الجرد'!$B$2:$B$28,0)),""))</f>
        <v/>
      </c>
      <c r="C392" s="5" t="str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الجرد'!$A$2:$A$28,MATCH(A393,'جدول الجرد'!$B$2:$B$28,0)),""))</f>
        <v/>
      </c>
      <c r="C393" s="5" t="str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الجرد'!$A$2:$A$28,MATCH(A394,'جدول الجرد'!$B$2:$B$28,0)),""))</f>
        <v/>
      </c>
      <c r="C394" s="5" t="str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الجرد'!$A$2:$A$28,MATCH(A395,'جدول الجرد'!$B$2:$B$28,0)),""))</f>
        <v/>
      </c>
      <c r="C395" s="5" t="str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الجرد'!$A$2:$A$28,MATCH(A396,'جدول الجرد'!$B$2:$B$28,0)),""))</f>
        <v/>
      </c>
      <c r="C396" s="5" t="str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الجرد'!$A$2:$A$28,MATCH(A397,'جدول الجرد'!$B$2:$B$28,0)),""))</f>
        <v/>
      </c>
      <c r="C397" s="5" t="str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الجرد'!$A$2:$A$28,MATCH(A398,'جدول الجرد'!$B$2:$B$28,0)),""))</f>
        <v/>
      </c>
      <c r="C398" s="5" t="str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الجرد'!$A$2:$A$28,MATCH(A399,'جدول الجرد'!$B$2:$B$28,0)),""))</f>
        <v/>
      </c>
      <c r="C399" s="5" t="str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الجرد'!$A$2:$A$28,MATCH(A400,'جدول الجرد'!$B$2:$B$28,0)),""))</f>
        <v/>
      </c>
      <c r="C400" s="5" t="str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الجرد'!$A$2:$A$28,MATCH(A401,'جدول الجرد'!$B$2:$B$28,0)),""))</f>
        <v/>
      </c>
      <c r="C401" s="5" t="str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الجرد'!$A$2:$A$28,MATCH(A402,'جدول الجرد'!$B$2:$B$28,0)),""))</f>
        <v/>
      </c>
      <c r="C402" s="5" t="str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الجرد'!$A$2:$A$28,MATCH(A403,'جدول الجرد'!$B$2:$B$28,0)),""))</f>
        <v/>
      </c>
      <c r="C403" s="5" t="str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الجرد'!$A$2:$A$28,MATCH(A404,'جدول الجرد'!$B$2:$B$28,0)),""))</f>
        <v/>
      </c>
      <c r="C404" s="5" t="str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الجرد'!$A$2:$A$28,MATCH(A405,'جدول الجرد'!$B$2:$B$28,0)),""))</f>
        <v/>
      </c>
      <c r="C405" s="5" t="str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الجرد'!$A$2:$A$28,MATCH(A406,'جدول الجرد'!$B$2:$B$28,0)),""))</f>
        <v/>
      </c>
      <c r="C406" s="5" t="str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الجرد'!$A$2:$A$28,MATCH(A407,'جدول الجرد'!$B$2:$B$28,0)),""))</f>
        <v/>
      </c>
      <c r="C407" s="5" t="str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الجرد'!$A$2:$A$28,MATCH(A408,'جدول الجرد'!$B$2:$B$28,0)),""))</f>
        <v/>
      </c>
      <c r="C408" s="5" t="str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الجرد'!$A$2:$A$28,MATCH(A409,'جدول الجرد'!$B$2:$B$28,0)),""))</f>
        <v/>
      </c>
      <c r="C409" s="5" t="str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الجرد'!$A$2:$A$28,MATCH(A410,'جدول الجرد'!$B$2:$B$28,0)),""))</f>
        <v/>
      </c>
      <c r="C410" s="5" t="str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الجرد'!$A$2:$A$28,MATCH(A411,'جدول الجرد'!$B$2:$B$28,0)),""))</f>
        <v/>
      </c>
      <c r="C411" s="5" t="str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الجرد'!$A$2:$A$28,MATCH(A412,'جدول الجرد'!$B$2:$B$28,0)),""))</f>
        <v/>
      </c>
      <c r="C412" s="5" t="str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الجرد'!$A$2:$A$28,MATCH(A413,'جدول الجرد'!$B$2:$B$28,0)),""))</f>
        <v/>
      </c>
      <c r="C413" s="5" t="str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الجرد'!$A$2:$A$28,MATCH(A414,'جدول الجرد'!$B$2:$B$28,0)),""))</f>
        <v/>
      </c>
      <c r="C414" s="5" t="str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الجرد'!$A$2:$A$28,MATCH(A415,'جدول الجرد'!$B$2:$B$28,0)),""))</f>
        <v/>
      </c>
      <c r="C415" s="5" t="str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الجرد'!$A$2:$A$28,MATCH(A416,'جدول الجرد'!$B$2:$B$28,0)),""))</f>
        <v/>
      </c>
      <c r="C416" s="5" t="str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الجرد'!$A$2:$A$28,MATCH(A417,'جدول الجرد'!$B$2:$B$28,0)),""))</f>
        <v/>
      </c>
      <c r="C417" s="5" t="str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الجرد'!$A$2:$A$28,MATCH(A418,'جدول الجرد'!$B$2:$B$28,0)),""))</f>
        <v/>
      </c>
      <c r="C418" s="5" t="str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الجرد'!$A$2:$A$28,MATCH(A419,'جدول الجرد'!$B$2:$B$28,0)),""))</f>
        <v/>
      </c>
      <c r="C419" s="5" t="str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الجرد'!$A$2:$A$28,MATCH(A420,'جدول الجرد'!$B$2:$B$28,0)),""))</f>
        <v/>
      </c>
      <c r="C420" s="5" t="str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الجرد'!$A$2:$A$28,MATCH(A421,'جدول الجرد'!$B$2:$B$28,0)),""))</f>
        <v/>
      </c>
      <c r="C421" s="5" t="str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الجرد'!$A$2:$A$28,MATCH(A422,'جدول الجرد'!$B$2:$B$28,0)),""))</f>
        <v/>
      </c>
      <c r="C422" s="5" t="str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الجرد'!$A$2:$A$28,MATCH(A423,'جدول الجرد'!$B$2:$B$28,0)),""))</f>
        <v/>
      </c>
      <c r="C423" s="5" t="str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الجرد'!$A$2:$A$28,MATCH(A424,'جدول الجرد'!$B$2:$B$28,0)),""))</f>
        <v/>
      </c>
      <c r="C424" s="5" t="str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الجرد'!$A$2:$A$28,MATCH(A425,'جدول الجرد'!$B$2:$B$28,0)),""))</f>
        <v/>
      </c>
      <c r="C425" s="5" t="str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الجرد'!$A$2:$A$28,MATCH(A426,'جدول الجرد'!$B$2:$B$28,0)),""))</f>
        <v/>
      </c>
      <c r="C426" s="5" t="str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الجرد'!$A$2:$A$28,MATCH(A427,'جدول الجرد'!$B$2:$B$28,0)),""))</f>
        <v/>
      </c>
      <c r="C427" s="5" t="str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الجرد'!$A$2:$A$28,MATCH(A428,'جدول الجرد'!$B$2:$B$28,0)),""))</f>
        <v/>
      </c>
      <c r="C428" s="5" t="str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الجرد'!$A$2:$A$28,MATCH(A429,'جدول الجرد'!$B$2:$B$28,0)),""))</f>
        <v/>
      </c>
      <c r="C429" s="5" t="str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الجرد'!$A$2:$A$28,MATCH(A430,'جدول الجرد'!$B$2:$B$28,0)),""))</f>
        <v/>
      </c>
      <c r="C430" s="5" t="str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الجرد'!$A$2:$A$28,MATCH(A431,'جدول الجرد'!$B$2:$B$28,0)),""))</f>
        <v/>
      </c>
      <c r="C431" s="5" t="str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الجرد'!$A$2:$A$28,MATCH(A432,'جدول الجرد'!$B$2:$B$28,0)),""))</f>
        <v/>
      </c>
      <c r="C432" s="5" t="str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الجرد'!$A$2:$A$28,MATCH(A433,'جدول الجرد'!$B$2:$B$28,0)),""))</f>
        <v/>
      </c>
      <c r="C433" s="5" t="str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الجرد'!$A$2:$A$28,MATCH(A434,'جدول الجرد'!$B$2:$B$28,0)),""))</f>
        <v/>
      </c>
      <c r="C434" s="5" t="str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الجرد'!$A$2:$A$28,MATCH(A435,'جدول الجرد'!$B$2:$B$28,0)),""))</f>
        <v/>
      </c>
      <c r="C435" s="5" t="str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الجرد'!$A$2:$A$28,MATCH(A436,'جدول الجرد'!$B$2:$B$28,0)),""))</f>
        <v/>
      </c>
      <c r="C436" s="5" t="str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الجرد'!$A$2:$A$28,MATCH(A437,'جدول الجرد'!$B$2:$B$28,0)),""))</f>
        <v/>
      </c>
      <c r="C437" s="5" t="str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الجرد'!$A$2:$A$28,MATCH(A438,'جدول الجرد'!$B$2:$B$28,0)),""))</f>
        <v/>
      </c>
      <c r="C438" s="5" t="str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الجرد'!$A$2:$A$28,MATCH(A439,'جدول الجرد'!$B$2:$B$28,0)),""))</f>
        <v/>
      </c>
      <c r="C439" s="5" t="str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الجرد'!$A$2:$A$28,MATCH(A440,'جدول الجرد'!$B$2:$B$28,0)),""))</f>
        <v/>
      </c>
      <c r="C440" s="5" t="str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الجرد'!$A$2:$A$28,MATCH(A441,'جدول الجرد'!$B$2:$B$28,0)),""))</f>
        <v/>
      </c>
      <c r="C441" s="5" t="str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الجرد'!$A$2:$A$28,MATCH(A442,'جدول الجرد'!$B$2:$B$28,0)),""))</f>
        <v/>
      </c>
      <c r="C442" s="5" t="str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الجرد'!$A$2:$A$28,MATCH(A443,'جدول الجرد'!$B$2:$B$28,0)),""))</f>
        <v/>
      </c>
      <c r="C443" s="5" t="str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الجرد'!$A$2:$A$28,MATCH(A444,'جدول الجرد'!$B$2:$B$28,0)),""))</f>
        <v/>
      </c>
      <c r="C444" s="5" t="str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الجرد'!$A$2:$A$28,MATCH(A445,'جدول الجرد'!$B$2:$B$28,0)),""))</f>
        <v/>
      </c>
      <c r="C445" s="5" t="str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الجرد'!$A$2:$A$28,MATCH(A446,'جدول الجرد'!$B$2:$B$28,0)),""))</f>
        <v/>
      </c>
      <c r="C446" s="5" t="str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الجرد'!$A$2:$A$28,MATCH(A447,'جدول الجرد'!$B$2:$B$28,0)),""))</f>
        <v/>
      </c>
      <c r="C447" s="5" t="str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الجرد'!$A$2:$A$28,MATCH(A448,'جدول الجرد'!$B$2:$B$28,0)),""))</f>
        <v/>
      </c>
      <c r="C448" s="5" t="str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الجرد'!$A$2:$A$28,MATCH(A449,'جدول الجرد'!$B$2:$B$28,0)),""))</f>
        <v/>
      </c>
      <c r="C449" s="5" t="str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الجرد'!$A$2:$A$28,MATCH(A450,'جدول الجرد'!$B$2:$B$28,0)),""))</f>
        <v/>
      </c>
      <c r="C450" s="5" t="str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الجرد'!$A$2:$A$28,MATCH(A451,'جدول الجرد'!$B$2:$B$28,0)),""))</f>
        <v/>
      </c>
      <c r="C451" s="5" t="str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الجرد'!$A$2:$A$28,MATCH(A452,'جدول الجرد'!$B$2:$B$28,0)),""))</f>
        <v/>
      </c>
      <c r="C452" s="5" t="str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الجرد'!$A$2:$A$28,MATCH(A453,'جدول الجرد'!$B$2:$B$28,0)),""))</f>
        <v/>
      </c>
      <c r="C453" s="5" t="str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الجرد'!$A$2:$A$28,MATCH(A454,'جدول الجرد'!$B$2:$B$28,0)),""))</f>
        <v/>
      </c>
      <c r="C454" s="5" t="str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الجرد'!$A$2:$A$28,MATCH(A455,'جدول الجرد'!$B$2:$B$28,0)),""))</f>
        <v/>
      </c>
      <c r="C455" s="5" t="str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الجرد'!$A$2:$A$28,MATCH(A456,'جدول الجرد'!$B$2:$B$28,0)),""))</f>
        <v/>
      </c>
      <c r="C456" s="5" t="str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الجرد'!$A$2:$A$28,MATCH(A457,'جدول الجرد'!$B$2:$B$28,0)),""))</f>
        <v/>
      </c>
      <c r="C457" s="5" t="str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الجرد'!$A$2:$A$28,MATCH(A458,'جدول الجرد'!$B$2:$B$28,0)),""))</f>
        <v/>
      </c>
      <c r="C458" s="5" t="str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الجرد'!$A$2:$A$28,MATCH(A459,'جدول الجرد'!$B$2:$B$28,0)),""))</f>
        <v/>
      </c>
      <c r="C459" s="5" t="str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الجرد'!$A$2:$A$28,MATCH(A460,'جدول الجرد'!$B$2:$B$28,0)),""))</f>
        <v/>
      </c>
      <c r="C460" s="5" t="str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الجرد'!$A$2:$A$28,MATCH(A461,'جدول الجرد'!$B$2:$B$28,0)),""))</f>
        <v/>
      </c>
      <c r="C461" s="5" t="str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الجرد'!$A$2:$A$28,MATCH(A462,'جدول الجرد'!$B$2:$B$28,0)),""))</f>
        <v/>
      </c>
      <c r="C462" s="5" t="str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الجرد'!$A$2:$A$28,MATCH(A463,'جدول الجرد'!$B$2:$B$28,0)),""))</f>
        <v/>
      </c>
      <c r="C463" s="5" t="str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الجرد'!$A$2:$A$28,MATCH(A464,'جدول الجرد'!$B$2:$B$28,0)),""))</f>
        <v/>
      </c>
      <c r="C464" s="5" t="str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الجرد'!$A$2:$A$28,MATCH(A465,'جدول الجرد'!$B$2:$B$28,0)),""))</f>
        <v/>
      </c>
      <c r="C465" s="5" t="str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الجرد'!$A$2:$A$28,MATCH(A466,'جدول الجرد'!$B$2:$B$28,0)),""))</f>
        <v/>
      </c>
      <c r="C466" s="5" t="str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الجرد'!$A$2:$A$28,MATCH(A467,'جدول الجرد'!$B$2:$B$28,0)),""))</f>
        <v/>
      </c>
      <c r="C467" s="5" t="str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الجرد'!$A$2:$A$28,MATCH(A468,'جدول الجرد'!$B$2:$B$28,0)),""))</f>
        <v/>
      </c>
      <c r="C468" s="5" t="str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الجرد'!$A$2:$A$28,MATCH(A469,'جدول الجرد'!$B$2:$B$28,0)),""))</f>
        <v/>
      </c>
      <c r="C469" s="5" t="str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الجرد'!$A$2:$A$28,MATCH(A470,'جدول الجرد'!$B$2:$B$28,0)),""))</f>
        <v/>
      </c>
      <c r="C470" s="5" t="str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الجرد'!$A$2:$A$28,MATCH(A471,'جدول الجرد'!$B$2:$B$28,0)),""))</f>
        <v/>
      </c>
      <c r="C471" s="5" t="str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الجرد'!$A$2:$A$28,MATCH(A472,'جدول الجرد'!$B$2:$B$28,0)),""))</f>
        <v/>
      </c>
      <c r="C472" s="5" t="str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الجرد'!$A$2:$A$28,MATCH(A473,'جدول الجرد'!$B$2:$B$28,0)),""))</f>
        <v/>
      </c>
      <c r="C473" s="5" t="str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الجرد'!$A$2:$A$28,MATCH(A474,'جدول الجرد'!$B$2:$B$28,0)),""))</f>
        <v/>
      </c>
      <c r="C474" s="5" t="str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الجرد'!$A$2:$A$28,MATCH(A475,'جدول الجرد'!$B$2:$B$28,0)),""))</f>
        <v/>
      </c>
      <c r="C475" s="5" t="str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الجرد'!$A$2:$A$28,MATCH(A476,'جدول الجرد'!$B$2:$B$28,0)),""))</f>
        <v/>
      </c>
      <c r="C476" s="5" t="str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الجرد'!$A$2:$A$28,MATCH(A477,'جدول الجرد'!$B$2:$B$28,0)),""))</f>
        <v/>
      </c>
      <c r="C477" s="5" t="str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الجرد'!$A$2:$A$28,MATCH(A478,'جدول الجرد'!$B$2:$B$28,0)),""))</f>
        <v/>
      </c>
      <c r="C478" s="5" t="str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الجرد'!$A$2:$A$28,MATCH(A479,'جدول الجرد'!$B$2:$B$28,0)),""))</f>
        <v/>
      </c>
      <c r="C479" s="5" t="str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الجرد'!$A$2:$A$28,MATCH(A480,'جدول الجرد'!$B$2:$B$28,0)),""))</f>
        <v/>
      </c>
      <c r="C480" s="5" t="str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الجرد'!$A$2:$A$28,MATCH(A481,'جدول الجرد'!$B$2:$B$28,0)),""))</f>
        <v/>
      </c>
      <c r="C481" s="5" t="str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الجرد'!$A$2:$A$28,MATCH(A482,'جدول الجرد'!$B$2:$B$28,0)),""))</f>
        <v/>
      </c>
      <c r="C482" s="5" t="str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الجرد'!$A$2:$A$28,MATCH(A483,'جدول الجرد'!$B$2:$B$28,0)),""))</f>
        <v/>
      </c>
      <c r="C483" s="5" t="str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الجرد'!$A$2:$A$28,MATCH(A484,'جدول الجرد'!$B$2:$B$28,0)),""))</f>
        <v/>
      </c>
      <c r="C484" s="5" t="str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الجرد'!$A$2:$A$28,MATCH(A485,'جدول الجرد'!$B$2:$B$28,0)),""))</f>
        <v/>
      </c>
      <c r="C485" s="5" t="str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الجرد'!$A$2:$A$28,MATCH(A486,'جدول الجرد'!$B$2:$B$28,0)),""))</f>
        <v/>
      </c>
      <c r="C486" s="5" t="str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الجرد'!$A$2:$A$28,MATCH(A487,'جدول الجرد'!$B$2:$B$28,0)),""))</f>
        <v/>
      </c>
      <c r="C487" s="5" t="str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الجرد'!$A$2:$A$28,MATCH(A488,'جدول الجرد'!$B$2:$B$28,0)),""))</f>
        <v/>
      </c>
      <c r="C488" s="5" t="str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الجرد'!$A$2:$A$28,MATCH(A489,'جدول الجرد'!$B$2:$B$28,0)),""))</f>
        <v/>
      </c>
      <c r="C489" s="5" t="str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الجرد'!$A$2:$A$28,MATCH(A490,'جدول الجرد'!$B$2:$B$28,0)),""))</f>
        <v/>
      </c>
      <c r="C490" s="5" t="str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الجرد'!$A$2:$A$28,MATCH(A491,'جدول الجرد'!$B$2:$B$28,0)),""))</f>
        <v/>
      </c>
      <c r="C491" s="5" t="str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الجرد'!$A$2:$A$28,MATCH(A492,'جدول الجرد'!$B$2:$B$28,0)),""))</f>
        <v/>
      </c>
      <c r="C492" s="5" t="str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الجرد'!$A$2:$A$28,MATCH(A493,'جدول الجرد'!$B$2:$B$28,0)),""))</f>
        <v/>
      </c>
      <c r="C493" s="5" t="str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الجرد'!$A$2:$A$28,MATCH(A494,'جدول الجرد'!$B$2:$B$28,0)),""))</f>
        <v/>
      </c>
      <c r="C494" s="5" t="str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الجرد'!$A$2:$A$28,MATCH(A495,'جدول الجرد'!$B$2:$B$28,0)),""))</f>
        <v/>
      </c>
      <c r="C495" s="5" t="str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الجرد'!$A$2:$A$28,MATCH(A496,'جدول الجرد'!$B$2:$B$28,0)),""))</f>
        <v/>
      </c>
      <c r="C496" s="5" t="str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الجرد'!$A$2:$A$28,MATCH(A497,'جدول الجرد'!$B$2:$B$28,0)),""))</f>
        <v/>
      </c>
      <c r="C497" s="5" t="str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الجرد'!$A$2:$A$28,MATCH(A498,'جدول الجرد'!$B$2:$B$28,0)),""))</f>
        <v/>
      </c>
      <c r="C498" s="5" t="str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الجرد'!$A$2:$A$28,MATCH(A499,'جدول الجرد'!$B$2:$B$28,0)),""))</f>
        <v/>
      </c>
      <c r="C499" s="5" t="str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الجرد'!$A$2:$A$28,MATCH(A500,'جدول الجرد'!$B$2:$B$28,0)),""))</f>
        <v/>
      </c>
      <c r="C500" s="5" t="str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الجرد'!$A$2:$A$28,MATCH(A501,'جدول الجرد'!$B$2:$B$28,0)),""))</f>
        <v/>
      </c>
      <c r="C501" s="5" t="str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الجرد'!$A$2:$A$28,MATCH(A502,'جدول الجرد'!$B$2:$B$28,0)),""))</f>
        <v/>
      </c>
      <c r="C502" s="5" t="str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الجرد'!$A$2:$A$28,MATCH(A503,'جدول الجرد'!$B$2:$B$28,0)),""))</f>
        <v/>
      </c>
      <c r="C503" s="5" t="str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الجرد'!$A$2:$A$28,MATCH(A504,'جدول الجرد'!$B$2:$B$28,0)),""))</f>
        <v/>
      </c>
      <c r="C504" s="5" t="str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الجرد'!$A$2:$A$28,MATCH(A505,'جدول الجرد'!$B$2:$B$28,0)),""))</f>
        <v/>
      </c>
      <c r="C505" s="5" t="str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الجرد'!$A$2:$A$28,MATCH(A506,'جدول الجرد'!$B$2:$B$28,0)),""))</f>
        <v/>
      </c>
      <c r="C506" s="5" t="str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الجرد'!$A$2:$A$28,MATCH(A507,'جدول الجرد'!$B$2:$B$28,0)),""))</f>
        <v/>
      </c>
      <c r="C507" s="5" t="str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الجرد'!$A$2:$A$28,MATCH(A508,'جدول الجرد'!$B$2:$B$28,0)),""))</f>
        <v/>
      </c>
      <c r="C508" s="5" t="str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الجرد'!$A$2:$A$28,MATCH(A509,'جدول الجرد'!$B$2:$B$28,0)),""))</f>
        <v/>
      </c>
      <c r="C509" s="5" t="str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الجرد'!$A$2:$A$28,MATCH(A510,'جدول الجرد'!$B$2:$B$28,0)),""))</f>
        <v/>
      </c>
      <c r="C510" s="5" t="str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الجرد'!$A$2:$A$28,MATCH(A511,'جدول الجرد'!$B$2:$B$28,0)),""))</f>
        <v/>
      </c>
      <c r="C511" s="5" t="str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الجرد'!$A$2:$A$28,MATCH(A512,'جدول الجرد'!$B$2:$B$28,0)),""))</f>
        <v/>
      </c>
      <c r="C512" s="5" t="str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الجرد'!$A$2:$A$28,MATCH(A513,'جدول الجرد'!$B$2:$B$28,0)),""))</f>
        <v/>
      </c>
      <c r="C513" s="5" t="str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الجرد'!$A$2:$A$28,MATCH(A514,'جدول الجرد'!$B$2:$B$28,0)),""))</f>
        <v/>
      </c>
      <c r="C514" s="5" t="str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الجرد'!$A$2:$A$28,MATCH(A515,'جدول الجرد'!$B$2:$B$28,0)),""))</f>
        <v/>
      </c>
      <c r="C515" s="5" t="str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الجرد'!$A$2:$A$28,MATCH(A516,'جدول الجرد'!$B$2:$B$28,0)),""))</f>
        <v/>
      </c>
      <c r="C516" s="5" t="str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الجرد'!$A$2:$A$28,MATCH(A517,'جدول الجرد'!$B$2:$B$28,0)),""))</f>
        <v/>
      </c>
      <c r="C517" s="5" t="str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الجرد'!$A$2:$A$28,MATCH(A518,'جدول الجرد'!$B$2:$B$28,0)),""))</f>
        <v/>
      </c>
      <c r="C518" s="5" t="str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الجرد'!$A$2:$A$28,MATCH(A519,'جدول الجرد'!$B$2:$B$28,0)),""))</f>
        <v/>
      </c>
      <c r="C519" s="5" t="str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الجرد'!$A$2:$A$28,MATCH(A520,'جدول الجرد'!$B$2:$B$28,0)),""))</f>
        <v/>
      </c>
      <c r="C520" s="5" t="str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الجرد'!$A$2:$A$28,MATCH(A521,'جدول الجرد'!$B$2:$B$28,0)),""))</f>
        <v/>
      </c>
      <c r="C521" s="5" t="str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الجرد'!$A$2:$A$28,MATCH(A522,'جدول الجرد'!$B$2:$B$28,0)),""))</f>
        <v/>
      </c>
      <c r="C522" s="5" t="str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الجرد'!$A$2:$A$28,MATCH(A523,'جدول الجرد'!$B$2:$B$28,0)),""))</f>
        <v/>
      </c>
      <c r="C523" s="5" t="str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الجرد'!$A$2:$A$28,MATCH(A524,'جدول الجرد'!$B$2:$B$28,0)),""))</f>
        <v/>
      </c>
      <c r="C524" s="5" t="str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الجرد'!$A$2:$A$28,MATCH(A525,'جدول الجرد'!$B$2:$B$28,0)),""))</f>
        <v/>
      </c>
      <c r="C525" s="5" t="str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الجرد'!$A$2:$A$28,MATCH(A526,'جدول الجرد'!$B$2:$B$28,0)),""))</f>
        <v/>
      </c>
      <c r="C526" s="5" t="str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الجرد'!$A$2:$A$28,MATCH(A527,'جدول الجرد'!$B$2:$B$28,0)),""))</f>
        <v/>
      </c>
      <c r="C527" s="5" t="str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الجرد'!$A$2:$A$28,MATCH(A528,'جدول الجرد'!$B$2:$B$28,0)),""))</f>
        <v/>
      </c>
      <c r="C528" s="5" t="str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الجرد'!$A$2:$A$28,MATCH(A529,'جدول الجرد'!$B$2:$B$28,0)),""))</f>
        <v/>
      </c>
      <c r="C529" s="5" t="str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الجرد'!$A$2:$A$28,MATCH(A530,'جدول الجرد'!$B$2:$B$28,0)),""))</f>
        <v/>
      </c>
      <c r="C530" s="5" t="str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الجرد'!$A$2:$A$28,MATCH(A531,'جدول الجرد'!$B$2:$B$28,0)),""))</f>
        <v/>
      </c>
      <c r="C531" s="5" t="str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الجرد'!$A$2:$A$28,MATCH(A532,'جدول الجرد'!$B$2:$B$28,0)),""))</f>
        <v/>
      </c>
      <c r="C532" s="5" t="str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الجرد'!$A$2:$A$28,MATCH(A533,'جدول الجرد'!$B$2:$B$28,0)),""))</f>
        <v/>
      </c>
      <c r="C533" s="5" t="str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الجرد'!$A$2:$A$28,MATCH(A534,'جدول الجرد'!$B$2:$B$28,0)),""))</f>
        <v/>
      </c>
      <c r="C534" s="5" t="str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الجرد'!$A$2:$A$28,MATCH(A535,'جدول الجرد'!$B$2:$B$28,0)),""))</f>
        <v/>
      </c>
      <c r="C535" s="5" t="str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الجرد'!$A$2:$A$28,MATCH(A536,'جدول الجرد'!$B$2:$B$28,0)),""))</f>
        <v/>
      </c>
      <c r="C536" s="5" t="str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الجرد'!$A$2:$A$28,MATCH(A537,'جدول الجرد'!$B$2:$B$28,0)),""))</f>
        <v/>
      </c>
      <c r="C537" s="5" t="str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الجرد'!$A$2:$A$28,MATCH(A538,'جدول الجرد'!$B$2:$B$28,0)),""))</f>
        <v/>
      </c>
      <c r="C538" s="5" t="str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الجرد'!$A$2:$A$28,MATCH(A539,'جدول الجرد'!$B$2:$B$28,0)),""))</f>
        <v/>
      </c>
      <c r="C539" s="5" t="str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الجرد'!$A$2:$A$28,MATCH(A540,'جدول الجرد'!$B$2:$B$28,0)),""))</f>
        <v/>
      </c>
      <c r="C540" s="5" t="str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الجرد'!$A$2:$A$28,MATCH(A541,'جدول الجرد'!$B$2:$B$28,0)),""))</f>
        <v/>
      </c>
      <c r="C541" s="5" t="str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الجرد'!$A$2:$A$28,MATCH(A542,'جدول الجرد'!$B$2:$B$28,0)),""))</f>
        <v/>
      </c>
      <c r="C542" s="5" t="str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الجرد'!$A$2:$A$28,MATCH(A543,'جدول الجرد'!$B$2:$B$28,0)),""))</f>
        <v/>
      </c>
      <c r="C543" s="5" t="str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الجرد'!$A$2:$A$28,MATCH(A544,'جدول الجرد'!$B$2:$B$28,0)),""))</f>
        <v/>
      </c>
      <c r="C544" s="5" t="str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الجرد'!$A$2:$A$28,MATCH(A545,'جدول الجرد'!$B$2:$B$28,0)),""))</f>
        <v/>
      </c>
      <c r="C545" s="5" t="str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الجرد'!$A$2:$A$28,MATCH(A546,'جدول الجرد'!$B$2:$B$28,0)),""))</f>
        <v/>
      </c>
      <c r="C546" s="5" t="str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الجرد'!$A$2:$A$28,MATCH(A547,'جدول الجرد'!$B$2:$B$28,0)),""))</f>
        <v/>
      </c>
      <c r="C547" s="5" t="str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الجرد'!$A$2:$A$28,MATCH(A548,'جدول الجرد'!$B$2:$B$28,0)),""))</f>
        <v/>
      </c>
      <c r="C548" s="5" t="str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الجرد'!$A$2:$A$28,MATCH(A549,'جدول الجرد'!$B$2:$B$28,0)),""))</f>
        <v/>
      </c>
      <c r="C549" s="5" t="str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الجرد'!$A$2:$A$28,MATCH(A550,'جدول الجرد'!$B$2:$B$28,0)),""))</f>
        <v/>
      </c>
      <c r="C550" s="5" t="str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الجرد'!$A$2:$A$28,MATCH(A551,'جدول الجرد'!$B$2:$B$28,0)),""))</f>
        <v/>
      </c>
      <c r="C551" s="5" t="str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الجرد'!$A$2:$A$28,MATCH(A552,'جدول الجرد'!$B$2:$B$28,0)),""))</f>
        <v/>
      </c>
      <c r="C552" s="5" t="str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الجرد'!$A$2:$A$28,MATCH(A553,'جدول الجرد'!$B$2:$B$28,0)),""))</f>
        <v/>
      </c>
      <c r="C553" s="5" t="str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الجرد'!$A$2:$A$28,MATCH(A554,'جدول الجرد'!$B$2:$B$28,0)),""))</f>
        <v/>
      </c>
      <c r="C554" s="5" t="str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الجرد'!$A$2:$A$28,MATCH(A555,'جدول الجرد'!$B$2:$B$28,0)),""))</f>
        <v/>
      </c>
      <c r="C555" s="5" t="str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الجرد'!$A$2:$A$28,MATCH(A556,'جدول الجرد'!$B$2:$B$28,0)),""))</f>
        <v/>
      </c>
      <c r="C556" s="5" t="str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الجرد'!$A$2:$A$28,MATCH(A557,'جدول الجرد'!$B$2:$B$28,0)),""))</f>
        <v/>
      </c>
      <c r="C557" s="5" t="str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الجرد'!$A$2:$A$28,MATCH(A558,'جدول الجرد'!$B$2:$B$28,0)),""))</f>
        <v/>
      </c>
      <c r="C558" s="5" t="str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الجرد'!$A$2:$A$28,MATCH(A559,'جدول الجرد'!$B$2:$B$28,0)),""))</f>
        <v/>
      </c>
      <c r="C559" s="5" t="str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الجرد'!$A$2:$A$28,MATCH(A560,'جدول الجرد'!$B$2:$B$28,0)),""))</f>
        <v/>
      </c>
      <c r="C560" s="5" t="str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الجرد'!$A$2:$A$28,MATCH(A561,'جدول الجرد'!$B$2:$B$28,0)),""))</f>
        <v/>
      </c>
      <c r="C561" s="5" t="str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الجرد'!$A$2:$A$28,MATCH(A562,'جدول الجرد'!$B$2:$B$28,0)),""))</f>
        <v/>
      </c>
      <c r="C562" s="5" t="str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الجرد'!$A$2:$A$28,MATCH(A563,'جدول الجرد'!$B$2:$B$28,0)),""))</f>
        <v/>
      </c>
      <c r="C563" s="5" t="str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الجرد'!$A$2:$A$28,MATCH(A564,'جدول الجرد'!$B$2:$B$28,0)),""))</f>
        <v/>
      </c>
      <c r="C564" s="5" t="str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الجرد'!$A$2:$A$28,MATCH(A565,'جدول الجرد'!$B$2:$B$28,0)),""))</f>
        <v/>
      </c>
      <c r="C565" s="5" t="str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الجرد'!$A$2:$A$28,MATCH(A566,'جدول الجرد'!$B$2:$B$28,0)),""))</f>
        <v/>
      </c>
      <c r="C566" s="5" t="str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الجرد'!$A$2:$A$28,MATCH(A567,'جدول الجرد'!$B$2:$B$28,0)),""))</f>
        <v/>
      </c>
      <c r="C567" s="5" t="str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الجرد'!$A$2:$A$28,MATCH(A568,'جدول الجرد'!$B$2:$B$28,0)),""))</f>
        <v/>
      </c>
      <c r="C568" s="5" t="str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الجرد'!$A$2:$A$28,MATCH(A569,'جدول الجرد'!$B$2:$B$28,0)),""))</f>
        <v/>
      </c>
      <c r="C569" s="5" t="str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الجرد'!$A$2:$A$28,MATCH(A570,'جدول الجرد'!$B$2:$B$28,0)),""))</f>
        <v/>
      </c>
      <c r="C570" s="5" t="str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الجرد'!$A$2:$A$28,MATCH(A571,'جدول الجرد'!$B$2:$B$28,0)),""))</f>
        <v/>
      </c>
      <c r="C571" s="5" t="str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الجرد'!$A$2:$A$28,MATCH(A572,'جدول الجرد'!$B$2:$B$28,0)),""))</f>
        <v/>
      </c>
      <c r="C572" s="5" t="str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الجرد'!$A$2:$A$28,MATCH(A573,'جدول الجرد'!$B$2:$B$28,0)),""))</f>
        <v/>
      </c>
      <c r="C573" s="5" t="str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الجرد'!$A$2:$A$28,MATCH(A574,'جدول الجرد'!$B$2:$B$28,0)),""))</f>
        <v/>
      </c>
      <c r="C574" s="5" t="str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الجرد'!$A$2:$A$28,MATCH(A575,'جدول الجرد'!$B$2:$B$28,0)),""))</f>
        <v/>
      </c>
      <c r="C575" s="5" t="str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الجرد'!$A$2:$A$28,MATCH(A576,'جدول الجرد'!$B$2:$B$28,0)),""))</f>
        <v/>
      </c>
      <c r="C576" s="5" t="str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الجرد'!$A$2:$A$28,MATCH(A577,'جدول الجرد'!$B$2:$B$28,0)),""))</f>
        <v/>
      </c>
      <c r="C577" s="5" t="str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الجرد'!$A$2:$A$28,MATCH(A578,'جدول الجرد'!$B$2:$B$28,0)),""))</f>
        <v/>
      </c>
      <c r="C578" s="5" t="str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الجرد'!$A$2:$A$28,MATCH(A579,'جدول الجرد'!$B$2:$B$28,0)),""))</f>
        <v/>
      </c>
      <c r="C579" s="5" t="str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الجرد'!$A$2:$A$28,MATCH(A580,'جدول الجرد'!$B$2:$B$28,0)),""))</f>
        <v/>
      </c>
      <c r="C580" s="5" t="str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الجرد'!$A$2:$A$28,MATCH(A581,'جدول الجرد'!$B$2:$B$28,0)),""))</f>
        <v/>
      </c>
      <c r="C581" s="5" t="str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الجرد'!$A$2:$A$28,MATCH(A582,'جدول الجرد'!$B$2:$B$28,0)),""))</f>
        <v/>
      </c>
      <c r="C582" s="5" t="str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الجرد'!$A$2:$A$28,MATCH(A583,'جدول الجرد'!$B$2:$B$28,0)),""))</f>
        <v/>
      </c>
      <c r="C583" s="5" t="str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الجرد'!$A$2:$A$28,MATCH(A584,'جدول الجرد'!$B$2:$B$28,0)),""))</f>
        <v/>
      </c>
      <c r="C584" s="5" t="str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الجرد'!$A$2:$A$28,MATCH(A585,'جدول الجرد'!$B$2:$B$28,0)),""))</f>
        <v/>
      </c>
      <c r="C585" s="5" t="str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الجرد'!$A$2:$A$28,MATCH(A586,'جدول الجرد'!$B$2:$B$28,0)),""))</f>
        <v/>
      </c>
      <c r="C586" s="5" t="str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الجرد'!$A$2:$A$28,MATCH(A587,'جدول الجرد'!$B$2:$B$28,0)),""))</f>
        <v/>
      </c>
      <c r="C587" s="5" t="str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الجرد'!$A$2:$A$28,MATCH(A588,'جدول الجرد'!$B$2:$B$28,0)),""))</f>
        <v/>
      </c>
      <c r="C588" s="5" t="str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الجرد'!$A$2:$A$28,MATCH(A589,'جدول الجرد'!$B$2:$B$28,0)),""))</f>
        <v/>
      </c>
      <c r="C589" s="5" t="str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الجرد'!$A$2:$A$28,MATCH(A590,'جدول الجرد'!$B$2:$B$28,0)),""))</f>
        <v/>
      </c>
      <c r="C590" s="5" t="str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الجرد'!$A$2:$A$28,MATCH(A591,'جدول الجرد'!$B$2:$B$28,0)),""))</f>
        <v/>
      </c>
      <c r="C591" s="5" t="str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الجرد'!$A$2:$A$28,MATCH(A592,'جدول الجرد'!$B$2:$B$28,0)),""))</f>
        <v/>
      </c>
      <c r="C592" s="5" t="str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الجرد'!$A$2:$A$28,MATCH(A593,'جدول الجرد'!$B$2:$B$28,0)),""))</f>
        <v/>
      </c>
      <c r="C593" s="5" t="str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الجرد'!$A$2:$A$28,MATCH(A594,'جدول الجرد'!$B$2:$B$28,0)),""))</f>
        <v/>
      </c>
      <c r="C594" s="5" t="str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الجرد'!$A$2:$A$28,MATCH(A595,'جدول الجرد'!$B$2:$B$28,0)),""))</f>
        <v/>
      </c>
      <c r="C595" s="5" t="str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الجرد'!$A$2:$A$28,MATCH(A596,'جدول الجرد'!$B$2:$B$28,0)),""))</f>
        <v/>
      </c>
      <c r="C596" s="5" t="str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الجرد'!$A$2:$A$28,MATCH(A597,'جدول الجرد'!$B$2:$B$28,0)),""))</f>
        <v/>
      </c>
      <c r="C597" s="5" t="str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الجرد'!$A$2:$A$28,MATCH(A598,'جدول الجرد'!$B$2:$B$28,0)),""))</f>
        <v/>
      </c>
      <c r="C598" s="5" t="str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الجرد'!$A$2:$A$28,MATCH(A599,'جدول الجرد'!$B$2:$B$28,0)),""))</f>
        <v/>
      </c>
      <c r="C599" s="5" t="str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الجرد'!$A$2:$A$28,MATCH(A600,'جدول الجرد'!$B$2:$B$28,0)),""))</f>
        <v/>
      </c>
      <c r="C600" s="5" t="str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الجرد'!$A$2:$A$28,MATCH(A601,'جدول الجرد'!$B$2:$B$28,0)),""))</f>
        <v/>
      </c>
      <c r="C601" s="5" t="str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الجرد'!$A$2:$A$28,MATCH(A602,'جدول الجرد'!$B$2:$B$28,0)),""))</f>
        <v/>
      </c>
      <c r="C602" s="5" t="str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الجرد'!$A$2:$A$28,MATCH(A603,'جدول الجرد'!$B$2:$B$28,0)),""))</f>
        <v/>
      </c>
      <c r="C603" s="5" t="str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الجرد'!$A$2:$A$28,MATCH(A604,'جدول الجرد'!$B$2:$B$28,0)),""))</f>
        <v/>
      </c>
      <c r="C604" s="5" t="str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الجرد'!$A$2:$A$28,MATCH(A605,'جدول الجرد'!$B$2:$B$28,0)),""))</f>
        <v/>
      </c>
      <c r="C605" s="5" t="str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الجرد'!$A$2:$A$28,MATCH(A606,'جدول الجرد'!$B$2:$B$28,0)),""))</f>
        <v/>
      </c>
      <c r="C606" s="5" t="str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الجرد'!$A$2:$A$28,MATCH(A607,'جدول الجرد'!$B$2:$B$28,0)),""))</f>
        <v/>
      </c>
      <c r="C607" s="5" t="str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الجرد'!$A$2:$A$28,MATCH(A608,'جدول الجرد'!$B$2:$B$28,0)),""))</f>
        <v/>
      </c>
      <c r="C608" s="5" t="str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الجرد'!$A$2:$A$28,MATCH(A609,'جدول الجرد'!$B$2:$B$28,0)),""))</f>
        <v/>
      </c>
      <c r="C609" s="5" t="str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الجرد'!$A$2:$A$28,MATCH(A610,'جدول الجرد'!$B$2:$B$28,0)),""))</f>
        <v/>
      </c>
      <c r="C610" s="5" t="str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الجرد'!$A$2:$A$28,MATCH(A611,'جدول الجرد'!$B$2:$B$28,0)),""))</f>
        <v/>
      </c>
      <c r="C611" s="5" t="str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الجرد'!$A$2:$A$28,MATCH(A612,'جدول الجرد'!$B$2:$B$28,0)),""))</f>
        <v/>
      </c>
      <c r="C612" s="5" t="str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الجرد'!$A$2:$A$28,MATCH(A613,'جدول الجرد'!$B$2:$B$28,0)),""))</f>
        <v/>
      </c>
      <c r="C613" s="5" t="str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الجرد'!$A$2:$A$28,MATCH(A614,'جدول الجرد'!$B$2:$B$28,0)),""))</f>
        <v/>
      </c>
      <c r="C614" s="5" t="str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الجرد'!$A$2:$A$28,MATCH(A615,'جدول الجرد'!$B$2:$B$28,0)),""))</f>
        <v/>
      </c>
      <c r="C615" s="5" t="str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الجرد'!$A$2:$A$28,MATCH(A616,'جدول الجرد'!$B$2:$B$28,0)),""))</f>
        <v/>
      </c>
      <c r="C616" s="5" t="str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الجرد'!$A$2:$A$28,MATCH(A617,'جدول الجرد'!$B$2:$B$28,0)),""))</f>
        <v/>
      </c>
      <c r="C617" s="5" t="str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الجرد'!$A$2:$A$28,MATCH(A618,'جدول الجرد'!$B$2:$B$28,0)),""))</f>
        <v/>
      </c>
      <c r="C618" s="5" t="str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الجرد'!$A$2:$A$28,MATCH(A619,'جدول الجرد'!$B$2:$B$28,0)),""))</f>
        <v/>
      </c>
      <c r="C619" s="5" t="str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الجرد'!$A$2:$A$28,MATCH(A620,'جدول الجرد'!$B$2:$B$28,0)),""))</f>
        <v/>
      </c>
      <c r="C620" s="5" t="str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الجرد'!$A$2:$A$28,MATCH(A621,'جدول الجرد'!$B$2:$B$28,0)),""))</f>
        <v/>
      </c>
      <c r="C621" s="5" t="str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الجرد'!$A$2:$A$28,MATCH(A622,'جدول الجرد'!$B$2:$B$28,0)),""))</f>
        <v/>
      </c>
      <c r="C622" s="5" t="str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الجرد'!$A$2:$A$28,MATCH(A623,'جدول الجرد'!$B$2:$B$28,0)),""))</f>
        <v/>
      </c>
      <c r="C623" s="5" t="str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الجرد'!$A$2:$A$28,MATCH(A624,'جدول الجرد'!$B$2:$B$28,0)),""))</f>
        <v/>
      </c>
      <c r="C624" s="5" t="str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الجرد'!$A$2:$A$28,MATCH(A625,'جدول الجرد'!$B$2:$B$28,0)),""))</f>
        <v/>
      </c>
      <c r="C625" s="5" t="str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الجرد'!$A$2:$A$28,MATCH(A626,'جدول الجرد'!$B$2:$B$28,0)),""))</f>
        <v/>
      </c>
      <c r="C626" s="5" t="str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الجرد'!$A$2:$A$28,MATCH(A627,'جدول الجرد'!$B$2:$B$28,0)),""))</f>
        <v/>
      </c>
      <c r="C627" s="5" t="str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الجرد'!$A$2:$A$28,MATCH(A628,'جدول الجرد'!$B$2:$B$28,0)),""))</f>
        <v/>
      </c>
      <c r="C628" s="5" t="str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الجرد'!$A$2:$A$28,MATCH(A629,'جدول الجرد'!$B$2:$B$28,0)),""))</f>
        <v/>
      </c>
      <c r="C629" s="5" t="str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الجرد'!$A$2:$A$28,MATCH(A630,'جدول الجرد'!$B$2:$B$28,0)),""))</f>
        <v/>
      </c>
      <c r="C630" s="5" t="str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الجرد'!$A$2:$A$28,MATCH(A631,'جدول الجرد'!$B$2:$B$28,0)),""))</f>
        <v/>
      </c>
      <c r="C631" s="5" t="str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الجرد'!$A$2:$A$28,MATCH(A632,'جدول الجرد'!$B$2:$B$28,0)),""))</f>
        <v/>
      </c>
      <c r="C632" s="5" t="str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الجرد'!$A$2:$A$28,MATCH(A633,'جدول الجرد'!$B$2:$B$28,0)),""))</f>
        <v/>
      </c>
      <c r="C633" s="5" t="str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الجرد'!$A$2:$A$28,MATCH(A634,'جدول الجرد'!$B$2:$B$28,0)),""))</f>
        <v/>
      </c>
      <c r="C634" s="5" t="str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الجرد'!$A$2:$A$28,MATCH(A635,'جدول الجرد'!$B$2:$B$28,0)),""))</f>
        <v/>
      </c>
      <c r="C635" s="5" t="str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الجرد'!$A$2:$A$28,MATCH(A636,'جدول الجرد'!$B$2:$B$28,0)),""))</f>
        <v/>
      </c>
      <c r="C636" s="5" t="str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الجرد'!$A$2:$A$28,MATCH(A637,'جدول الجرد'!$B$2:$B$28,0)),""))</f>
        <v/>
      </c>
      <c r="C637" s="5" t="str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الجرد'!$A$2:$A$28,MATCH(A638,'جدول الجرد'!$B$2:$B$28,0)),""))</f>
        <v/>
      </c>
      <c r="C638" s="5" t="str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الجرد'!$A$2:$A$28,MATCH(A639,'جدول الجرد'!$B$2:$B$28,0)),""))</f>
        <v/>
      </c>
      <c r="C639" s="5" t="str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الجرد'!$A$2:$A$28,MATCH(A640,'جدول الجرد'!$B$2:$B$28,0)),""))</f>
        <v/>
      </c>
      <c r="C640" s="5" t="str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الجرد'!$A$2:$A$28,MATCH(A641,'جدول الجرد'!$B$2:$B$28,0)),""))</f>
        <v/>
      </c>
      <c r="C641" s="5" t="str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الجرد'!$A$2:$A$28,MATCH(A642,'جدول الجرد'!$B$2:$B$28,0)),""))</f>
        <v/>
      </c>
      <c r="C642" s="5" t="str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الجرد'!$A$2:$A$28,MATCH(A643,'جدول الجرد'!$B$2:$B$28,0)),""))</f>
        <v/>
      </c>
      <c r="C643" s="5" t="str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الجرد'!$A$2:$A$28,MATCH(A644,'جدول الجرد'!$B$2:$B$28,0)),""))</f>
        <v/>
      </c>
      <c r="C644" s="5" t="str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الجرد'!$A$2:$A$28,MATCH(A645,'جدول الجرد'!$B$2:$B$28,0)),""))</f>
        <v/>
      </c>
      <c r="C645" s="5" t="str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الجرد'!$A$2:$A$28,MATCH(A646,'جدول الجرد'!$B$2:$B$28,0)),""))</f>
        <v/>
      </c>
      <c r="C646" s="5" t="str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الجرد'!$A$2:$A$28,MATCH(A647,'جدول الجرد'!$B$2:$B$28,0)),""))</f>
        <v/>
      </c>
      <c r="C647" s="5" t="str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الجرد'!$A$2:$A$28,MATCH(A648,'جدول الجرد'!$B$2:$B$28,0)),""))</f>
        <v/>
      </c>
      <c r="C648" s="5" t="str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الجرد'!$A$2:$A$28,MATCH(A649,'جدول الجرد'!$B$2:$B$28,0)),""))</f>
        <v/>
      </c>
      <c r="C649" s="5" t="str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الجرد'!$A$2:$A$28,MATCH(A650,'جدول الجرد'!$B$2:$B$28,0)),""))</f>
        <v/>
      </c>
      <c r="C650" s="5" t="str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الجرد'!$A$2:$A$28,MATCH(A651,'جدول الجرد'!$B$2:$B$28,0)),""))</f>
        <v/>
      </c>
      <c r="C651" s="5" t="str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الجرد'!$A$2:$A$28,MATCH(A652,'جدول الجرد'!$B$2:$B$28,0)),""))</f>
        <v/>
      </c>
      <c r="C652" s="5" t="str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الجرد'!$A$2:$A$28,MATCH(A653,'جدول الجرد'!$B$2:$B$28,0)),""))</f>
        <v/>
      </c>
      <c r="C653" s="5" t="str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الجرد'!$A$2:$A$28,MATCH(A654,'جدول الجرد'!$B$2:$B$28,0)),""))</f>
        <v/>
      </c>
      <c r="C654" s="5" t="str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الجرد'!$A$2:$A$28,MATCH(A655,'جدول الجرد'!$B$2:$B$28,0)),""))</f>
        <v/>
      </c>
      <c r="C655" s="5" t="str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الجرد'!$A$2:$A$28,MATCH(A656,'جدول الجرد'!$B$2:$B$28,0)),""))</f>
        <v/>
      </c>
      <c r="C656" s="5" t="str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الجرد'!$A$2:$A$28,MATCH(A657,'جدول الجرد'!$B$2:$B$28,0)),""))</f>
        <v/>
      </c>
      <c r="C657" s="5" t="str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الجرد'!$A$2:$A$28,MATCH(A658,'جدول الجرد'!$B$2:$B$28,0)),""))</f>
        <v/>
      </c>
      <c r="C658" s="5" t="str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الجرد'!$A$2:$A$28,MATCH(A659,'جدول الجرد'!$B$2:$B$28,0)),""))</f>
        <v/>
      </c>
      <c r="C659" s="5" t="str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الجرد'!$A$2:$A$28,MATCH(A660,'جدول الجرد'!$B$2:$B$28,0)),""))</f>
        <v/>
      </c>
      <c r="C660" s="5" t="str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الجرد'!$A$2:$A$28,MATCH(A661,'جدول الجرد'!$B$2:$B$28,0)),""))</f>
        <v/>
      </c>
      <c r="C661" s="5" t="str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الجرد'!$A$2:$A$28,MATCH(A662,'جدول الجرد'!$B$2:$B$28,0)),""))</f>
        <v/>
      </c>
      <c r="C662" s="5" t="str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الجرد'!$A$2:$A$28,MATCH(A663,'جدول الجرد'!$B$2:$B$28,0)),""))</f>
        <v/>
      </c>
      <c r="C663" s="5" t="str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الجرد'!$A$2:$A$28,MATCH(A664,'جدول الجرد'!$B$2:$B$28,0)),""))</f>
        <v/>
      </c>
      <c r="C664" s="5" t="str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الجرد'!$A$2:$A$28,MATCH(A665,'جدول الجرد'!$B$2:$B$28,0)),""))</f>
        <v/>
      </c>
      <c r="C665" s="5" t="str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الجرد'!$A$2:$A$28,MATCH(A666,'جدول الجرد'!$B$2:$B$28,0)),""))</f>
        <v/>
      </c>
      <c r="C666" s="5" t="str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الجرد'!$A$2:$A$28,MATCH(A667,'جدول الجرد'!$B$2:$B$28,0)),""))</f>
        <v/>
      </c>
      <c r="C667" s="5" t="str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الجرد'!$A$2:$A$28,MATCH(A668,'جدول الجرد'!$B$2:$B$28,0)),""))</f>
        <v/>
      </c>
      <c r="C668" s="5" t="str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الجرد'!$A$2:$A$28,MATCH(A669,'جدول الجرد'!$B$2:$B$28,0)),""))</f>
        <v/>
      </c>
      <c r="C669" s="5" t="str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الجرد'!$A$2:$A$28,MATCH(A670,'جدول الجرد'!$B$2:$B$28,0)),""))</f>
        <v/>
      </c>
      <c r="C670" s="5" t="str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الجرد'!$A$2:$A$28,MATCH(A671,'جدول الجرد'!$B$2:$B$28,0)),""))</f>
        <v/>
      </c>
      <c r="C671" s="5" t="str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الجرد'!$A$2:$A$28,MATCH(A672,'جدول الجرد'!$B$2:$B$28,0)),""))</f>
        <v/>
      </c>
      <c r="C672" s="5" t="str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الجرد'!$A$2:$A$28,MATCH(A673,'جدول الجرد'!$B$2:$B$28,0)),""))</f>
        <v/>
      </c>
      <c r="C673" s="5" t="str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الجرد'!$A$2:$A$28,MATCH(A674,'جدول الجرد'!$B$2:$B$28,0)),""))</f>
        <v/>
      </c>
      <c r="C674" s="5" t="str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الجرد'!$A$2:$A$28,MATCH(A675,'جدول الجرد'!$B$2:$B$28,0)),""))</f>
        <v/>
      </c>
      <c r="C675" s="5" t="str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الجرد'!$A$2:$A$28,MATCH(A676,'جدول الجرد'!$B$2:$B$28,0)),""))</f>
        <v/>
      </c>
      <c r="C676" s="5" t="str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الجرد'!$A$2:$A$28,MATCH(A677,'جدول الجرد'!$B$2:$B$28,0)),""))</f>
        <v/>
      </c>
      <c r="C677" s="5" t="str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الجرد'!$A$2:$A$28,MATCH(A678,'جدول الجرد'!$B$2:$B$28,0)),""))</f>
        <v/>
      </c>
      <c r="C678" s="5" t="str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الجرد'!$A$2:$A$28,MATCH(A679,'جدول الجرد'!$B$2:$B$28,0)),""))</f>
        <v/>
      </c>
      <c r="C679" s="5" t="str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الجرد'!$A$2:$A$28,MATCH(A680,'جدول الجرد'!$B$2:$B$28,0)),""))</f>
        <v/>
      </c>
      <c r="C680" s="5" t="str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الجرد'!$A$2:$A$28,MATCH(A681,'جدول الجرد'!$B$2:$B$28,0)),""))</f>
        <v/>
      </c>
      <c r="C681" s="5" t="str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الجرد'!$A$2:$A$28,MATCH(A682,'جدول الجرد'!$B$2:$B$28,0)),""))</f>
        <v/>
      </c>
      <c r="C682" s="5" t="str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الجرد'!$A$2:$A$28,MATCH(A683,'جدول الجرد'!$B$2:$B$28,0)),""))</f>
        <v/>
      </c>
      <c r="C683" s="5" t="str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الجرد'!$A$2:$A$28,MATCH(A684,'جدول الجرد'!$B$2:$B$28,0)),""))</f>
        <v/>
      </c>
      <c r="C684" s="5" t="str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الجرد'!$A$2:$A$28,MATCH(A685,'جدول الجرد'!$B$2:$B$28,0)),""))</f>
        <v/>
      </c>
      <c r="C685" s="5" t="str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الجرد'!$A$2:$A$28,MATCH(A686,'جدول الجرد'!$B$2:$B$28,0)),""))</f>
        <v/>
      </c>
      <c r="C686" s="5" t="str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الجرد'!$A$2:$A$28,MATCH(A687,'جدول الجرد'!$B$2:$B$28,0)),""))</f>
        <v/>
      </c>
      <c r="C687" s="5" t="str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الجرد'!$A$2:$A$28,MATCH(A688,'جدول الجرد'!$B$2:$B$28,0)),""))</f>
        <v/>
      </c>
      <c r="C688" s="5" t="str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الجرد'!$A$2:$A$28,MATCH(A689,'جدول الجرد'!$B$2:$B$28,0)),""))</f>
        <v/>
      </c>
      <c r="C689" s="5" t="str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الجرد'!$A$2:$A$28,MATCH(A690,'جدول الجرد'!$B$2:$B$28,0)),""))</f>
        <v/>
      </c>
      <c r="C690" s="5" t="str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الجرد'!$A$2:$A$28,MATCH(A691,'جدول الجرد'!$B$2:$B$28,0)),""))</f>
        <v/>
      </c>
      <c r="C691" s="5" t="str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الجرد'!$A$2:$A$28,MATCH(A692,'جدول الجرد'!$B$2:$B$28,0)),""))</f>
        <v/>
      </c>
      <c r="C692" s="5" t="str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الجرد'!$A$2:$A$28,MATCH(A693,'جدول الجرد'!$B$2:$B$28,0)),""))</f>
        <v/>
      </c>
      <c r="C693" s="5" t="str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الجرد'!$A$2:$A$28,MATCH(A694,'جدول الجرد'!$B$2:$B$28,0)),""))</f>
        <v/>
      </c>
      <c r="C694" s="5" t="str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الجرد'!$A$2:$A$28,MATCH(A695,'جدول الجرد'!$B$2:$B$28,0)),""))</f>
        <v/>
      </c>
      <c r="C695" s="5" t="str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الجرد'!$A$2:$A$28,MATCH(A696,'جدول الجرد'!$B$2:$B$28,0)),""))</f>
        <v/>
      </c>
      <c r="C696" s="5" t="str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الجرد'!$A$2:$A$28,MATCH(A697,'جدول الجرد'!$B$2:$B$28,0)),""))</f>
        <v/>
      </c>
      <c r="C697" s="5" t="str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الجرد'!$A$2:$A$28,MATCH(A698,'جدول الجرد'!$B$2:$B$28,0)),""))</f>
        <v/>
      </c>
      <c r="C698" s="5" t="str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الجرد'!$A$2:$A$28,MATCH(A699,'جدول الجرد'!$B$2:$B$28,0)),""))</f>
        <v/>
      </c>
      <c r="C699" s="5" t="str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الجرد'!$A$2:$A$28,MATCH(A700,'جدول الجرد'!$B$2:$B$28,0)),""))</f>
        <v/>
      </c>
      <c r="C700" s="5" t="str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الجرد'!$A$2:$A$28,MATCH(A701,'جدول الجرد'!$B$2:$B$28,0)),""))</f>
        <v/>
      </c>
      <c r="C701" s="5" t="str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الجرد'!$A$2:$A$28,MATCH(A702,'جدول الجرد'!$B$2:$B$28,0)),""))</f>
        <v/>
      </c>
      <c r="C702" s="5" t="str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الجرد'!$A$2:$A$28,MATCH(A703,'جدول الجرد'!$B$2:$B$28,0)),""))</f>
        <v/>
      </c>
      <c r="C703" s="5" t="str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الجرد'!$A$2:$A$28,MATCH(A704,'جدول الجرد'!$B$2:$B$28,0)),""))</f>
        <v/>
      </c>
      <c r="C704" s="5" t="str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الجرد'!$A$2:$A$28,MATCH(A705,'جدول الجرد'!$B$2:$B$28,0)),""))</f>
        <v/>
      </c>
      <c r="C705" s="5" t="str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الجرد'!$A$2:$A$28,MATCH(A706,'جدول الجرد'!$B$2:$B$28,0)),""))</f>
        <v/>
      </c>
      <c r="C706" s="5" t="str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الجرد'!$A$2:$A$28,MATCH(A707,'جدول الجرد'!$B$2:$B$28,0)),""))</f>
        <v/>
      </c>
      <c r="C707" s="5" t="str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الجرد'!$A$2:$A$28,MATCH(A708,'جدول الجرد'!$B$2:$B$28,0)),""))</f>
        <v/>
      </c>
      <c r="C708" s="5" t="str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الجرد'!$A$2:$A$28,MATCH(A709,'جدول الجرد'!$B$2:$B$28,0)),""))</f>
        <v/>
      </c>
      <c r="C709" s="5" t="str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الجرد'!$A$2:$A$28,MATCH(A710,'جدول الجرد'!$B$2:$B$28,0)),""))</f>
        <v/>
      </c>
      <c r="C710" s="5" t="str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الجرد'!$A$2:$A$28,MATCH(A711,'جدول الجرد'!$B$2:$B$28,0)),""))</f>
        <v/>
      </c>
      <c r="C711" s="5" t="str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الجرد'!$A$2:$A$28,MATCH(A712,'جدول الجرد'!$B$2:$B$28,0)),""))</f>
        <v/>
      </c>
      <c r="C712" s="5" t="str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الجرد'!$A$2:$A$28,MATCH(A713,'جدول الجرد'!$B$2:$B$28,0)),""))</f>
        <v/>
      </c>
      <c r="C713" s="5" t="str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الجرد'!$A$2:$A$28,MATCH(A714,'جدول الجرد'!$B$2:$B$28,0)),""))</f>
        <v/>
      </c>
      <c r="C714" s="5" t="str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الجرد'!$A$2:$A$28,MATCH(A715,'جدول الجرد'!$B$2:$B$28,0)),""))</f>
        <v/>
      </c>
      <c r="C715" s="5" t="str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الجرد'!$A$2:$A$28,MATCH(A716,'جدول الجرد'!$B$2:$B$28,0)),""))</f>
        <v/>
      </c>
      <c r="C716" s="5" t="str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الجرد'!$A$2:$A$28,MATCH(A717,'جدول الجرد'!$B$2:$B$28,0)),""))</f>
        <v/>
      </c>
      <c r="C717" s="5" t="str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الجرد'!$A$2:$A$28,MATCH(A718,'جدول الجرد'!$B$2:$B$28,0)),""))</f>
        <v/>
      </c>
      <c r="C718" s="5" t="str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الجرد'!$A$2:$A$28,MATCH(A719,'جدول الجرد'!$B$2:$B$28,0)),""))</f>
        <v/>
      </c>
      <c r="C719" s="5" t="str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الجرد'!$A$2:$A$28,MATCH(A720,'جدول الجرد'!$B$2:$B$28,0)),""))</f>
        <v/>
      </c>
      <c r="C720" s="5" t="str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الجرد'!$A$2:$A$28,MATCH(A721,'جدول الجرد'!$B$2:$B$28,0)),""))</f>
        <v/>
      </c>
      <c r="C721" s="5" t="str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الجرد'!$A$2:$A$28,MATCH(A722,'جدول الجرد'!$B$2:$B$28,0)),""))</f>
        <v/>
      </c>
      <c r="C722" s="5" t="str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الجرد'!$A$2:$A$28,MATCH(A723,'جدول الجرد'!$B$2:$B$28,0)),""))</f>
        <v/>
      </c>
      <c r="C723" s="5" t="str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الجرد'!$A$2:$A$28,MATCH(A724,'جدول الجرد'!$B$2:$B$28,0)),""))</f>
        <v/>
      </c>
      <c r="C724" s="5" t="str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الجرد'!$A$2:$A$28,MATCH(A725,'جدول الجرد'!$B$2:$B$28,0)),""))</f>
        <v/>
      </c>
      <c r="C725" s="5" t="str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الجرد'!$A$2:$A$28,MATCH(A726,'جدول الجرد'!$B$2:$B$28,0)),""))</f>
        <v/>
      </c>
      <c r="C726" s="5" t="str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الجرد'!$A$2:$A$28,MATCH(A727,'جدول الجرد'!$B$2:$B$28,0)),""))</f>
        <v/>
      </c>
      <c r="C727" s="5" t="str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الجرد'!$A$2:$A$28,MATCH(A728,'جدول الجرد'!$B$2:$B$28,0)),""))</f>
        <v/>
      </c>
      <c r="C728" s="5" t="str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الجرد'!$A$2:$A$28,MATCH(A729,'جدول الجرد'!$B$2:$B$28,0)),""))</f>
        <v/>
      </c>
      <c r="C729" s="5" t="str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الجرد'!$A$2:$A$28,MATCH(A730,'جدول الجرد'!$B$2:$B$28,0)),""))</f>
        <v/>
      </c>
      <c r="C730" s="5" t="str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الجرد'!$A$2:$A$28,MATCH(A731,'جدول الجرد'!$B$2:$B$28,0)),""))</f>
        <v/>
      </c>
      <c r="C731" s="5" t="str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الجرد'!$A$2:$A$28,MATCH(A732,'جدول الجرد'!$B$2:$B$28,0)),""))</f>
        <v/>
      </c>
      <c r="C732" s="5" t="str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الجرد'!$A$2:$A$28,MATCH(A733,'جدول الجرد'!$B$2:$B$28,0)),""))</f>
        <v/>
      </c>
      <c r="C733" s="5" t="str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الجرد'!$A$2:$A$28,MATCH(A734,'جدول الجرد'!$B$2:$B$28,0)),""))</f>
        <v/>
      </c>
      <c r="C734" s="5" t="str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الجرد'!$A$2:$A$28,MATCH(A735,'جدول الجرد'!$B$2:$B$28,0)),""))</f>
        <v/>
      </c>
      <c r="C735" s="5" t="str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الجرد'!$A$2:$A$28,MATCH(A736,'جدول الجرد'!$B$2:$B$28,0)),""))</f>
        <v/>
      </c>
      <c r="C736" s="5" t="str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الجرد'!$A$2:$A$28,MATCH(A737,'جدول الجرد'!$B$2:$B$28,0)),""))</f>
        <v/>
      </c>
      <c r="C737" s="5" t="str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الجرد'!$A$2:$A$28,MATCH(A738,'جدول الجرد'!$B$2:$B$28,0)),""))</f>
        <v/>
      </c>
      <c r="C738" s="5" t="str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الجرد'!$A$2:$A$28,MATCH(A739,'جدول الجرد'!$B$2:$B$28,0)),""))</f>
        <v/>
      </c>
      <c r="C739" s="5" t="str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الجرد'!$A$2:$A$28,MATCH(A740,'جدول الجرد'!$B$2:$B$28,0)),""))</f>
        <v/>
      </c>
      <c r="C740" s="5" t="str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الجرد'!$A$2:$A$28,MATCH(A741,'جدول الجرد'!$B$2:$B$28,0)),""))</f>
        <v/>
      </c>
      <c r="C741" s="5" t="str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الجرد'!$A$2:$A$28,MATCH(A742,'جدول الجرد'!$B$2:$B$28,0)),""))</f>
        <v/>
      </c>
      <c r="C742" s="5" t="str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الجرد'!$A$2:$A$28,MATCH(A743,'جدول الجرد'!$B$2:$B$28,0)),""))</f>
        <v/>
      </c>
      <c r="C743" s="5" t="str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الجرد'!$A$2:$A$28,MATCH(A744,'جدول الجرد'!$B$2:$B$28,0)),""))</f>
        <v/>
      </c>
      <c r="C744" s="5" t="str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الجرد'!$A$2:$A$28,MATCH(A745,'جدول الجرد'!$B$2:$B$28,0)),""))</f>
        <v/>
      </c>
      <c r="C745" s="5" t="str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الجرد'!$A$2:$A$28,MATCH(A746,'جدول الجرد'!$B$2:$B$28,0)),""))</f>
        <v/>
      </c>
      <c r="C746" s="5" t="str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الجرد'!$A$2:$A$28,MATCH(A747,'جدول الجرد'!$B$2:$B$28,0)),""))</f>
        <v/>
      </c>
      <c r="C747" s="5" t="str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الجرد'!$A$2:$A$28,MATCH(A748,'جدول الجرد'!$B$2:$B$28,0)),""))</f>
        <v/>
      </c>
      <c r="C748" s="5" t="str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الجرد'!$A$2:$A$28,MATCH(A749,'جدول الجرد'!$B$2:$B$28,0)),""))</f>
        <v/>
      </c>
      <c r="C749" s="5" t="str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الجرد'!$A$2:$A$28,MATCH(A750,'جدول الجرد'!$B$2:$B$28,0)),""))</f>
        <v/>
      </c>
      <c r="C750" s="5" t="str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الجرد'!$A$2:$A$28,MATCH(A751,'جدول الجرد'!$B$2:$B$28,0)),""))</f>
        <v/>
      </c>
      <c r="C751" s="5" t="str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الجرد'!$A$2:$A$28,MATCH(A752,'جدول الجرد'!$B$2:$B$28,0)),""))</f>
        <v/>
      </c>
      <c r="C752" s="5" t="str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الجرد'!$A$2:$A$28,MATCH(A753,'جدول الجرد'!$B$2:$B$28,0)),""))</f>
        <v/>
      </c>
      <c r="C753" s="5" t="str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الجرد'!$A$2:$A$28,MATCH(A754,'جدول الجرد'!$B$2:$B$28,0)),""))</f>
        <v/>
      </c>
      <c r="C754" s="5" t="str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الجرد'!$A$2:$A$28,MATCH(A755,'جدول الجرد'!$B$2:$B$28,0)),""))</f>
        <v/>
      </c>
      <c r="C755" s="5" t="str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الجرد'!$A$2:$A$28,MATCH(A756,'جدول الجرد'!$B$2:$B$28,0)),""))</f>
        <v/>
      </c>
      <c r="C756" s="5" t="str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الجرد'!$A$2:$A$28,MATCH(A757,'جدول الجرد'!$B$2:$B$28,0)),""))</f>
        <v/>
      </c>
      <c r="C757" s="5" t="str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الجرد'!$A$2:$A$28,MATCH(A758,'جدول الجرد'!$B$2:$B$28,0)),""))</f>
        <v/>
      </c>
      <c r="C758" s="5" t="str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الجرد'!$A$2:$A$28,MATCH(A759,'جدول الجرد'!$B$2:$B$28,0)),""))</f>
        <v/>
      </c>
      <c r="C759" s="5" t="str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الجرد'!$A$2:$A$28,MATCH(A760,'جدول الجرد'!$B$2:$B$28,0)),""))</f>
        <v/>
      </c>
      <c r="C760" s="5" t="str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الجرد'!$A$2:$A$28,MATCH(A761,'جدول الجرد'!$B$2:$B$28,0)),""))</f>
        <v/>
      </c>
      <c r="C761" s="5" t="str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الجرد'!$A$2:$A$28,MATCH(A762,'جدول الجرد'!$B$2:$B$28,0)),""))</f>
        <v/>
      </c>
      <c r="C762" s="5" t="str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الجرد'!$A$2:$A$28,MATCH(A763,'جدول الجرد'!$B$2:$B$28,0)),""))</f>
        <v/>
      </c>
      <c r="C763" s="5" t="str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الجرد'!$A$2:$A$28,MATCH(A764,'جدول الجرد'!$B$2:$B$28,0)),""))</f>
        <v/>
      </c>
      <c r="C764" s="5" t="str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الجرد'!$A$2:$A$28,MATCH(A765,'جدول الجرد'!$B$2:$B$28,0)),""))</f>
        <v/>
      </c>
      <c r="C765" s="5" t="str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الجرد'!$A$2:$A$28,MATCH(A766,'جدول الجرد'!$B$2:$B$28,0)),""))</f>
        <v/>
      </c>
      <c r="C766" s="5" t="str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الجرد'!$A$2:$A$28,MATCH(A767,'جدول الجرد'!$B$2:$B$28,0)),""))</f>
        <v/>
      </c>
      <c r="C767" s="5" t="str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الجرد'!$A$2:$A$28,MATCH(A768,'جدول الجرد'!$B$2:$B$28,0)),""))</f>
        <v/>
      </c>
      <c r="C768" s="5" t="str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الجرد'!$A$2:$A$28,MATCH(A769,'جدول الجرد'!$B$2:$B$28,0)),""))</f>
        <v/>
      </c>
      <c r="C769" s="5" t="str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الجرد'!$A$2:$A$28,MATCH(A770,'جدول الجرد'!$B$2:$B$28,0)),""))</f>
        <v/>
      </c>
      <c r="C770" s="5" t="str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الجرد'!$A$2:$A$28,MATCH(A771,'جدول الجرد'!$B$2:$B$28,0)),""))</f>
        <v/>
      </c>
      <c r="C771" s="5" t="str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الجرد'!$A$2:$A$28,MATCH(A772,'جدول الجرد'!$B$2:$B$28,0)),""))</f>
        <v/>
      </c>
      <c r="C772" s="5" t="str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الجرد'!$A$2:$A$28,MATCH(A773,'جدول الجرد'!$B$2:$B$28,0)),""))</f>
        <v/>
      </c>
      <c r="C773" s="5" t="str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الجرد'!$A$2:$A$28,MATCH(A774,'جدول الجرد'!$B$2:$B$28,0)),""))</f>
        <v/>
      </c>
      <c r="C774" s="5" t="str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الجرد'!$A$2:$A$28,MATCH(A775,'جدول الجرد'!$B$2:$B$28,0)),""))</f>
        <v/>
      </c>
      <c r="C775" s="5" t="str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الجرد'!$A$2:$A$28,MATCH(A776,'جدول الجرد'!$B$2:$B$28,0)),""))</f>
        <v/>
      </c>
      <c r="C776" s="5" t="str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الجرد'!$A$2:$A$28,MATCH(A777,'جدول الجرد'!$B$2:$B$28,0)),""))</f>
        <v/>
      </c>
      <c r="C777" s="5" t="str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الجرد'!$A$2:$A$28,MATCH(A778,'جدول الجرد'!$B$2:$B$28,0)),""))</f>
        <v/>
      </c>
      <c r="C778" s="5" t="str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الجرد'!$A$2:$A$28,MATCH(A779,'جدول الجرد'!$B$2:$B$28,0)),""))</f>
        <v/>
      </c>
      <c r="C779" s="5" t="str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الجرد'!$A$2:$A$28,MATCH(A780,'جدول الجرد'!$B$2:$B$28,0)),""))</f>
        <v/>
      </c>
      <c r="C780" s="5" t="str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الجرد'!$A$2:$A$28,MATCH(A781,'جدول الجرد'!$B$2:$B$28,0)),""))</f>
        <v/>
      </c>
      <c r="C781" s="5" t="str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الجرد'!$A$2:$A$28,MATCH(A782,'جدول الجرد'!$B$2:$B$28,0)),""))</f>
        <v/>
      </c>
      <c r="C782" s="5" t="str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الجرد'!$A$2:$A$28,MATCH(A783,'جدول الجرد'!$B$2:$B$28,0)),""))</f>
        <v/>
      </c>
      <c r="C783" s="5" t="str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الجرد'!$A$2:$A$28,MATCH(A784,'جدول الجرد'!$B$2:$B$28,0)),""))</f>
        <v/>
      </c>
      <c r="C784" s="5" t="str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الجرد'!$A$2:$A$28,MATCH(A785,'جدول الجرد'!$B$2:$B$28,0)),""))</f>
        <v/>
      </c>
      <c r="C785" s="5" t="str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الجرد'!$A$2:$A$28,MATCH(A786,'جدول الجرد'!$B$2:$B$28,0)),""))</f>
        <v/>
      </c>
      <c r="C786" s="5" t="str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الجرد'!$A$2:$A$28,MATCH(A787,'جدول الجرد'!$B$2:$B$28,0)),""))</f>
        <v/>
      </c>
      <c r="C787" s="5" t="str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الجرد'!$A$2:$A$28,MATCH(A788,'جدول الجرد'!$B$2:$B$28,0)),""))</f>
        <v/>
      </c>
      <c r="C788" s="5" t="str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الجرد'!$A$2:$A$28,MATCH(A789,'جدول الجرد'!$B$2:$B$28,0)),""))</f>
        <v/>
      </c>
      <c r="C789" s="5" t="str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الجرد'!$A$2:$A$28,MATCH(A790,'جدول الجرد'!$B$2:$B$28,0)),""))</f>
        <v/>
      </c>
      <c r="C790" s="5" t="str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الجرد'!$A$2:$A$28,MATCH(A791,'جدول الجرد'!$B$2:$B$28,0)),""))</f>
        <v/>
      </c>
      <c r="C791" s="5" t="str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الجرد'!$A$2:$A$28,MATCH(A792,'جدول الجرد'!$B$2:$B$28,0)),""))</f>
        <v/>
      </c>
      <c r="C792" s="5" t="str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الجرد'!$A$2:$A$28,MATCH(A793,'جدول الجرد'!$B$2:$B$28,0)),""))</f>
        <v/>
      </c>
      <c r="C793" s="5" t="str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الجرد'!$A$2:$A$28,MATCH(A794,'جدول الجرد'!$B$2:$B$28,0)),""))</f>
        <v/>
      </c>
      <c r="C794" s="5" t="str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الجرد'!$A$2:$A$28,MATCH(A795,'جدول الجرد'!$B$2:$B$28,0)),""))</f>
        <v/>
      </c>
      <c r="C795" s="5" t="str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الجرد'!$A$2:$A$28,MATCH(A796,'جدول الجرد'!$B$2:$B$28,0)),""))</f>
        <v/>
      </c>
      <c r="C796" s="5" t="str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الجرد'!$A$2:$A$28,MATCH(A797,'جدول الجرد'!$B$2:$B$28,0)),""))</f>
        <v/>
      </c>
      <c r="C797" s="5" t="str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الجرد'!$A$2:$A$28,MATCH(A798,'جدول الجرد'!$B$2:$B$28,0)),""))</f>
        <v/>
      </c>
      <c r="C798" s="5" t="str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الجرد'!$A$2:$A$28,MATCH(A799,'جدول الجرد'!$B$2:$B$28,0)),""))</f>
        <v/>
      </c>
      <c r="C799" s="5" t="str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الجرد'!$A$2:$A$28,MATCH(A800,'جدول الجرد'!$B$2:$B$28,0)),""))</f>
        <v/>
      </c>
      <c r="C800" s="5" t="str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الجرد'!$A$2:$A$28,MATCH(A801,'جدول الجرد'!$B$2:$B$28,0)),""))</f>
        <v/>
      </c>
      <c r="C801" s="5" t="str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الجرد'!$A$2:$A$28,MATCH(A802,'جدول الجرد'!$B$2:$B$28,0)),""))</f>
        <v/>
      </c>
      <c r="C802" s="5" t="str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الجرد'!$A$2:$A$28,MATCH(A803,'جدول الجرد'!$B$2:$B$28,0)),""))</f>
        <v/>
      </c>
      <c r="C803" s="5" t="str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الجرد'!$A$2:$A$28,MATCH(A804,'جدول الجرد'!$B$2:$B$28,0)),""))</f>
        <v/>
      </c>
      <c r="C804" s="5" t="str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الجرد'!$A$2:$A$28,MATCH(A805,'جدول الجرد'!$B$2:$B$28,0)),""))</f>
        <v/>
      </c>
      <c r="C805" s="5" t="str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الجرد'!$A$2:$A$28,MATCH(A806,'جدول الجرد'!$B$2:$B$28,0)),""))</f>
        <v/>
      </c>
      <c r="C806" s="5" t="str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الجرد'!$A$2:$A$28,MATCH(A807,'جدول الجرد'!$B$2:$B$28,0)),""))</f>
        <v/>
      </c>
      <c r="C807" s="5" t="str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الجرد'!$A$2:$A$28,MATCH(A808,'جدول الجرد'!$B$2:$B$28,0)),""))</f>
        <v/>
      </c>
      <c r="C808" s="5" t="str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الجرد'!$A$2:$A$28,MATCH(A809,'جدول الجرد'!$B$2:$B$28,0)),""))</f>
        <v/>
      </c>
      <c r="C809" s="5" t="str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الجرد'!$A$2:$A$28,MATCH(A810,'جدول الجرد'!$B$2:$B$28,0)),""))</f>
        <v/>
      </c>
      <c r="C810" s="5" t="str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الجرد'!$A$2:$A$28,MATCH(A811,'جدول الجرد'!$B$2:$B$28,0)),""))</f>
        <v/>
      </c>
      <c r="C811" s="5" t="str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الجرد'!$A$2:$A$28,MATCH(A812,'جدول الجرد'!$B$2:$B$28,0)),""))</f>
        <v/>
      </c>
      <c r="C812" s="5" t="str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الجرد'!$A$2:$A$28,MATCH(A813,'جدول الجرد'!$B$2:$B$28,0)),""))</f>
        <v/>
      </c>
      <c r="C813" s="5" t="str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الجرد'!$A$2:$A$28,MATCH(A814,'جدول الجرد'!$B$2:$B$28,0)),""))</f>
        <v/>
      </c>
      <c r="C814" s="5" t="str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الجرد'!$A$2:$A$28,MATCH(A815,'جدول الجرد'!$B$2:$B$28,0)),""))</f>
        <v/>
      </c>
      <c r="C815" s="5" t="str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الجرد'!$A$2:$A$28,MATCH(A816,'جدول الجرد'!$B$2:$B$28,0)),""))</f>
        <v/>
      </c>
      <c r="C816" s="5" t="str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الجرد'!$A$2:$A$28,MATCH(A817,'جدول الجرد'!$B$2:$B$28,0)),""))</f>
        <v/>
      </c>
      <c r="C817" s="5" t="str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الجرد'!$A$2:$A$28,MATCH(A818,'جدول الجرد'!$B$2:$B$28,0)),""))</f>
        <v/>
      </c>
      <c r="C818" s="5" t="str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الجرد'!$A$2:$A$28,MATCH(A819,'جدول الجرد'!$B$2:$B$28,0)),""))</f>
        <v/>
      </c>
      <c r="C819" s="5" t="str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الجرد'!$A$2:$A$28,MATCH(A820,'جدول الجرد'!$B$2:$B$28,0)),""))</f>
        <v/>
      </c>
      <c r="C820" s="5" t="str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الجرد'!$A$2:$A$28,MATCH(A821,'جدول الجرد'!$B$2:$B$28,0)),""))</f>
        <v/>
      </c>
      <c r="C821" s="5" t="str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الجرد'!$A$2:$A$28,MATCH(A822,'جدول الجرد'!$B$2:$B$28,0)),""))</f>
        <v/>
      </c>
      <c r="C822" s="5" t="str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الجرد'!$A$2:$A$28,MATCH(A823,'جدول الجرد'!$B$2:$B$28,0)),""))</f>
        <v/>
      </c>
      <c r="C823" s="5" t="str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الجرد'!$A$2:$A$28,MATCH(A824,'جدول الجرد'!$B$2:$B$28,0)),""))</f>
        <v/>
      </c>
      <c r="C824" s="5" t="str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الجرد'!$A$2:$A$28,MATCH(A825,'جدول الجرد'!$B$2:$B$28,0)),""))</f>
        <v/>
      </c>
      <c r="C825" s="5" t="str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الجرد'!$A$2:$A$28,MATCH(A826,'جدول الجرد'!$B$2:$B$28,0)),""))</f>
        <v/>
      </c>
      <c r="C826" s="5" t="str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الجرد'!$A$2:$A$28,MATCH(A827,'جدول الجرد'!$B$2:$B$28,0)),""))</f>
        <v/>
      </c>
      <c r="C827" s="5" t="str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الجرد'!$A$2:$A$28,MATCH(A828,'جدول الجرد'!$B$2:$B$28,0)),""))</f>
        <v/>
      </c>
      <c r="C828" s="5" t="str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الجرد'!$A$2:$A$28,MATCH(A829,'جدول الجرد'!$B$2:$B$28,0)),""))</f>
        <v/>
      </c>
      <c r="C829" s="5" t="str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الجرد'!$A$2:$A$28,MATCH(A830,'جدول الجرد'!$B$2:$B$28,0)),""))</f>
        <v/>
      </c>
      <c r="C830" s="5" t="str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الجرد'!$A$2:$A$28,MATCH(A831,'جدول الجرد'!$B$2:$B$28,0)),""))</f>
        <v/>
      </c>
      <c r="C831" s="5" t="str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الجرد'!$A$2:$A$28,MATCH(A832,'جدول الجرد'!$B$2:$B$28,0)),""))</f>
        <v/>
      </c>
      <c r="C832" s="5" t="str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الجرد'!$A$2:$A$28,MATCH(A833,'جدول الجرد'!$B$2:$B$28,0)),""))</f>
        <v/>
      </c>
      <c r="C833" s="5" t="str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الجرد'!$A$2:$A$28,MATCH(A834,'جدول الجرد'!$B$2:$B$28,0)),""))</f>
        <v/>
      </c>
      <c r="C834" s="5" t="str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الجرد'!$A$2:$A$28,MATCH(A835,'جدول الجرد'!$B$2:$B$28,0)),""))</f>
        <v/>
      </c>
      <c r="C835" s="5" t="str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الجرد'!$A$2:$A$28,MATCH(A836,'جدول الجرد'!$B$2:$B$28,0)),""))</f>
        <v/>
      </c>
      <c r="C836" s="5" t="str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الجرد'!$A$2:$A$28,MATCH(A837,'جدول الجرد'!$B$2:$B$28,0)),""))</f>
        <v/>
      </c>
      <c r="C837" s="5" t="str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الجرد'!$A$2:$A$28,MATCH(A838,'جدول الجرد'!$B$2:$B$28,0)),""))</f>
        <v/>
      </c>
      <c r="C838" s="5" t="str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الجرد'!$A$2:$A$28,MATCH(A839,'جدول الجرد'!$B$2:$B$28,0)),""))</f>
        <v/>
      </c>
      <c r="C839" s="5" t="str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الجرد'!$A$2:$A$28,MATCH(A840,'جدول الجرد'!$B$2:$B$28,0)),""))</f>
        <v/>
      </c>
      <c r="C840" s="5" t="str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الجرد'!$A$2:$A$28,MATCH(A841,'جدول الجرد'!$B$2:$B$28,0)),""))</f>
        <v/>
      </c>
      <c r="C841" s="5" t="str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الجرد'!$A$2:$A$28,MATCH(A842,'جدول الجرد'!$B$2:$B$28,0)),""))</f>
        <v/>
      </c>
      <c r="C842" s="5" t="str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الجرد'!$A$2:$A$28,MATCH(A843,'جدول الجرد'!$B$2:$B$28,0)),""))</f>
        <v/>
      </c>
      <c r="C843" s="5" t="str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الجرد'!$A$2:$A$28,MATCH(A844,'جدول الجرد'!$B$2:$B$28,0)),""))</f>
        <v/>
      </c>
      <c r="C844" s="5" t="str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الجرد'!$A$2:$A$28,MATCH(A845,'جدول الجرد'!$B$2:$B$28,0)),""))</f>
        <v/>
      </c>
      <c r="C845" s="5" t="str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الجرد'!$A$2:$A$28,MATCH(A846,'جدول الجرد'!$B$2:$B$28,0)),""))</f>
        <v/>
      </c>
      <c r="C846" s="5" t="str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الجرد'!$A$2:$A$28,MATCH(A847,'جدول الجرد'!$B$2:$B$28,0)),""))</f>
        <v/>
      </c>
      <c r="C847" s="5" t="str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الجرد'!$A$2:$A$28,MATCH(A848,'جدول الجرد'!$B$2:$B$28,0)),""))</f>
        <v/>
      </c>
      <c r="C848" s="5" t="str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الجرد'!$A$2:$A$28,MATCH(A849,'جدول الجرد'!$B$2:$B$28,0)),""))</f>
        <v/>
      </c>
      <c r="C849" s="5" t="str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الجرد'!$A$2:$A$28,MATCH(A850,'جدول الجرد'!$B$2:$B$28,0)),""))</f>
        <v/>
      </c>
      <c r="C850" s="5" t="str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الجرد'!$A$2:$A$28,MATCH(A851,'جدول الجرد'!$B$2:$B$28,0)),""))</f>
        <v/>
      </c>
      <c r="C851" s="5" t="str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الجرد'!$A$2:$A$28,MATCH(A852,'جدول الجرد'!$B$2:$B$28,0)),""))</f>
        <v/>
      </c>
      <c r="C852" s="5" t="str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الجرد'!$A$2:$A$28,MATCH(A853,'جدول الجرد'!$B$2:$B$28,0)),""))</f>
        <v/>
      </c>
      <c r="C853" s="5" t="str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الجرد'!$A$2:$A$28,MATCH(A854,'جدول الجرد'!$B$2:$B$28,0)),""))</f>
        <v/>
      </c>
      <c r="C854" s="5" t="str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الجرد'!$A$2:$A$28,MATCH(A855,'جدول الجرد'!$B$2:$B$28,0)),""))</f>
        <v/>
      </c>
      <c r="C855" s="5" t="str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الجرد'!$A$2:$A$28,MATCH(A856,'جدول الجرد'!$B$2:$B$28,0)),""))</f>
        <v/>
      </c>
      <c r="C856" s="5" t="str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الجرد'!$A$2:$A$28,MATCH(A857,'جدول الجرد'!$B$2:$B$28,0)),""))</f>
        <v/>
      </c>
      <c r="C857" s="5" t="str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الجرد'!$A$2:$A$28,MATCH(A858,'جدول الجرد'!$B$2:$B$28,0)),""))</f>
        <v/>
      </c>
      <c r="C858" s="5" t="str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الجرد'!$A$2:$A$28,MATCH(A859,'جدول الجرد'!$B$2:$B$28,0)),""))</f>
        <v/>
      </c>
      <c r="C859" s="5" t="str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الجرد'!$A$2:$A$28,MATCH(A860,'جدول الجرد'!$B$2:$B$28,0)),""))</f>
        <v/>
      </c>
      <c r="C860" s="5" t="str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الجرد'!$A$2:$A$28,MATCH(A861,'جدول الجرد'!$B$2:$B$28,0)),""))</f>
        <v/>
      </c>
      <c r="C861" s="5" t="str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الجرد'!$A$2:$A$28,MATCH(A862,'جدول الجرد'!$B$2:$B$28,0)),""))</f>
        <v/>
      </c>
      <c r="C862" s="5" t="str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الجرد'!$A$2:$A$28,MATCH(A863,'جدول الجرد'!$B$2:$B$28,0)),""))</f>
        <v/>
      </c>
      <c r="C863" s="5" t="str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الجرد'!$A$2:$A$28,MATCH(A864,'جدول الجرد'!$B$2:$B$28,0)),""))</f>
        <v/>
      </c>
      <c r="C864" s="5" t="str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الجرد'!$A$2:$A$28,MATCH(A865,'جدول الجرد'!$B$2:$B$28,0)),""))</f>
        <v/>
      </c>
      <c r="C865" s="5" t="str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الجرد'!$A$2:$A$28,MATCH(A866,'جدول الجرد'!$B$2:$B$28,0)),""))</f>
        <v/>
      </c>
      <c r="C866" s="5" t="str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الجرد'!$A$2:$A$28,MATCH(A867,'جدول الجرد'!$B$2:$B$28,0)),""))</f>
        <v/>
      </c>
      <c r="C867" s="5" t="str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الجرد'!$A$2:$A$28,MATCH(A868,'جدول الجرد'!$B$2:$B$28,0)),""))</f>
        <v/>
      </c>
      <c r="C868" s="5" t="str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الجرد'!$A$2:$A$28,MATCH(A869,'جدول الجرد'!$B$2:$B$28,0)),""))</f>
        <v/>
      </c>
      <c r="C869" s="5" t="str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الجرد'!$A$2:$A$28,MATCH(A870,'جدول الجرد'!$B$2:$B$28,0)),""))</f>
        <v/>
      </c>
      <c r="C870" s="5" t="str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الجرد'!$A$2:$A$28,MATCH(A871,'جدول الجرد'!$B$2:$B$28,0)),""))</f>
        <v/>
      </c>
      <c r="C871" s="5" t="str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الجرد'!$A$2:$A$28,MATCH(A872,'جدول الجرد'!$B$2:$B$28,0)),""))</f>
        <v/>
      </c>
      <c r="C872" s="5" t="str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الجرد'!$A$2:$A$28,MATCH(A873,'جدول الجرد'!$B$2:$B$28,0)),""))</f>
        <v/>
      </c>
      <c r="C873" s="5" t="str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الجرد'!$A$2:$A$28,MATCH(A874,'جدول الجرد'!$B$2:$B$28,0)),""))</f>
        <v/>
      </c>
      <c r="C874" s="5" t="str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الجرد'!$A$2:$A$28,MATCH(A875,'جدول الجرد'!$B$2:$B$28,0)),""))</f>
        <v/>
      </c>
      <c r="C875" s="5" t="str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الجرد'!$A$2:$A$28,MATCH(A876,'جدول الجرد'!$B$2:$B$28,0)),""))</f>
        <v/>
      </c>
      <c r="C876" s="5" t="str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الجرد'!$A$2:$A$28,MATCH(A877,'جدول الجرد'!$B$2:$B$28,0)),""))</f>
        <v/>
      </c>
      <c r="C877" s="5" t="str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الجرد'!$A$2:$A$28,MATCH(A878,'جدول الجرد'!$B$2:$B$28,0)),""))</f>
        <v/>
      </c>
      <c r="C878" s="5" t="str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الجرد'!$A$2:$A$28,MATCH(A879,'جدول الجرد'!$B$2:$B$28,0)),""))</f>
        <v/>
      </c>
      <c r="C879" s="5" t="str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الجرد'!$A$2:$A$28,MATCH(A880,'جدول الجرد'!$B$2:$B$28,0)),""))</f>
        <v/>
      </c>
      <c r="C880" s="5" t="str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الجرد'!$A$2:$A$28,MATCH(A881,'جدول الجرد'!$B$2:$B$28,0)),""))</f>
        <v/>
      </c>
      <c r="C881" s="5" t="str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الجرد'!$A$2:$A$28,MATCH(A882,'جدول الجرد'!$B$2:$B$28,0)),""))</f>
        <v/>
      </c>
      <c r="C882" s="5" t="str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الجرد'!$A$2:$A$28,MATCH(A883,'جدول الجرد'!$B$2:$B$28,0)),""))</f>
        <v/>
      </c>
      <c r="C883" s="5" t="str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الجرد'!$A$2:$A$28,MATCH(A884,'جدول الجرد'!$B$2:$B$28,0)),""))</f>
        <v/>
      </c>
      <c r="C884" s="5" t="str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الجرد'!$A$2:$A$28,MATCH(A885,'جدول الجرد'!$B$2:$B$28,0)),""))</f>
        <v/>
      </c>
      <c r="C885" s="5" t="str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الجرد'!$A$2:$A$28,MATCH(A886,'جدول الجرد'!$B$2:$B$28,0)),""))</f>
        <v/>
      </c>
      <c r="C886" s="5" t="str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الجرد'!$A$2:$A$28,MATCH(A887,'جدول الجرد'!$B$2:$B$28,0)),""))</f>
        <v/>
      </c>
      <c r="C887" s="5" t="str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الجرد'!$A$2:$A$28,MATCH(A888,'جدول الجرد'!$B$2:$B$28,0)),""))</f>
        <v/>
      </c>
      <c r="C888" s="5" t="str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الجرد'!$A$2:$A$28,MATCH(A889,'جدول الجرد'!$B$2:$B$28,0)),""))</f>
        <v/>
      </c>
      <c r="C889" s="5" t="str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الجرد'!$A$2:$A$28,MATCH(A890,'جدول الجرد'!$B$2:$B$28,0)),""))</f>
        <v/>
      </c>
      <c r="C890" s="5" t="str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الجرد'!$A$2:$A$28,MATCH(A891,'جدول الجرد'!$B$2:$B$28,0)),""))</f>
        <v/>
      </c>
      <c r="C891" s="5" t="str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الجرد'!$A$2:$A$28,MATCH(A892,'جدول الجرد'!$B$2:$B$28,0)),""))</f>
        <v/>
      </c>
      <c r="C892" s="5" t="str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الجرد'!$A$2:$A$28,MATCH(A893,'جدول الجرد'!$B$2:$B$28,0)),""))</f>
        <v/>
      </c>
      <c r="C893" s="5" t="str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الجرد'!$A$2:$A$28,MATCH(A894,'جدول الجرد'!$B$2:$B$28,0)),""))</f>
        <v/>
      </c>
      <c r="C894" s="5" t="str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الجرد'!$A$2:$A$28,MATCH(A895,'جدول الجرد'!$B$2:$B$28,0)),""))</f>
        <v/>
      </c>
      <c r="C895" s="5" t="str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الجرد'!$A$2:$A$28,MATCH(A896,'جدول الجرد'!$B$2:$B$28,0)),""))</f>
        <v/>
      </c>
      <c r="C896" s="5" t="str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الجرد'!$A$2:$A$28,MATCH(A897,'جدول الجرد'!$B$2:$B$28,0)),""))</f>
        <v/>
      </c>
      <c r="C897" s="5" t="str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الجرد'!$A$2:$A$28,MATCH(A898,'جدول الجرد'!$B$2:$B$28,0)),""))</f>
        <v/>
      </c>
      <c r="C898" s="5" t="str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الجرد'!$A$2:$A$28,MATCH(A899,'جدول الجرد'!$B$2:$B$28,0)),""))</f>
        <v/>
      </c>
      <c r="C899" s="5" t="str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الجرد'!$A$2:$A$28,MATCH(A900,'جدول الجرد'!$B$2:$B$28,0)),""))</f>
        <v/>
      </c>
      <c r="C900" s="5" t="str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الجرد'!$A$2:$A$28,MATCH(A901,'جدول الجرد'!$B$2:$B$28,0)),""))</f>
        <v/>
      </c>
      <c r="C901" s="5" t="str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الجرد'!$A$2:$A$28,MATCH(A902,'جدول الجرد'!$B$2:$B$28,0)),""))</f>
        <v/>
      </c>
      <c r="C902" s="5" t="str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الجرد'!$A$2:$A$28,MATCH(A903,'جدول الجرد'!$B$2:$B$28,0)),""))</f>
        <v/>
      </c>
      <c r="C903" s="5" t="str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الجرد'!$A$2:$A$28,MATCH(A904,'جدول الجرد'!$B$2:$B$28,0)),""))</f>
        <v/>
      </c>
      <c r="C904" s="5" t="str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الجرد'!$A$2:$A$28,MATCH(A905,'جدول الجرد'!$B$2:$B$28,0)),""))</f>
        <v/>
      </c>
      <c r="C905" s="5" t="str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الجرد'!$A$2:$A$28,MATCH(A906,'جدول الجرد'!$B$2:$B$28,0)),""))</f>
        <v/>
      </c>
      <c r="C906" s="5" t="str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الجرد'!$A$2:$A$28,MATCH(A907,'جدول الجرد'!$B$2:$B$28,0)),""))</f>
        <v/>
      </c>
      <c r="C907" s="5" t="str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الجرد'!$A$2:$A$28,MATCH(A908,'جدول الجرد'!$B$2:$B$28,0)),""))</f>
        <v/>
      </c>
      <c r="C908" s="5" t="str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الجرد'!$A$2:$A$28,MATCH(A909,'جدول الجرد'!$B$2:$B$28,0)),""))</f>
        <v/>
      </c>
      <c r="C909" s="5" t="str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الجرد'!$A$2:$A$28,MATCH(A910,'جدول الجرد'!$B$2:$B$28,0)),""))</f>
        <v/>
      </c>
      <c r="C910" s="5" t="str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الجرد'!$A$2:$A$28,MATCH(A911,'جدول الجرد'!$B$2:$B$28,0)),""))</f>
        <v/>
      </c>
      <c r="C911" s="5" t="str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الجرد'!$A$2:$A$28,MATCH(A912,'جدول الجرد'!$B$2:$B$28,0)),""))</f>
        <v/>
      </c>
      <c r="C912" s="5" t="str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الجرد'!$A$2:$A$28,MATCH(A913,'جدول الجرد'!$B$2:$B$28,0)),""))</f>
        <v/>
      </c>
      <c r="C913" s="5" t="str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الجرد'!$A$2:$A$28,MATCH(A914,'جدول الجرد'!$B$2:$B$28,0)),""))</f>
        <v/>
      </c>
      <c r="C914" s="5" t="str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الجرد'!$A$2:$A$28,MATCH(A915,'جدول الجرد'!$B$2:$B$28,0)),""))</f>
        <v/>
      </c>
      <c r="C915" s="5" t="str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الجرد'!$A$2:$A$28,MATCH(A916,'جدول الجرد'!$B$2:$B$28,0)),""))</f>
        <v/>
      </c>
      <c r="C916" s="5" t="str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الجرد'!$A$2:$A$28,MATCH(A917,'جدول الجرد'!$B$2:$B$28,0)),""))</f>
        <v/>
      </c>
      <c r="C917" s="5" t="str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الجرد'!$A$2:$A$28,MATCH(A918,'جدول الجرد'!$B$2:$B$28,0)),""))</f>
        <v/>
      </c>
      <c r="C918" s="5" t="str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الجرد'!$A$2:$A$28,MATCH(A919,'جدول الجرد'!$B$2:$B$28,0)),""))</f>
        <v/>
      </c>
      <c r="C919" s="5" t="str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الجرد'!$A$2:$A$28,MATCH(A920,'جدول الجرد'!$B$2:$B$28,0)),""))</f>
        <v/>
      </c>
      <c r="C920" s="5" t="str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الجرد'!$A$2:$A$28,MATCH(A921,'جدول الجرد'!$B$2:$B$28,0)),""))</f>
        <v/>
      </c>
      <c r="C921" s="5" t="str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الجرد'!$A$2:$A$28,MATCH(A922,'جدول الجرد'!$B$2:$B$28,0)),""))</f>
        <v/>
      </c>
      <c r="C922" s="5" t="str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الجرد'!$A$2:$A$28,MATCH(A923,'جدول الجرد'!$B$2:$B$28,0)),""))</f>
        <v/>
      </c>
      <c r="C923" s="5" t="str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الجرد'!$A$2:$A$28,MATCH(A924,'جدول الجرد'!$B$2:$B$28,0)),""))</f>
        <v/>
      </c>
      <c r="C924" s="5" t="str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الجرد'!$A$2:$A$28,MATCH(A925,'جدول الجرد'!$B$2:$B$28,0)),""))</f>
        <v/>
      </c>
      <c r="C925" s="5" t="str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الجرد'!$A$2:$A$28,MATCH(A926,'جدول الجرد'!$B$2:$B$28,0)),""))</f>
        <v/>
      </c>
      <c r="C926" s="5" t="str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الجرد'!$A$2:$A$28,MATCH(A927,'جدول الجرد'!$B$2:$B$28,0)),""))</f>
        <v/>
      </c>
      <c r="C927" s="5" t="str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الجرد'!$A$2:$A$28,MATCH(A928,'جدول الجرد'!$B$2:$B$28,0)),""))</f>
        <v/>
      </c>
      <c r="C928" s="5" t="str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الجرد'!$A$2:$A$28,MATCH(A929,'جدول الجرد'!$B$2:$B$28,0)),""))</f>
        <v/>
      </c>
      <c r="C929" s="5" t="str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الجرد'!$A$2:$A$28,MATCH(A930,'جدول الجرد'!$B$2:$B$28,0)),""))</f>
        <v/>
      </c>
      <c r="C930" s="5" t="str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الجرد'!$A$2:$A$28,MATCH(A931,'جدول الجرد'!$B$2:$B$28,0)),""))</f>
        <v/>
      </c>
      <c r="C931" s="5" t="str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الجرد'!$A$2:$A$28,MATCH(A932,'جدول الجرد'!$B$2:$B$28,0)),""))</f>
        <v/>
      </c>
      <c r="C932" s="5" t="str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الجرد'!$A$2:$A$28,MATCH(A933,'جدول الجرد'!$B$2:$B$28,0)),""))</f>
        <v/>
      </c>
      <c r="C933" s="5" t="str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الجرد'!$A$2:$A$28,MATCH(A934,'جدول الجرد'!$B$2:$B$28,0)),""))</f>
        <v/>
      </c>
      <c r="C934" s="5" t="str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الجرد'!$A$2:$A$28,MATCH(A935,'جدول الجرد'!$B$2:$B$28,0)),""))</f>
        <v/>
      </c>
      <c r="C935" s="5" t="str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الجرد'!$A$2:$A$28,MATCH(A936,'جدول الجرد'!$B$2:$B$28,0)),""))</f>
        <v/>
      </c>
      <c r="C936" s="5" t="str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الجرد'!$A$2:$A$28,MATCH(A937,'جدول الجرد'!$B$2:$B$28,0)),""))</f>
        <v/>
      </c>
      <c r="C937" s="5" t="str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الجرد'!$A$2:$A$28,MATCH(A938,'جدول الجرد'!$B$2:$B$28,0)),""))</f>
        <v/>
      </c>
      <c r="C938" s="5" t="str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الجرد'!$A$2:$A$28,MATCH(A939,'جدول الجرد'!$B$2:$B$28,0)),""))</f>
        <v/>
      </c>
      <c r="C939" s="5" t="str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الجرد'!$A$2:$A$28,MATCH(A940,'جدول الجرد'!$B$2:$B$28,0)),""))</f>
        <v/>
      </c>
      <c r="C940" s="5" t="str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الجرد'!$A$2:$A$28,MATCH(A941,'جدول الجرد'!$B$2:$B$28,0)),""))</f>
        <v/>
      </c>
      <c r="C941" s="5" t="str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الجرد'!$A$2:$A$28,MATCH(A942,'جدول الجرد'!$B$2:$B$28,0)),""))</f>
        <v/>
      </c>
      <c r="C942" s="5" t="str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الجرد'!$A$2:$A$28,MATCH(A943,'جدول الجرد'!$B$2:$B$28,0)),""))</f>
        <v/>
      </c>
      <c r="C943" s="5" t="str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الجرد'!$A$2:$A$28,MATCH(A944,'جدول الجرد'!$B$2:$B$28,0)),""))</f>
        <v/>
      </c>
      <c r="C944" s="5" t="str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الجرد'!$A$2:$A$28,MATCH(A945,'جدول الجرد'!$B$2:$B$28,0)),""))</f>
        <v/>
      </c>
      <c r="C945" s="5" t="str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الجرد'!$A$2:$A$28,MATCH(A946,'جدول الجرد'!$B$2:$B$28,0)),""))</f>
        <v/>
      </c>
      <c r="C946" s="5" t="str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الجرد'!$A$2:$A$28,MATCH(A947,'جدول الجرد'!$B$2:$B$28,0)),""))</f>
        <v/>
      </c>
      <c r="C947" s="5" t="str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الجرد'!$A$2:$A$28,MATCH(A948,'جدول الجرد'!$B$2:$B$28,0)),""))</f>
        <v/>
      </c>
      <c r="C948" s="5" t="str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الجرد'!$A$2:$A$28,MATCH(A949,'جدول الجرد'!$B$2:$B$28,0)),""))</f>
        <v/>
      </c>
      <c r="C949" s="5" t="str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الجرد'!$A$2:$A$28,MATCH(A950,'جدول الجرد'!$B$2:$B$28,0)),""))</f>
        <v/>
      </c>
      <c r="C950" s="5" t="str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الجرد'!$A$2:$A$28,MATCH(A951,'جدول الجرد'!$B$2:$B$28,0)),""))</f>
        <v/>
      </c>
      <c r="C951" s="5" t="str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الجرد'!$A$2:$A$28,MATCH(A952,'جدول الجرد'!$B$2:$B$28,0)),""))</f>
        <v/>
      </c>
      <c r="C952" s="5" t="str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الجرد'!$A$2:$A$28,MATCH(A953,'جدول الجرد'!$B$2:$B$28,0)),""))</f>
        <v/>
      </c>
      <c r="C953" s="5" t="str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الجرد'!$A$2:$A$28,MATCH(A954,'جدول الجرد'!$B$2:$B$28,0)),""))</f>
        <v/>
      </c>
      <c r="C954" s="5" t="str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الجرد'!$A$2:$A$28,MATCH(A955,'جدول الجرد'!$B$2:$B$28,0)),""))</f>
        <v/>
      </c>
      <c r="C955" s="5" t="str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الجرد'!$A$2:$A$28,MATCH(A956,'جدول الجرد'!$B$2:$B$28,0)),""))</f>
        <v/>
      </c>
      <c r="C956" s="5" t="str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الجرد'!$A$2:$A$28,MATCH(A957,'جدول الجرد'!$B$2:$B$28,0)),""))</f>
        <v/>
      </c>
      <c r="C957" s="5" t="str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الجرد'!$A$2:$A$28,MATCH(A958,'جدول الجرد'!$B$2:$B$28,0)),""))</f>
        <v/>
      </c>
      <c r="C958" s="5" t="str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الجرد'!$A$2:$A$28,MATCH(A959,'جدول الجرد'!$B$2:$B$28,0)),""))</f>
        <v/>
      </c>
      <c r="C959" s="5" t="str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الجرد'!$A$2:$A$28,MATCH(A960,'جدول الجرد'!$B$2:$B$28,0)),""))</f>
        <v/>
      </c>
      <c r="C960" s="5" t="str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الجرد'!$A$2:$A$28,MATCH(A961,'جدول الجرد'!$B$2:$B$28,0)),""))</f>
        <v/>
      </c>
      <c r="C961" s="5" t="str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الجرد'!$A$2:$A$28,MATCH(A962,'جدول الجرد'!$B$2:$B$28,0)),""))</f>
        <v/>
      </c>
      <c r="C962" s="5" t="str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الجرد'!$A$2:$A$28,MATCH(A963,'جدول الجرد'!$B$2:$B$28,0)),""))</f>
        <v/>
      </c>
      <c r="C963" s="5" t="str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الجرد'!$A$2:$A$28,MATCH(A964,'جدول الجرد'!$B$2:$B$28,0)),""))</f>
        <v/>
      </c>
      <c r="C964" s="5" t="str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الجرد'!$A$2:$A$28,MATCH(A965,'جدول الجرد'!$B$2:$B$28,0)),""))</f>
        <v/>
      </c>
      <c r="C965" s="5" t="str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الجرد'!$A$2:$A$28,MATCH(A966,'جدول الجرد'!$B$2:$B$28,0)),""))</f>
        <v/>
      </c>
      <c r="C966" s="5" t="str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الجرد'!$A$2:$A$28,MATCH(A967,'جدول الجرد'!$B$2:$B$28,0)),""))</f>
        <v/>
      </c>
      <c r="C967" s="5" t="str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الجرد'!$A$2:$A$28,MATCH(A968,'جدول الجرد'!$B$2:$B$28,0)),""))</f>
        <v/>
      </c>
      <c r="C968" s="5" t="str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الجرد'!$A$2:$A$28,MATCH(A969,'جدول الجرد'!$B$2:$B$28,0)),""))</f>
        <v/>
      </c>
      <c r="C969" s="5" t="str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الجرد'!$A$2:$A$28,MATCH(A970,'جدول الجرد'!$B$2:$B$28,0)),""))</f>
        <v/>
      </c>
      <c r="C970" s="5" t="str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الجرد'!$A$2:$A$28,MATCH(A971,'جدول الجرد'!$B$2:$B$28,0)),""))</f>
        <v/>
      </c>
      <c r="C971" s="5" t="str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الجرد'!$A$2:$A$28,MATCH(A972,'جدول الجرد'!$B$2:$B$28,0)),""))</f>
        <v/>
      </c>
      <c r="C972" s="5" t="str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الجرد'!$A$2:$A$28,MATCH(A973,'جدول الجرد'!$B$2:$B$28,0)),""))</f>
        <v/>
      </c>
      <c r="C973" s="5" t="str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الجرد'!$A$2:$A$28,MATCH(A974,'جدول الجرد'!$B$2:$B$28,0)),""))</f>
        <v/>
      </c>
      <c r="C974" s="5" t="str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الجرد'!$A$2:$A$28,MATCH(A975,'جدول الجرد'!$B$2:$B$28,0)),""))</f>
        <v/>
      </c>
      <c r="C975" s="5" t="str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الجرد'!$A$2:$A$28,MATCH(A976,'جدول الجرد'!$B$2:$B$28,0)),""))</f>
        <v/>
      </c>
      <c r="C976" s="5" t="str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الجرد'!$A$2:$A$28,MATCH(A977,'جدول الجرد'!$B$2:$B$28,0)),""))</f>
        <v/>
      </c>
      <c r="C977" s="5" t="str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الجرد'!$A$2:$A$28,MATCH(A978,'جدول الجرد'!$B$2:$B$28,0)),""))</f>
        <v/>
      </c>
      <c r="C978" s="5" t="str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الجرد'!$A$2:$A$28,MATCH(A979,'جدول الجرد'!$B$2:$B$28,0)),""))</f>
        <v/>
      </c>
      <c r="C979" s="5" t="str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الجرد'!$A$2:$A$28,MATCH(A980,'جدول الجرد'!$B$2:$B$28,0)),""))</f>
        <v/>
      </c>
      <c r="C980" s="5" t="str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الجرد'!$A$2:$A$28,MATCH(A981,'جدول الجرد'!$B$2:$B$28,0)),""))</f>
        <v/>
      </c>
      <c r="C981" s="5" t="str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الجرد'!$A$2:$A$28,MATCH(A982,'جدول الجرد'!$B$2:$B$28,0)),""))</f>
        <v/>
      </c>
      <c r="C982" s="5" t="str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الجرد'!$A$2:$A$28,MATCH(A983,'جدول الجرد'!$B$2:$B$28,0)),""))</f>
        <v/>
      </c>
      <c r="C983" s="5" t="str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الجرد'!$A$2:$A$28,MATCH(A984,'جدول الجرد'!$B$2:$B$28,0)),""))</f>
        <v/>
      </c>
      <c r="C984" s="5" t="str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الجرد'!$A$2:$A$28,MATCH(A985,'جدول الجرد'!$B$2:$B$28,0)),""))</f>
        <v/>
      </c>
      <c r="C985" s="5" t="str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الجرد'!$A$2:$A$28,MATCH(A986,'جدول الجرد'!$B$2:$B$28,0)),""))</f>
        <v/>
      </c>
      <c r="C986" s="5" t="str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الجرد'!$A$2:$A$28,MATCH(A987,'جدول الجرد'!$B$2:$B$28,0)),""))</f>
        <v/>
      </c>
      <c r="C987" s="5" t="str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الجرد'!$A$2:$A$28,MATCH(A988,'جدول الجرد'!$B$2:$B$28,0)),""))</f>
        <v/>
      </c>
      <c r="C988" s="5" t="str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الجرد'!$A$2:$A$28,MATCH(A989,'جدول الجرد'!$B$2:$B$28,0)),""))</f>
        <v/>
      </c>
      <c r="C989" s="5" t="str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الجرد'!$A$2:$A$28,MATCH(A990,'جدول الجرد'!$B$2:$B$28,0)),""))</f>
        <v/>
      </c>
      <c r="C990" s="5" t="str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الجرد'!$A$2:$A$28,MATCH(A991,'جدول الجرد'!$B$2:$B$28,0)),""))</f>
        <v/>
      </c>
      <c r="C991" s="5" t="str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الجرد'!$A$2:$A$28,MATCH(A992,'جدول الجرد'!$B$2:$B$28,0)),""))</f>
        <v/>
      </c>
      <c r="C992" s="5" t="str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الجرد'!$A$2:$A$28,MATCH(A993,'جدول الجرد'!$B$2:$B$28,0)),""))</f>
        <v/>
      </c>
      <c r="C993" s="5" t="str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الجرد'!$A$2:$A$28,MATCH(A994,'جدول الجرد'!$B$2:$B$28,0)),""))</f>
        <v/>
      </c>
      <c r="C994" s="5" t="str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الجرد'!$A$2:$A$28,MATCH(A995,'جدول الجرد'!$B$2:$B$28,0)),""))</f>
        <v/>
      </c>
      <c r="C995" s="5" t="str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الجرد'!$A$2:$A$28,MATCH(A996,'جدول الجرد'!$B$2:$B$28,0)),""))</f>
        <v/>
      </c>
      <c r="C996" s="5" t="str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الجرد'!$A$2:$A$28,MATCH(A997,'جدول الجرد'!$B$2:$B$28,0)),""))</f>
        <v/>
      </c>
      <c r="C997" s="5" t="str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الجرد'!$A$2:$A$28,MATCH(A998,'جدول الجرد'!$B$2:$B$28,0)),""))</f>
        <v/>
      </c>
      <c r="C998" s="5" t="str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الجرد'!$A$2:$A$28,MATCH(A999,'جدول الجرد'!$B$2:$B$28,0)),""))</f>
        <v/>
      </c>
      <c r="C999" s="5" t="str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الجرد'!$A$2:$A$28,MATCH(A1000,'جدول الجرد'!$B$2:$B$28,0)),""))</f>
        <v/>
      </c>
      <c r="C1000" s="5" t="str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2026-10-02T11:30:42Z</dcterms:created>
  <dcterms:modified xsi:type="dcterms:W3CDTF">2026-10-02T11:30:42Z</dcterms:modified>
</cp:coreProperties>
</file>