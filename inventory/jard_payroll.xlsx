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17</v>
      </c>
      <c r="C4" s="5">
        <f>IF(A4="","",COUNTIFS(السجل!$E$2:$E$1000,A4,السجل!$H$2:$H$1000,"مراجعة فقط"))</f>
        <v>12</v>
      </c>
      <c r="D4" s="5">
        <f>IF(A4="","",COUNTIFS(السجل!$E$2:$E$1000,A4,السجل!$H$2:$H$1000,"جرد فقط"))</f>
        <v>0</v>
      </c>
      <c r="E4" s="5">
        <f>IF(A4="","",SUM(B4:D4))</f>
        <v>29</v>
      </c>
      <c r="F4" s="6">
        <f>IF(A4="","",SUMIFS(السجل!$I$2:$I$1000,السجل!$E$2:$E$1000,A4))</f>
        <v>5200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6</v>
      </c>
      <c r="C5" s="5">
        <f>IF(A5="","",COUNTIFS(السجل!$E$2:$E$1000,A5,السجل!$H$2:$H$1000,"مراجعة فقط"))</f>
        <v>23</v>
      </c>
      <c r="D5" s="5">
        <f>IF(A5="","",COUNTIFS(السجل!$E$2:$E$1000,A5,السجل!$H$2:$H$1000,"جرد فقط"))</f>
        <v>0</v>
      </c>
      <c r="E5" s="5">
        <f>IF(A5="","",SUM(B5:D5))</f>
        <v>29</v>
      </c>
      <c r="F5" s="6">
        <f>IF(A5="","",SUMIFS(السجل!$I$2:$I$1000,السجل!$E$2:$E$1000,A5))</f>
        <v>4650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21</v>
      </c>
      <c r="D7" s="5">
        <f>IF(A7="","",COUNTIFS(السجل!$E$2:$E$1000,A7,السجل!$H$2:$H$1000,"جرد فقط"))</f>
        <v>0</v>
      </c>
      <c r="E7" s="5">
        <f>IF(A7="","",SUM(B7:D7))</f>
        <v>21</v>
      </c>
      <c r="F7" s="6">
        <f>IF(A7="","",SUMIFS(السجل!$I$2:$I$1000,السجل!$E$2:$E$1000,A7))</f>
        <v>3150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14</v>
      </c>
      <c r="D9" s="5">
        <f>IF(A9="","",COUNTIFS(السجل!$E$2:$E$1000,A9,السجل!$H$2:$H$1000,"جرد فقط"))</f>
        <v>0</v>
      </c>
      <c r="E9" s="5">
        <f>IF(A9="","",SUM(B9:D9))</f>
        <v>14</v>
      </c>
      <c r="F9" s="6">
        <f>IF(A9="","",SUMIFS(السجل!$I$2:$I$1000,السجل!$E$2:$E$1000,A9))</f>
        <v>2100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29</v>
      </c>
      <c r="C19" s="7">
        <f>SUM(C4:C18)</f>
        <v>88</v>
      </c>
      <c r="D19" s="7">
        <f>SUM(D4:D18)</f>
        <v>0</v>
      </c>
      <c r="E19" s="7">
        <f>SUM(E4:E18)</f>
        <v>117</v>
      </c>
      <c r="F19" s="8">
        <f>SUM(F4:F18)</f>
        <v>19000</v>
      </c>
    </row>
    <row r="21">
      <c r="A21" s="5" t="inlineStr">
        <is>
          <t>للتحقق: إجمالي السجل</t>
        </is>
      </c>
      <c r="F21" s="9">
        <f>SUM(السجل!$I$2:$I$1000)</f>
        <v>19000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5" customWidth="1" min="18" max="18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6">
        <f>SUM(B2:Q2)</f>
        <v>5200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6">
        <f>SUM(B3:Q3)</f>
        <v>4650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6">
        <f>SUM(B4:Q4)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6">
        <f>SUM(B5:Q5)</f>
        <v>3150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6">
        <f>SUM(B6:Q6)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6">
        <f>SUM(B7:Q7)</f>
        <v>2100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1300</v>
      </c>
      <c r="P8" s="8">
        <f>SUM(P2:P7)</f>
        <v>1300</v>
      </c>
      <c r="Q8" s="8">
        <f>SUM(Q2:Q7)</f>
        <v>1300</v>
      </c>
      <c r="R8" s="8">
        <f>SUM(R2:R7)</f>
        <v>19000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2026-10-10T08:09:18Z</dcterms:created>
  <dcterms:modified xsi:type="dcterms:W3CDTF">2026-10-10T08:09:18Z</dcterms:modified>
</cp:coreProperties>
</file>