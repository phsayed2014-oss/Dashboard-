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23</v>
      </c>
      <c r="C4" s="5">
        <f>IF(A4="","",COUNTIFS(السجل!$E$2:$E$1000,A4,السجل!$H$2:$H$1000,"مراجعة فقط"))</f>
        <v>21</v>
      </c>
      <c r="D4" s="5">
        <f>IF(A4="","",COUNTIFS(السجل!$E$2:$E$1000,A4,السجل!$H$2:$H$1000,"جرد فقط"))</f>
        <v>0</v>
      </c>
      <c r="E4" s="5">
        <f>IF(A4="","",SUM(B4:D4))</f>
        <v>44</v>
      </c>
      <c r="F4" s="6">
        <f>IF(A4="","",SUMIFS(السجل!$I$2:$I$1000,السجل!$E$2:$E$1000,A4))</f>
        <v>7750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35</v>
      </c>
      <c r="D5" s="5">
        <f>IF(A5="","",COUNTIFS(السجل!$E$2:$E$1000,A5,السجل!$H$2:$H$1000,"جرد فقط"))</f>
        <v>0</v>
      </c>
      <c r="E5" s="5">
        <f>IF(A5="","",SUM(B5:D5))</f>
        <v>43</v>
      </c>
      <c r="F5" s="6">
        <f>IF(A5="","",SUMIFS(السجل!$I$2:$I$1000,السجل!$E$2:$E$1000,A5))</f>
        <v>6850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13</v>
      </c>
      <c r="C8" s="5">
        <f>IF(A8="","",COUNTIFS(السجل!$E$2:$E$1000,A8,السجل!$H$2:$H$1000,"مراجعة فقط"))</f>
        <v>11</v>
      </c>
      <c r="D8" s="5">
        <f>IF(A8="","",COUNTIFS(السجل!$E$2:$E$1000,A8,السجل!$H$2:$H$1000,"جرد فقط"))</f>
        <v>0</v>
      </c>
      <c r="E8" s="5">
        <f>IF(A8="","",SUM(B8:D8))</f>
        <v>24</v>
      </c>
      <c r="F8" s="6">
        <f>IF(A8="","",SUMIFS(السجل!$I$2:$I$1000,السجل!$E$2:$E$1000,A8))</f>
        <v>4250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44</v>
      </c>
      <c r="C19" s="7">
        <f>SUM(C4:C18)</f>
        <v>121</v>
      </c>
      <c r="D19" s="7">
        <f>SUM(D4:D18)</f>
        <v>0</v>
      </c>
      <c r="E19" s="7">
        <f>SUM(E4:E18)</f>
        <v>165</v>
      </c>
      <c r="F19" s="8">
        <f>SUM(F4:F18)</f>
        <v>26950</v>
      </c>
    </row>
    <row r="21">
      <c r="A21" s="5" t="inlineStr">
        <is>
          <t>للتحقق: إجمالي السجل</t>
        </is>
      </c>
      <c r="F21" s="9">
        <f>SUM(السجل!$I$2:$I$1000)</f>
        <v>26950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5" customWidth="1" min="27" max="27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الاثنين
2026-10-19</t>
        </is>
      </c>
      <c r="Z1" s="3" t="inlineStr">
        <is>
          <t>الثلاثاء
2026-10-20</t>
        </is>
      </c>
      <c r="AA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9">
        <f>SUMIFS(السجل!$I$2:$I$1000,السجل!$E$2:$E$1000,$A2,السجل!$A$2:$A$1000,Y$1000)</f>
        <v>300</v>
      </c>
      <c r="Z2" s="9">
        <f>SUMIFS(السجل!$I$2:$I$1000,السجل!$E$2:$E$1000,$A2,السجل!$A$2:$A$1000,Z$1000)</f>
        <v>400</v>
      </c>
      <c r="AA2" s="6">
        <f>SUM(B2:Z2)</f>
        <v>7750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300</v>
      </c>
      <c r="Z3" s="9">
        <f>SUMIFS(السجل!$I$2:$I$1000,السجل!$E$2:$E$1000,$A3,السجل!$A$2:$A$1000,Z$1000)</f>
        <v>300</v>
      </c>
      <c r="AA3" s="6">
        <f>SUM(B3:Z3)</f>
        <v>6850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6">
        <f>SUM(B4:Z4)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6">
        <f>SUM(B5:Z5)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9">
        <f>SUMIFS(السجل!$I$2:$I$1000,السجل!$E$2:$E$1000,$A6,السجل!$A$2:$A$1000,Y$1000)</f>
        <v>400</v>
      </c>
      <c r="Z6" s="9">
        <f>SUMIFS(السجل!$I$2:$I$1000,السجل!$E$2:$E$1000,$A6,السجل!$A$2:$A$1000,Z$1000)</f>
        <v>0</v>
      </c>
      <c r="AA6" s="6">
        <f>SUM(B6:Z6)</f>
        <v>4250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6">
        <f>SUM(B7:Z7)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6">
        <f>SUM(B8:Z8)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1000</v>
      </c>
      <c r="Z9" s="8">
        <f>SUM(Z2:Z8)</f>
        <v>700</v>
      </c>
      <c r="AA9" s="8">
        <f>SUM(AA2:AA8)</f>
        <v>26950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  <c r="Y1000" t="inlineStr">
        <is>
          <t>2026-10-19</t>
        </is>
      </c>
      <c r="Z1000" t="inlineStr">
        <is>
          <t>2026-10-20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الجرد'!$A$2:$A$29,MATCH(A154,'جدول الجرد'!$B$2:$B$29,0)),""))</f>
        <v>الأحد</v>
      </c>
      <c r="C154" s="5" t="str">
        <f>IF(A154="","",IFERROR(INDEX('جدول الجرد'!$E$2:$E$29,MATCH(A154,'جدول الجرد'!$B$2:$B$29,0)),""))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الجرد'!$A$2:$A$29,MATCH(A155,'جدول الجرد'!$B$2:$B$29,0)),""))</f>
        <v>الأحد</v>
      </c>
      <c r="C155" s="5" t="str">
        <f>IF(A155="","",IFERROR(INDEX('جدول الجرد'!$E$2:$E$29,MATCH(A155,'جدول الجرد'!$B$2:$B$29,0)),""))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الجرد'!$A$2:$A$29,MATCH(A156,'جدول الجرد'!$B$2:$B$29,0)),""))</f>
        <v>الأحد</v>
      </c>
      <c r="C156" s="5" t="str">
        <f>IF(A156="","",IFERROR(INDEX('جدول الجرد'!$E$2:$E$29,MATCH(A156,'جدول الجرد'!$B$2:$B$29,0)),""))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الجرد'!$A$2:$A$29,MATCH(A157,'جدول الجرد'!$B$2:$B$29,0)),""))</f>
        <v>الاثنين</v>
      </c>
      <c r="C157" s="5" t="str">
        <f>IF(A157="","",IFERROR(INDEX('جدول الجرد'!$E$2:$E$29,MATCH(A157,'جدول الجرد'!$B$2:$B$29,0)),""))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الجرد'!$A$2:$A$29,MATCH(A158,'جدول الجرد'!$B$2:$B$29,0)),""))</f>
        <v>الاثنين</v>
      </c>
      <c r="C158" s="5" t="str">
        <f>IF(A158="","",IFERROR(INDEX('جدول الجرد'!$E$2:$E$29,MATCH(A158,'جدول الجرد'!$B$2:$B$29,0)),""))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الجرد'!$A$2:$A$29,MATCH(A159,'جدول الجرد'!$B$2:$B$29,0)),""))</f>
        <v>الاثنين</v>
      </c>
      <c r="C159" s="5" t="str">
        <f>IF(A159="","",IFERROR(INDEX('جدول الجرد'!$E$2:$E$29,MATCH(A159,'جدول الجرد'!$B$2:$B$29,0)),""))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الجرد'!$A$2:$A$29,MATCH(A160,'جدول الجرد'!$B$2:$B$29,0)),""))</f>
        <v>الاثنين</v>
      </c>
      <c r="C160" s="5" t="str">
        <f>IF(A160="","",IFERROR(INDEX('جدول الجرد'!$E$2:$E$29,MATCH(A160,'جدول الجرد'!$B$2:$B$29,0)),""))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الجرد'!$A$2:$A$29,MATCH(A161,'جدول الجرد'!$B$2:$B$29,0)),""))</f>
        <v>الاثنين</v>
      </c>
      <c r="C161" s="5" t="str">
        <f>IF(A161="","",IFERROR(INDEX('جدول الجرد'!$E$2:$E$29,MATCH(A161,'جدول الجرد'!$B$2:$B$29,0)),""))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الجرد'!$A$2:$A$29,MATCH(A162,'جدول الجرد'!$B$2:$B$29,0)),""))</f>
        <v>الاثنين</v>
      </c>
      <c r="C162" s="5" t="str">
        <f>IF(A162="","",IFERROR(INDEX('جدول الجرد'!$E$2:$E$29,MATCH(A162,'جدول الجرد'!$B$2:$B$29,0)),""))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inlineStr">
        <is>
          <t>2026-10-20</t>
        </is>
      </c>
      <c r="B163" s="5" t="str">
        <f>IF(A163="","",IFERROR(INDEX('جدول الجرد'!$A$2:$A$29,MATCH(A163,'جدول الجرد'!$B$2:$B$29,0)),""))</f>
        <v>الثلاثاء</v>
      </c>
      <c r="C163" s="5" t="str">
        <f>IF(A163="","",IFERROR(INDEX('جدول الجرد'!$E$2:$E$29,MATCH(A163,'جدول الجرد'!$B$2:$B$29,0)),""))</f>
        <v>الرياض</v>
      </c>
      <c r="D163" s="4" t="n">
        <v>43</v>
      </c>
      <c r="E163" s="4" t="inlineStr">
        <is>
          <t>د. حسام شلش</t>
        </is>
      </c>
      <c r="F163" s="4" t="inlineStr">
        <is>
          <t>نعم</t>
        </is>
      </c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جرد + مراجعة</v>
      </c>
      <c r="I163" s="9">
        <f>IF(H163="جرد + مراجعة",الإعدادات!$B$2,IF(H163="مراجعة فقط",الإعدادات!$B$3,IF(H163="جرد فقط",الإعدادات!$B$4,0)))</f>
        <v>200</v>
      </c>
    </row>
    <row r="164">
      <c r="A164" s="4" t="inlineStr">
        <is>
          <t>2026-10-20</t>
        </is>
      </c>
      <c r="B164" s="5" t="str">
        <f>IF(A164="","",IFERROR(INDEX('جدول الجرد'!$A$2:$A$29,MATCH(A164,'جدول الجرد'!$B$2:$B$29,0)),""))</f>
        <v>الثلاثاء</v>
      </c>
      <c r="C164" s="5" t="str">
        <f>IF(A164="","",IFERROR(INDEX('جدول الجرد'!$E$2:$E$29,MATCH(A164,'جدول الجرد'!$B$2:$B$29,0)),""))</f>
        <v>الرياض</v>
      </c>
      <c r="D164" s="4" t="n">
        <v>43</v>
      </c>
      <c r="E164" s="4" t="inlineStr">
        <is>
          <t>د. السيد حسن</t>
        </is>
      </c>
      <c r="F164" s="4" t="inlineStr"/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مراجعة فقط</v>
      </c>
      <c r="I164" s="9">
        <f>IF(H164="جرد + مراجعة",الإعدادات!$B$2,IF(H164="مراجعة فقط",الإعدادات!$B$3,IF(H164="جرد فقط",الإعدادات!$B$4,0)))</f>
        <v>150</v>
      </c>
    </row>
    <row r="165">
      <c r="A165" s="4" t="inlineStr">
        <is>
          <t>2026-10-20</t>
        </is>
      </c>
      <c r="B165" s="5" t="str">
        <f>IF(A165="","",IFERROR(INDEX('جدول الجرد'!$A$2:$A$29,MATCH(A165,'جدول الجرد'!$B$2:$B$29,0)),""))</f>
        <v>الثلاثاء</v>
      </c>
      <c r="C165" s="5" t="str">
        <f>IF(A165="","",IFERROR(INDEX('جدول الجرد'!$E$2:$E$29,MATCH(A165,'جدول الجرد'!$B$2:$B$29,0)),""))</f>
        <v>الرياض</v>
      </c>
      <c r="D165" s="4" t="n">
        <v>45</v>
      </c>
      <c r="E165" s="4" t="inlineStr">
        <is>
          <t>د. حسام شلش</t>
        </is>
      </c>
      <c r="F165" s="4" t="inlineStr">
        <is>
          <t>نعم</t>
        </is>
      </c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جرد + مراجعة</v>
      </c>
      <c r="I165" s="9">
        <f>IF(H165="جرد + مراجعة",الإعدادات!$B$2,IF(H165="مراجعة فقط",الإعدادات!$B$3,IF(H165="جرد فقط",الإعدادات!$B$4,0)))</f>
        <v>200</v>
      </c>
    </row>
    <row r="166">
      <c r="A166" s="4" t="inlineStr">
        <is>
          <t>2026-10-20</t>
        </is>
      </c>
      <c r="B166" s="5" t="str">
        <f>IF(A166="","",IFERROR(INDEX('جدول الجرد'!$A$2:$A$29,MATCH(A166,'جدول الجرد'!$B$2:$B$29,0)),""))</f>
        <v>الثلاثاء</v>
      </c>
      <c r="C166" s="5" t="str">
        <f>IF(A166="","",IFERROR(INDEX('جدول الجرد'!$E$2:$E$29,MATCH(A166,'جدول الجرد'!$B$2:$B$29,0)),""))</f>
        <v>الرياض</v>
      </c>
      <c r="D166" s="4" t="n">
        <v>45</v>
      </c>
      <c r="E166" s="4" t="inlineStr">
        <is>
          <t>د. السيد حسن</t>
        </is>
      </c>
      <c r="F166" s="4" t="inlineStr"/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مراجعة فقط</v>
      </c>
      <c r="I166" s="9">
        <f>IF(H166="جرد + مراجعة",الإعدادات!$B$2,IF(H166="مراجعة فقط",الإعدادات!$B$3,IF(H166="جرد فقط",الإعدادات!$B$4,0)))</f>
        <v>150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2026-10-20T12:38:10Z</dcterms:created>
  <dcterms:modified xsi:type="dcterms:W3CDTF">2026-10-20T12:38:10Z</dcterms:modified>
</cp:coreProperties>
</file>